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voice Lines" sheetId="2" state="visible" r:id="rId4"/>
    <sheet name="Model Data" sheetId="3" state="visible" r:id="rId5"/>
    <sheet name="Regression" sheetId="4" state="visible" r:id="rId6"/>
    <sheet name="Diagnostics" sheetId="5" state="visible" r:id="rId7"/>
    <sheet name="Predictions" sheetId="6" state="visible" r:id="rId8"/>
    <sheet name="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<sst xmlns="http://schemas.openxmlformats.org/spreadsheetml/2006/main" count="10779" uniqueCount="1995">
  <si>
    <t xml:space="preserve">BA Capstone Project: Checkpoint 4 — Predictive Analytics Model</t>
  </si>
  <si>
    <t xml:space="preserve">Retail &amp; Sales Analytics: Customer Segmentation &amp; Purchase Behavior Analysis  |  BED 106 Business Analytics  |  A.Y. 2026–2027, 1st Semester</t>
  </si>
  <si>
    <t xml:space="preserve">Item</t>
  </si>
  <si>
    <t xml:space="preserve">Value</t>
  </si>
  <si>
    <t xml:space="preserve">Technique</t>
  </si>
  <si>
    <t xml:space="preserve">Multiple linear regression (extends the Checkpoint 2 simple regression)</t>
  </si>
  <si>
    <t xml:space="preserve">Output (Y)</t>
  </si>
  <si>
    <t xml:space="preserve">Invoice Value (£) of a completed order</t>
  </si>
  <si>
    <t xml:space="preserve">Predictor X1</t>
  </si>
  <si>
    <t xml:space="preserve">Lines per invoice (number of distinct products)</t>
  </si>
  <si>
    <t xml:space="preserve">Predictor X2</t>
  </si>
  <si>
    <t xml:space="preserve">Total quantity of units on the invoice</t>
  </si>
  <si>
    <t xml:space="preserve">Sample</t>
  </si>
  <si>
    <t xml:space="preserve">271 completed invoices, 1–3 Dec 2010 (source: Checkpoint 3 powerbi_data CSVs)</t>
  </si>
  <si>
    <t xml:space="preserve">Fitted equation</t>
  </si>
  <si>
    <t xml:space="preserve">R Square</t>
  </si>
  <si>
    <t xml:space="preserve">Adjusted R Square</t>
  </si>
  <si>
    <t xml:space="preserve">Standard error of Y (£)</t>
  </si>
  <si>
    <t xml:space="preserve">Significance F</t>
  </si>
  <si>
    <t xml:space="preserve">Checkpoint 2 simple model R²</t>
  </si>
  <si>
    <t xml:space="preserve">Improvement in R²</t>
  </si>
  <si>
    <t xml:space="preserve">Mean absolute error (£)</t>
  </si>
  <si>
    <t xml:space="preserve">Sheets</t>
  </si>
  <si>
    <t xml:space="preserve">Regression — LINEST output, ANOVA, coefficients, model comparison</t>
  </si>
  <si>
    <t xml:space="preserve">Predictions — calculator and scenarios (editable inputs)</t>
  </si>
  <si>
    <t xml:space="preserve">Diagnostics — residual, outlier and multicollinearity checks</t>
  </si>
  <si>
    <t xml:space="preserve">Charts — actual vs predicted, residual plot</t>
  </si>
  <si>
    <t xml:space="preserve">Model Data / Invoice Lines — data behind every formula</t>
  </si>
  <si>
    <t xml:space="preserve">Data note: values in 'Invoice Lines' are copied from the group's Checkpoint 3 CSV exports (hard inputs); every statistic is a live formula.</t>
  </si>
  <si>
    <t xml:space="preserve">Invoice Lines — completed orders only</t>
  </si>
  <si>
    <t xml:space="preserve">Source: Checkpoint 3 powerbi_data/invoice_items.csv, filtered to the 271 non-cancelled invoices in invoices.csv. LineTotal = Quantity × UnitPrice (formula).</t>
  </si>
  <si>
    <t xml:space="preserve">InvoiceNo</t>
  </si>
  <si>
    <t xml:space="preserve">StockCode</t>
  </si>
  <si>
    <t xml:space="preserve">Quantity</t>
  </si>
  <si>
    <t xml:space="preserve">UnitPrice (£)</t>
  </si>
  <si>
    <t xml:space="preserve">LineTotal (£)</t>
  </si>
  <si>
    <t xml:space="preserve">536365</t>
  </si>
  <si>
    <t xml:space="preserve">85123A</t>
  </si>
  <si>
    <t xml:space="preserve">71053</t>
  </si>
  <si>
    <t xml:space="preserve">84406B</t>
  </si>
  <si>
    <t xml:space="preserve">84029G</t>
  </si>
  <si>
    <t xml:space="preserve">84029E</t>
  </si>
  <si>
    <t xml:space="preserve">22752</t>
  </si>
  <si>
    <t xml:space="preserve">21730</t>
  </si>
  <si>
    <t xml:space="preserve">536366</t>
  </si>
  <si>
    <t xml:space="preserve">22633</t>
  </si>
  <si>
    <t xml:space="preserve">22632</t>
  </si>
  <si>
    <t xml:space="preserve">536367</t>
  </si>
  <si>
    <t xml:space="preserve">48187</t>
  </si>
  <si>
    <t xml:space="preserve">21777</t>
  </si>
  <si>
    <t xml:space="preserve">21755</t>
  </si>
  <si>
    <t xml:space="preserve">22622</t>
  </si>
  <si>
    <t xml:space="preserve">22623</t>
  </si>
  <si>
    <t xml:space="preserve">21754</t>
  </si>
  <si>
    <t xml:space="preserve">22310</t>
  </si>
  <si>
    <t xml:space="preserve">22749</t>
  </si>
  <si>
    <t xml:space="preserve">84969</t>
  </si>
  <si>
    <t xml:space="preserve">22748</t>
  </si>
  <si>
    <t xml:space="preserve">22745</t>
  </si>
  <si>
    <t xml:space="preserve">84879</t>
  </si>
  <si>
    <t xml:space="preserve">536368</t>
  </si>
  <si>
    <t xml:space="preserve">22912</t>
  </si>
  <si>
    <t xml:space="preserve">22914</t>
  </si>
  <si>
    <t xml:space="preserve">22960</t>
  </si>
  <si>
    <t xml:space="preserve">22913</t>
  </si>
  <si>
    <t xml:space="preserve">536369</t>
  </si>
  <si>
    <t xml:space="preserve">21756</t>
  </si>
  <si>
    <t xml:space="preserve">536370</t>
  </si>
  <si>
    <t xml:space="preserve">22659</t>
  </si>
  <si>
    <t xml:space="preserve">22492</t>
  </si>
  <si>
    <t xml:space="preserve">22544</t>
  </si>
  <si>
    <t xml:space="preserve">22540</t>
  </si>
  <si>
    <t xml:space="preserve">22900</t>
  </si>
  <si>
    <t xml:space="preserve">21731</t>
  </si>
  <si>
    <t xml:space="preserve">22661</t>
  </si>
  <si>
    <t xml:space="preserve">22631</t>
  </si>
  <si>
    <t xml:space="preserve">22629</t>
  </si>
  <si>
    <t xml:space="preserve">21913</t>
  </si>
  <si>
    <t xml:space="preserve">21035</t>
  </si>
  <si>
    <t xml:space="preserve">21791</t>
  </si>
  <si>
    <t xml:space="preserve">10002</t>
  </si>
  <si>
    <t xml:space="preserve">21883</t>
  </si>
  <si>
    <t xml:space="preserve">21724</t>
  </si>
  <si>
    <t xml:space="preserve">22326</t>
  </si>
  <si>
    <t xml:space="preserve">22726</t>
  </si>
  <si>
    <t xml:space="preserve">22727</t>
  </si>
  <si>
    <t xml:space="preserve">22728</t>
  </si>
  <si>
    <t xml:space="preserve">536371</t>
  </si>
  <si>
    <t xml:space="preserve">22086</t>
  </si>
  <si>
    <t xml:space="preserve">536372</t>
  </si>
  <si>
    <t xml:space="preserve">536373</t>
  </si>
  <si>
    <t xml:space="preserve">82482</t>
  </si>
  <si>
    <t xml:space="preserve">82486</t>
  </si>
  <si>
    <t xml:space="preserve">82483</t>
  </si>
  <si>
    <t xml:space="preserve">82494L</t>
  </si>
  <si>
    <t xml:space="preserve">21071</t>
  </si>
  <si>
    <t xml:space="preserve">21871</t>
  </si>
  <si>
    <t xml:space="preserve">37370</t>
  </si>
  <si>
    <t xml:space="preserve">20679</t>
  </si>
  <si>
    <t xml:space="preserve">21068</t>
  </si>
  <si>
    <t xml:space="preserve">536374</t>
  </si>
  <si>
    <t xml:space="preserve">21258</t>
  </si>
  <si>
    <t xml:space="preserve">536375</t>
  </si>
  <si>
    <t xml:space="preserve">536376</t>
  </si>
  <si>
    <t xml:space="preserve">21733</t>
  </si>
  <si>
    <t xml:space="preserve">22114</t>
  </si>
  <si>
    <t xml:space="preserve">536377</t>
  </si>
  <si>
    <t xml:space="preserve">536378</t>
  </si>
  <si>
    <t xml:space="preserve">22386</t>
  </si>
  <si>
    <t xml:space="preserve">21931</t>
  </si>
  <si>
    <t xml:space="preserve">85071B</t>
  </si>
  <si>
    <t xml:space="preserve">85183B</t>
  </si>
  <si>
    <t xml:space="preserve">84519A</t>
  </si>
  <si>
    <t xml:space="preserve">84991</t>
  </si>
  <si>
    <t xml:space="preserve">21977</t>
  </si>
  <si>
    <t xml:space="preserve">21975</t>
  </si>
  <si>
    <t xml:space="preserve">21212</t>
  </si>
  <si>
    <t xml:space="preserve">21929</t>
  </si>
  <si>
    <t xml:space="preserve">21559</t>
  </si>
  <si>
    <t xml:space="preserve">20725</t>
  </si>
  <si>
    <t xml:space="preserve">21094</t>
  </si>
  <si>
    <t xml:space="preserve">84997C</t>
  </si>
  <si>
    <t xml:space="preserve">84997B</t>
  </si>
  <si>
    <t xml:space="preserve">20723</t>
  </si>
  <si>
    <t xml:space="preserve">21033</t>
  </si>
  <si>
    <t xml:space="preserve">85099C</t>
  </si>
  <si>
    <t xml:space="preserve">22352</t>
  </si>
  <si>
    <t xml:space="preserve">536380</t>
  </si>
  <si>
    <t xml:space="preserve">22961</t>
  </si>
  <si>
    <t xml:space="preserve">536381</t>
  </si>
  <si>
    <t xml:space="preserve">21533</t>
  </si>
  <si>
    <t xml:space="preserve">22644</t>
  </si>
  <si>
    <t xml:space="preserve">71270</t>
  </si>
  <si>
    <t xml:space="preserve">47580</t>
  </si>
  <si>
    <t xml:space="preserve">21557</t>
  </si>
  <si>
    <t xml:space="preserve">84832</t>
  </si>
  <si>
    <t xml:space="preserve">15056BL</t>
  </si>
  <si>
    <t xml:space="preserve">22646</t>
  </si>
  <si>
    <t xml:space="preserve">22176</t>
  </si>
  <si>
    <t xml:space="preserve">22438</t>
  </si>
  <si>
    <t xml:space="preserve">22778</t>
  </si>
  <si>
    <t xml:space="preserve">22719</t>
  </si>
  <si>
    <t xml:space="preserve">21523</t>
  </si>
  <si>
    <t xml:space="preserve">84971S</t>
  </si>
  <si>
    <t xml:space="preserve">15056N</t>
  </si>
  <si>
    <t xml:space="preserve">22083</t>
  </si>
  <si>
    <t xml:space="preserve">22261</t>
  </si>
  <si>
    <t xml:space="preserve">37444C</t>
  </si>
  <si>
    <t xml:space="preserve">22139</t>
  </si>
  <si>
    <t xml:space="preserve">84854</t>
  </si>
  <si>
    <t xml:space="preserve">22411</t>
  </si>
  <si>
    <t xml:space="preserve">82567</t>
  </si>
  <si>
    <t xml:space="preserve">21672</t>
  </si>
  <si>
    <t xml:space="preserve">22771</t>
  </si>
  <si>
    <t xml:space="preserve">22774</t>
  </si>
  <si>
    <t xml:space="preserve">22637</t>
  </si>
  <si>
    <t xml:space="preserve">21934</t>
  </si>
  <si>
    <t xml:space="preserve">21169</t>
  </si>
  <si>
    <t xml:space="preserve">21166</t>
  </si>
  <si>
    <t xml:space="preserve">21175</t>
  </si>
  <si>
    <t xml:space="preserve">37444A</t>
  </si>
  <si>
    <t xml:space="preserve">22262</t>
  </si>
  <si>
    <t xml:space="preserve">536382</t>
  </si>
  <si>
    <t xml:space="preserve">22798</t>
  </si>
  <si>
    <t xml:space="preserve">22783</t>
  </si>
  <si>
    <t xml:space="preserve">22838</t>
  </si>
  <si>
    <t xml:space="preserve">22839</t>
  </si>
  <si>
    <t xml:space="preserve">22926</t>
  </si>
  <si>
    <t xml:space="preserve">22381</t>
  </si>
  <si>
    <t xml:space="preserve">21832</t>
  </si>
  <si>
    <t xml:space="preserve">21912</t>
  </si>
  <si>
    <t xml:space="preserve">22379</t>
  </si>
  <si>
    <t xml:space="preserve">536384</t>
  </si>
  <si>
    <t xml:space="preserve">22424</t>
  </si>
  <si>
    <t xml:space="preserve">22428</t>
  </si>
  <si>
    <t xml:space="preserve">22427</t>
  </si>
  <si>
    <t xml:space="preserve">22189</t>
  </si>
  <si>
    <t xml:space="preserve">21340</t>
  </si>
  <si>
    <t xml:space="preserve">22224</t>
  </si>
  <si>
    <t xml:space="preserve">22469</t>
  </si>
  <si>
    <t xml:space="preserve">22457</t>
  </si>
  <si>
    <t xml:space="preserve">21324</t>
  </si>
  <si>
    <t xml:space="preserve">22464</t>
  </si>
  <si>
    <t xml:space="preserve">84755</t>
  </si>
  <si>
    <t xml:space="preserve">82484</t>
  </si>
  <si>
    <t xml:space="preserve">22470</t>
  </si>
  <si>
    <t xml:space="preserve">536385</t>
  </si>
  <si>
    <t xml:space="preserve">22168</t>
  </si>
  <si>
    <t xml:space="preserve">22662</t>
  </si>
  <si>
    <t xml:space="preserve">22663</t>
  </si>
  <si>
    <t xml:space="preserve">85049A</t>
  </si>
  <si>
    <t xml:space="preserve">536386</t>
  </si>
  <si>
    <t xml:space="preserve">84880</t>
  </si>
  <si>
    <t xml:space="preserve">85099B</t>
  </si>
  <si>
    <t xml:space="preserve">536387</t>
  </si>
  <si>
    <t xml:space="preserve">22779</t>
  </si>
  <si>
    <t xml:space="preserve">79321</t>
  </si>
  <si>
    <t xml:space="preserve">22780</t>
  </si>
  <si>
    <t xml:space="preserve">22466</t>
  </si>
  <si>
    <t xml:space="preserve">536388</t>
  </si>
  <si>
    <t xml:space="preserve">22969</t>
  </si>
  <si>
    <t xml:space="preserve">21115</t>
  </si>
  <si>
    <t xml:space="preserve">22923</t>
  </si>
  <si>
    <t xml:space="preserve">22242</t>
  </si>
  <si>
    <t xml:space="preserve">22922</t>
  </si>
  <si>
    <t xml:space="preserve">22915</t>
  </si>
  <si>
    <t xml:space="preserve">21411</t>
  </si>
  <si>
    <t xml:space="preserve">22318</t>
  </si>
  <si>
    <t xml:space="preserve">21363</t>
  </si>
  <si>
    <t xml:space="preserve">536389</t>
  </si>
  <si>
    <t xml:space="preserve">22196</t>
  </si>
  <si>
    <t xml:space="preserve">22195</t>
  </si>
  <si>
    <t xml:space="preserve">22191</t>
  </si>
  <si>
    <t xml:space="preserve">22192</t>
  </si>
  <si>
    <t xml:space="preserve">22193</t>
  </si>
  <si>
    <t xml:space="preserve">22941</t>
  </si>
  <si>
    <t xml:space="preserve">85014B</t>
  </si>
  <si>
    <t xml:space="preserve">35004G</t>
  </si>
  <si>
    <t xml:space="preserve">35004C</t>
  </si>
  <si>
    <t xml:space="preserve">21622</t>
  </si>
  <si>
    <t xml:space="preserve">85014A</t>
  </si>
  <si>
    <t xml:space="preserve">536390</t>
  </si>
  <si>
    <t xml:space="preserve">21086</t>
  </si>
  <si>
    <t xml:space="preserve">21786</t>
  </si>
  <si>
    <t xml:space="preserve">22654</t>
  </si>
  <si>
    <t xml:space="preserve">21485</t>
  </si>
  <si>
    <t xml:space="preserve">84970S</t>
  </si>
  <si>
    <t xml:space="preserve">84030E</t>
  </si>
  <si>
    <t xml:space="preserve">22174</t>
  </si>
  <si>
    <t xml:space="preserve">21080</t>
  </si>
  <si>
    <t xml:space="preserve">22198</t>
  </si>
  <si>
    <t xml:space="preserve">22197</t>
  </si>
  <si>
    <t xml:space="preserve">20668</t>
  </si>
  <si>
    <t xml:space="preserve">22910</t>
  </si>
  <si>
    <t xml:space="preserve">22968</t>
  </si>
  <si>
    <t xml:space="preserve">22963</t>
  </si>
  <si>
    <t xml:space="preserve">22962</t>
  </si>
  <si>
    <t xml:space="preserve">536392</t>
  </si>
  <si>
    <t xml:space="preserve">22338</t>
  </si>
  <si>
    <t xml:space="preserve">22502</t>
  </si>
  <si>
    <t xml:space="preserve">22128</t>
  </si>
  <si>
    <t xml:space="preserve">22127</t>
  </si>
  <si>
    <t xml:space="preserve">21891</t>
  </si>
  <si>
    <t xml:space="preserve">21889</t>
  </si>
  <si>
    <t xml:space="preserve">22619</t>
  </si>
  <si>
    <t xml:space="preserve">22150</t>
  </si>
  <si>
    <t xml:space="preserve">22827</t>
  </si>
  <si>
    <t xml:space="preserve">536393</t>
  </si>
  <si>
    <t xml:space="preserve">22180</t>
  </si>
  <si>
    <t xml:space="preserve">536394</t>
  </si>
  <si>
    <t xml:space="preserve">22558</t>
  </si>
  <si>
    <t xml:space="preserve">22652</t>
  </si>
  <si>
    <t xml:space="preserve">85152</t>
  </si>
  <si>
    <t xml:space="preserve">22349</t>
  </si>
  <si>
    <t xml:space="preserve">22866</t>
  </si>
  <si>
    <t xml:space="preserve">22865</t>
  </si>
  <si>
    <t xml:space="preserve">21506</t>
  </si>
  <si>
    <t xml:space="preserve">536395</t>
  </si>
  <si>
    <t xml:space="preserve">22867</t>
  </si>
  <si>
    <t xml:space="preserve">22729</t>
  </si>
  <si>
    <t xml:space="preserve">22730</t>
  </si>
  <si>
    <t xml:space="preserve">22188</t>
  </si>
  <si>
    <t xml:space="preserve">21484</t>
  </si>
  <si>
    <t xml:space="preserve">21314</t>
  </si>
  <si>
    <t xml:space="preserve">536396</t>
  </si>
  <si>
    <t xml:space="preserve">22803</t>
  </si>
  <si>
    <t xml:space="preserve">536397</t>
  </si>
  <si>
    <t xml:space="preserve">35004B</t>
  </si>
  <si>
    <t xml:space="preserve">536398</t>
  </si>
  <si>
    <t xml:space="preserve">21479</t>
  </si>
  <si>
    <t xml:space="preserve">22112</t>
  </si>
  <si>
    <t xml:space="preserve">22835</t>
  </si>
  <si>
    <t xml:space="preserve">22111</t>
  </si>
  <si>
    <t xml:space="preserve">22449</t>
  </si>
  <si>
    <t xml:space="preserve">22064</t>
  </si>
  <si>
    <t xml:space="preserve">21232</t>
  </si>
  <si>
    <t xml:space="preserve">48185</t>
  </si>
  <si>
    <t xml:space="preserve">22468</t>
  </si>
  <si>
    <t xml:space="preserve">21844</t>
  </si>
  <si>
    <t xml:space="preserve">21980</t>
  </si>
  <si>
    <t xml:space="preserve">536399</t>
  </si>
  <si>
    <t xml:space="preserve">536400</t>
  </si>
  <si>
    <t xml:space="preserve">536401</t>
  </si>
  <si>
    <t xml:space="preserve">20992</t>
  </si>
  <si>
    <t xml:space="preserve">21587</t>
  </si>
  <si>
    <t xml:space="preserve">21592</t>
  </si>
  <si>
    <t xml:space="preserve">84709B</t>
  </si>
  <si>
    <t xml:space="preserve">20966</t>
  </si>
  <si>
    <t xml:space="preserve">21743</t>
  </si>
  <si>
    <t xml:space="preserve">22068</t>
  </si>
  <si>
    <t xml:space="preserve">20961</t>
  </si>
  <si>
    <t xml:space="preserve">20963</t>
  </si>
  <si>
    <t xml:space="preserve">22435</t>
  </si>
  <si>
    <t xml:space="preserve">22804</t>
  </si>
  <si>
    <t xml:space="preserve">21744</t>
  </si>
  <si>
    <t xml:space="preserve">22809</t>
  </si>
  <si>
    <t xml:space="preserve">22382</t>
  </si>
  <si>
    <t xml:space="preserve">20726</t>
  </si>
  <si>
    <t xml:space="preserve">22384</t>
  </si>
  <si>
    <t xml:space="preserve">22467</t>
  </si>
  <si>
    <t xml:space="preserve">84625C</t>
  </si>
  <si>
    <t xml:space="preserve">84625A</t>
  </si>
  <si>
    <t xml:space="preserve">21108</t>
  </si>
  <si>
    <t xml:space="preserve">22848</t>
  </si>
  <si>
    <t xml:space="preserve">47570B</t>
  </si>
  <si>
    <t xml:space="preserve">20749</t>
  </si>
  <si>
    <t xml:space="preserve">22810</t>
  </si>
  <si>
    <t xml:space="preserve">82578</t>
  </si>
  <si>
    <t xml:space="preserve">22851</t>
  </si>
  <si>
    <t xml:space="preserve">22110</t>
  </si>
  <si>
    <t xml:space="preserve">22098</t>
  </si>
  <si>
    <t xml:space="preserve">22100</t>
  </si>
  <si>
    <t xml:space="preserve">22766</t>
  </si>
  <si>
    <t xml:space="preserve">22451</t>
  </si>
  <si>
    <t xml:space="preserve">22549</t>
  </si>
  <si>
    <t xml:space="preserve">85049E</t>
  </si>
  <si>
    <t xml:space="preserve">21328</t>
  </si>
  <si>
    <t xml:space="preserve">17091A</t>
  </si>
  <si>
    <t xml:space="preserve">22473</t>
  </si>
  <si>
    <t xml:space="preserve">84509A</t>
  </si>
  <si>
    <t xml:space="preserve">84510A</t>
  </si>
  <si>
    <t xml:space="preserve">22767</t>
  </si>
  <si>
    <t xml:space="preserve">84744</t>
  </si>
  <si>
    <t xml:space="preserve">21463</t>
  </si>
  <si>
    <t xml:space="preserve">21464</t>
  </si>
  <si>
    <t xml:space="preserve">20820</t>
  </si>
  <si>
    <t xml:space="preserve">85150</t>
  </si>
  <si>
    <t xml:space="preserve">22117</t>
  </si>
  <si>
    <t xml:space="preserve">48129</t>
  </si>
  <si>
    <t xml:space="preserve">82580</t>
  </si>
  <si>
    <t xml:space="preserve">82581</t>
  </si>
  <si>
    <t xml:space="preserve">22413</t>
  </si>
  <si>
    <t xml:space="preserve">21907</t>
  </si>
  <si>
    <t xml:space="preserve">22441</t>
  </si>
  <si>
    <t xml:space="preserve">21122</t>
  </si>
  <si>
    <t xml:space="preserve">22768</t>
  </si>
  <si>
    <t xml:space="preserve">536402</t>
  </si>
  <si>
    <t xml:space="preserve">22837</t>
  </si>
  <si>
    <t xml:space="preserve">536403</t>
  </si>
  <si>
    <t xml:space="preserve">536404</t>
  </si>
  <si>
    <t xml:space="preserve">21062</t>
  </si>
  <si>
    <t xml:space="preserve">22296</t>
  </si>
  <si>
    <t xml:space="preserve">20727</t>
  </si>
  <si>
    <t xml:space="preserve">20728</t>
  </si>
  <si>
    <t xml:space="preserve">22383</t>
  </si>
  <si>
    <t xml:space="preserve">84992</t>
  </si>
  <si>
    <t xml:space="preserve">22417</t>
  </si>
  <si>
    <t xml:space="preserve">21213</t>
  </si>
  <si>
    <t xml:space="preserve">22964</t>
  </si>
  <si>
    <t xml:space="preserve">84378</t>
  </si>
  <si>
    <t xml:space="preserve">84380</t>
  </si>
  <si>
    <t xml:space="preserve">21063</t>
  </si>
  <si>
    <t xml:space="preserve">22297</t>
  </si>
  <si>
    <t xml:space="preserve">85049G</t>
  </si>
  <si>
    <t xml:space="preserve">21061</t>
  </si>
  <si>
    <t xml:space="preserve">22773</t>
  </si>
  <si>
    <t xml:space="preserve">22805</t>
  </si>
  <si>
    <t xml:space="preserve">22772</t>
  </si>
  <si>
    <t xml:space="preserve">21125</t>
  </si>
  <si>
    <t xml:space="preserve">21126</t>
  </si>
  <si>
    <t xml:space="preserve">85049C</t>
  </si>
  <si>
    <t xml:space="preserve">85049D</t>
  </si>
  <si>
    <t xml:space="preserve">536405</t>
  </si>
  <si>
    <t xml:space="preserve">20914</t>
  </si>
  <si>
    <t xml:space="preserve">536406</t>
  </si>
  <si>
    <t xml:space="preserve">536407</t>
  </si>
  <si>
    <t xml:space="preserve">536408</t>
  </si>
  <si>
    <t xml:space="preserve">21210</t>
  </si>
  <si>
    <t xml:space="preserve">22610</t>
  </si>
  <si>
    <t xml:space="preserve">22716</t>
  </si>
  <si>
    <t xml:space="preserve">22706</t>
  </si>
  <si>
    <t xml:space="preserve">22371</t>
  </si>
  <si>
    <t xml:space="preserve">22812</t>
  </si>
  <si>
    <t xml:space="preserve">16237</t>
  </si>
  <si>
    <t xml:space="preserve">22714</t>
  </si>
  <si>
    <t xml:space="preserve">84347</t>
  </si>
  <si>
    <t xml:space="preserve">22736</t>
  </si>
  <si>
    <t xml:space="preserve">22620</t>
  </si>
  <si>
    <t xml:space="preserve">21705</t>
  </si>
  <si>
    <t xml:space="preserve">22553</t>
  </si>
  <si>
    <t xml:space="preserve">22219</t>
  </si>
  <si>
    <t xml:space="preserve">22537</t>
  </si>
  <si>
    <t xml:space="preserve">22533</t>
  </si>
  <si>
    <t xml:space="preserve">20982</t>
  </si>
  <si>
    <t xml:space="preserve">21915</t>
  </si>
  <si>
    <t xml:space="preserve">21544</t>
  </si>
  <si>
    <t xml:space="preserve">22813</t>
  </si>
  <si>
    <t xml:space="preserve">21914</t>
  </si>
  <si>
    <t xml:space="preserve">84375</t>
  </si>
  <si>
    <t xml:space="preserve">48194</t>
  </si>
  <si>
    <t xml:space="preserve">20685</t>
  </si>
  <si>
    <t xml:space="preserve">84949</t>
  </si>
  <si>
    <t xml:space="preserve">22465</t>
  </si>
  <si>
    <t xml:space="preserve">22488</t>
  </si>
  <si>
    <t xml:space="preserve">84970L</t>
  </si>
  <si>
    <t xml:space="preserve">22178</t>
  </si>
  <si>
    <t xml:space="preserve">22418</t>
  </si>
  <si>
    <t xml:space="preserve">536409</t>
  </si>
  <si>
    <t xml:space="preserve">16238</t>
  </si>
  <si>
    <t xml:space="preserve">84906</t>
  </si>
  <si>
    <t xml:space="preserve">21867</t>
  </si>
  <si>
    <t xml:space="preserve">22075</t>
  </si>
  <si>
    <t xml:space="preserve">21326</t>
  </si>
  <si>
    <t xml:space="preserve">21065</t>
  </si>
  <si>
    <t xml:space="preserve">22074</t>
  </si>
  <si>
    <t xml:space="preserve">20713</t>
  </si>
  <si>
    <t xml:space="preserve">21116</t>
  </si>
  <si>
    <t xml:space="preserve">21824</t>
  </si>
  <si>
    <t xml:space="preserve">21823</t>
  </si>
  <si>
    <t xml:space="preserve">22153</t>
  </si>
  <si>
    <t xml:space="preserve">85099F</t>
  </si>
  <si>
    <t xml:space="preserve">20717</t>
  </si>
  <si>
    <t xml:space="preserve">85169B</t>
  </si>
  <si>
    <t xml:space="preserve">90199C</t>
  </si>
  <si>
    <t xml:space="preserve">22785</t>
  </si>
  <si>
    <t xml:space="preserve">22975</t>
  </si>
  <si>
    <t xml:space="preserve">22568</t>
  </si>
  <si>
    <t xml:space="preserve">85116</t>
  </si>
  <si>
    <t xml:space="preserve">22664</t>
  </si>
  <si>
    <t xml:space="preserve">21609</t>
  </si>
  <si>
    <t xml:space="preserve">21866</t>
  </si>
  <si>
    <t xml:space="preserve">22972</t>
  </si>
  <si>
    <t xml:space="preserve">90129F</t>
  </si>
  <si>
    <t xml:space="preserve">20669</t>
  </si>
  <si>
    <t xml:space="preserve">21676</t>
  </si>
  <si>
    <t xml:space="preserve">21678</t>
  </si>
  <si>
    <t xml:space="preserve">22183</t>
  </si>
  <si>
    <t xml:space="preserve">22531</t>
  </si>
  <si>
    <t xml:space="preserve">21811</t>
  </si>
  <si>
    <t xml:space="preserve">22109</t>
  </si>
  <si>
    <t xml:space="preserve">72802C</t>
  </si>
  <si>
    <t xml:space="preserve">21955</t>
  </si>
  <si>
    <t xml:space="preserve">90210B</t>
  </si>
  <si>
    <t xml:space="preserve">536412</t>
  </si>
  <si>
    <t xml:space="preserve">22271</t>
  </si>
  <si>
    <t xml:space="preserve">21034</t>
  </si>
  <si>
    <t xml:space="preserve">22751</t>
  </si>
  <si>
    <t xml:space="preserve">22274</t>
  </si>
  <si>
    <t xml:space="preserve">22273</t>
  </si>
  <si>
    <t xml:space="preserve">21738</t>
  </si>
  <si>
    <t xml:space="preserve">22759</t>
  </si>
  <si>
    <t xml:space="preserve">22243</t>
  </si>
  <si>
    <t xml:space="preserve">21448</t>
  </si>
  <si>
    <t xml:space="preserve">21739</t>
  </si>
  <si>
    <t xml:space="preserve">22144</t>
  </si>
  <si>
    <t xml:space="preserve">22569</t>
  </si>
  <si>
    <t xml:space="preserve">20750</t>
  </si>
  <si>
    <t xml:space="preserve">22988</t>
  </si>
  <si>
    <t xml:space="preserve">85184C</t>
  </si>
  <si>
    <t xml:space="preserve">22077</t>
  </si>
  <si>
    <t xml:space="preserve">21706</t>
  </si>
  <si>
    <t xml:space="preserve">22570</t>
  </si>
  <si>
    <t xml:space="preserve">22179</t>
  </si>
  <si>
    <t xml:space="preserve">21711</t>
  </si>
  <si>
    <t xml:space="preserve">21708</t>
  </si>
  <si>
    <t xml:space="preserve">21710</t>
  </si>
  <si>
    <t xml:space="preserve">22902</t>
  </si>
  <si>
    <t xml:space="preserve">22141</t>
  </si>
  <si>
    <t xml:space="preserve">21243</t>
  </si>
  <si>
    <t xml:space="preserve">21242</t>
  </si>
  <si>
    <t xml:space="preserve">21244</t>
  </si>
  <si>
    <t xml:space="preserve">21245</t>
  </si>
  <si>
    <t xml:space="preserve">22630</t>
  </si>
  <si>
    <t xml:space="preserve">22327</t>
  </si>
  <si>
    <t xml:space="preserve">22328</t>
  </si>
  <si>
    <t xml:space="preserve">22940</t>
  </si>
  <si>
    <t xml:space="preserve">21880</t>
  </si>
  <si>
    <t xml:space="preserve">536415</t>
  </si>
  <si>
    <t xml:space="preserve">21916</t>
  </si>
  <si>
    <t xml:space="preserve">22951</t>
  </si>
  <si>
    <t xml:space="preserve">21976</t>
  </si>
  <si>
    <t xml:space="preserve">22587</t>
  </si>
  <si>
    <t xml:space="preserve">22834</t>
  </si>
  <si>
    <t xml:space="preserve">22566</t>
  </si>
  <si>
    <t xml:space="preserve">22472</t>
  </si>
  <si>
    <t xml:space="preserve">22557</t>
  </si>
  <si>
    <t xml:space="preserve">22551</t>
  </si>
  <si>
    <t xml:space="preserve">22554</t>
  </si>
  <si>
    <t xml:space="preserve">22534</t>
  </si>
  <si>
    <t xml:space="preserve">22529</t>
  </si>
  <si>
    <t xml:space="preserve">22530</t>
  </si>
  <si>
    <t xml:space="preserve">84032B</t>
  </si>
  <si>
    <t xml:space="preserve">85049H</t>
  </si>
  <si>
    <t xml:space="preserve">22807</t>
  </si>
  <si>
    <t xml:space="preserve">22565</t>
  </si>
  <si>
    <t xml:space="preserve">22942</t>
  </si>
  <si>
    <t xml:space="preserve">22899</t>
  </si>
  <si>
    <t xml:space="preserve">22952</t>
  </si>
  <si>
    <t xml:space="preserve">22739</t>
  </si>
  <si>
    <t xml:space="preserve">22738</t>
  </si>
  <si>
    <t xml:space="preserve">22909</t>
  </si>
  <si>
    <t xml:space="preserve">35591T</t>
  </si>
  <si>
    <t xml:space="preserve">22367</t>
  </si>
  <si>
    <t xml:space="preserve">22695</t>
  </si>
  <si>
    <t xml:space="preserve">22580</t>
  </si>
  <si>
    <t xml:space="preserve">22147</t>
  </si>
  <si>
    <t xml:space="preserve">22186</t>
  </si>
  <si>
    <t xml:space="preserve">22130</t>
  </si>
  <si>
    <t xml:space="preserve">22616</t>
  </si>
  <si>
    <t xml:space="preserve">22750</t>
  </si>
  <si>
    <t xml:space="preserve">21986</t>
  </si>
  <si>
    <t xml:space="preserve">22595</t>
  </si>
  <si>
    <t xml:space="preserve">22593</t>
  </si>
  <si>
    <t xml:space="preserve">22775</t>
  </si>
  <si>
    <t xml:space="preserve">22321</t>
  </si>
  <si>
    <t xml:space="preserve">22149</t>
  </si>
  <si>
    <t xml:space="preserve">21790</t>
  </si>
  <si>
    <t xml:space="preserve">22694</t>
  </si>
  <si>
    <t xml:space="preserve">22594</t>
  </si>
  <si>
    <t xml:space="preserve">536416</t>
  </si>
  <si>
    <t xml:space="preserve">22938</t>
  </si>
  <si>
    <t xml:space="preserve">21494</t>
  </si>
  <si>
    <t xml:space="preserve">536420</t>
  </si>
  <si>
    <t xml:space="preserve">22115</t>
  </si>
  <si>
    <t xml:space="preserve">22357</t>
  </si>
  <si>
    <t xml:space="preserve">22113</t>
  </si>
  <si>
    <t xml:space="preserve">22358</t>
  </si>
  <si>
    <t xml:space="preserve">21716</t>
  </si>
  <si>
    <t xml:space="preserve">21718</t>
  </si>
  <si>
    <t xml:space="preserve">21890</t>
  </si>
  <si>
    <t xml:space="preserve">21715</t>
  </si>
  <si>
    <t xml:space="preserve">21892</t>
  </si>
  <si>
    <t xml:space="preserve">536423</t>
  </si>
  <si>
    <t xml:space="preserve">21481</t>
  </si>
  <si>
    <t xml:space="preserve">536425</t>
  </si>
  <si>
    <t xml:space="preserve">22829</t>
  </si>
  <si>
    <t xml:space="preserve">22511</t>
  </si>
  <si>
    <t xml:space="preserve">22508</t>
  </si>
  <si>
    <t xml:space="preserve">22650</t>
  </si>
  <si>
    <t xml:space="preserve">22645</t>
  </si>
  <si>
    <t xml:space="preserve">21556</t>
  </si>
  <si>
    <t xml:space="preserve">22585</t>
  </si>
  <si>
    <t xml:space="preserve">536437</t>
  </si>
  <si>
    <t xml:space="preserve">84678</t>
  </si>
  <si>
    <t xml:space="preserve">22059</t>
  </si>
  <si>
    <t xml:space="preserve">21154</t>
  </si>
  <si>
    <t xml:space="preserve">17021</t>
  </si>
  <si>
    <t xml:space="preserve">536446</t>
  </si>
  <si>
    <t xml:space="preserve">21156</t>
  </si>
  <si>
    <t xml:space="preserve">84754</t>
  </si>
  <si>
    <t xml:space="preserve">22618</t>
  </si>
  <si>
    <t xml:space="preserve">21586</t>
  </si>
  <si>
    <t xml:space="preserve">22152</t>
  </si>
  <si>
    <t xml:space="preserve">85172</t>
  </si>
  <si>
    <t xml:space="preserve">16014</t>
  </si>
  <si>
    <t xml:space="preserve">21651</t>
  </si>
  <si>
    <t xml:space="preserve">20777</t>
  </si>
  <si>
    <t xml:space="preserve">22142</t>
  </si>
  <si>
    <t xml:space="preserve">21591</t>
  </si>
  <si>
    <t xml:space="preserve">22294</t>
  </si>
  <si>
    <t xml:space="preserve">22480</t>
  </si>
  <si>
    <t xml:space="preserve">10133</t>
  </si>
  <si>
    <t xml:space="preserve">72800E</t>
  </si>
  <si>
    <t xml:space="preserve">84836</t>
  </si>
  <si>
    <t xml:space="preserve">20774</t>
  </si>
  <si>
    <t xml:space="preserve">20773</t>
  </si>
  <si>
    <t xml:space="preserve">16016</t>
  </si>
  <si>
    <t xml:space="preserve">536460</t>
  </si>
  <si>
    <t xml:space="preserve">21121</t>
  </si>
  <si>
    <t xml:space="preserve">21257</t>
  </si>
  <si>
    <t xml:space="preserve">21259</t>
  </si>
  <si>
    <t xml:space="preserve">22925</t>
  </si>
  <si>
    <t xml:space="preserve">22927</t>
  </si>
  <si>
    <t xml:space="preserve">84849B</t>
  </si>
  <si>
    <t xml:space="preserve">22670</t>
  </si>
  <si>
    <t xml:space="preserve">536463</t>
  </si>
  <si>
    <t xml:space="preserve">82552</t>
  </si>
  <si>
    <t xml:space="preserve">536464</t>
  </si>
  <si>
    <t xml:space="preserve">22582</t>
  </si>
  <si>
    <t xml:space="preserve">22956</t>
  </si>
  <si>
    <t xml:space="preserve">22731</t>
  </si>
  <si>
    <t xml:space="preserve">20866</t>
  </si>
  <si>
    <t xml:space="preserve">21584</t>
  </si>
  <si>
    <t xml:space="preserve">22333</t>
  </si>
  <si>
    <t xml:space="preserve">85095</t>
  </si>
  <si>
    <t xml:space="preserve">21815</t>
  </si>
  <si>
    <t xml:space="preserve">85231B</t>
  </si>
  <si>
    <t xml:space="preserve">21814</t>
  </si>
  <si>
    <t xml:space="preserve">22082</t>
  </si>
  <si>
    <t xml:space="preserve">20878</t>
  </si>
  <si>
    <t xml:space="preserve">22312</t>
  </si>
  <si>
    <t xml:space="preserve">72818</t>
  </si>
  <si>
    <t xml:space="preserve">85231G</t>
  </si>
  <si>
    <t xml:space="preserve">48173C</t>
  </si>
  <si>
    <t xml:space="preserve">21327</t>
  </si>
  <si>
    <t xml:space="preserve">21329</t>
  </si>
  <si>
    <t xml:space="preserve">22742</t>
  </si>
  <si>
    <t xml:space="preserve">22500</t>
  </si>
  <si>
    <t xml:space="preserve">90185C</t>
  </si>
  <si>
    <t xml:space="preserve">22577</t>
  </si>
  <si>
    <t xml:space="preserve">22603</t>
  </si>
  <si>
    <t xml:space="preserve">22744</t>
  </si>
  <si>
    <t xml:space="preserve">21260</t>
  </si>
  <si>
    <t xml:space="preserve">22737</t>
  </si>
  <si>
    <t xml:space="preserve">90200A</t>
  </si>
  <si>
    <t xml:space="preserve">90200D</t>
  </si>
  <si>
    <t xml:space="preserve">90200C</t>
  </si>
  <si>
    <t xml:space="preserve">90059C</t>
  </si>
  <si>
    <t xml:space="preserve">90059E</t>
  </si>
  <si>
    <t xml:space="preserve">90059B</t>
  </si>
  <si>
    <t xml:space="preserve">90200B</t>
  </si>
  <si>
    <t xml:space="preserve">21985</t>
  </si>
  <si>
    <t xml:space="preserve">22573</t>
  </si>
  <si>
    <t xml:space="preserve">10125</t>
  </si>
  <si>
    <t xml:space="preserve">22295</t>
  </si>
  <si>
    <t xml:space="preserve">21816</t>
  </si>
  <si>
    <t xml:space="preserve">22945</t>
  </si>
  <si>
    <t xml:space="preserve">21124</t>
  </si>
  <si>
    <t xml:space="preserve">22735</t>
  </si>
  <si>
    <t xml:space="preserve">16258A</t>
  </si>
  <si>
    <t xml:space="preserve">21992</t>
  </si>
  <si>
    <t xml:space="preserve">536466</t>
  </si>
  <si>
    <t xml:space="preserve">536477</t>
  </si>
  <si>
    <t xml:space="preserve">22423</t>
  </si>
  <si>
    <t xml:space="preserve">22571</t>
  </si>
  <si>
    <t xml:space="preserve">21137</t>
  </si>
  <si>
    <t xml:space="preserve">20977</t>
  </si>
  <si>
    <t xml:space="preserve">20979</t>
  </si>
  <si>
    <t xml:space="preserve">22041</t>
  </si>
  <si>
    <t xml:space="preserve">536488</t>
  </si>
  <si>
    <t xml:space="preserve">22372</t>
  </si>
  <si>
    <t xml:space="preserve">21190</t>
  </si>
  <si>
    <t xml:space="preserve">21894</t>
  </si>
  <si>
    <t xml:space="preserve">70007</t>
  </si>
  <si>
    <t xml:space="preserve">21895</t>
  </si>
  <si>
    <t xml:space="preserve">22376</t>
  </si>
  <si>
    <t xml:space="preserve">84558A</t>
  </si>
  <si>
    <t xml:space="preserve">21621</t>
  </si>
  <si>
    <t xml:space="preserve">47563A</t>
  </si>
  <si>
    <t xml:space="preserve">21367</t>
  </si>
  <si>
    <t xml:space="preserve">21577</t>
  </si>
  <si>
    <t xml:space="preserve">22087</t>
  </si>
  <si>
    <t xml:space="preserve">22651</t>
  </si>
  <si>
    <t xml:space="preserve">22713</t>
  </si>
  <si>
    <t xml:space="preserve">21370</t>
  </si>
  <si>
    <t xml:space="preserve">536500</t>
  </si>
  <si>
    <t xml:space="preserve">21488</t>
  </si>
  <si>
    <t xml:space="preserve">22895</t>
  </si>
  <si>
    <t xml:space="preserve">22983</t>
  </si>
  <si>
    <t xml:space="preserve">22712</t>
  </si>
  <si>
    <t xml:space="preserve">22024</t>
  </si>
  <si>
    <t xml:space="preserve">46000M</t>
  </si>
  <si>
    <t xml:space="preserve">536502</t>
  </si>
  <si>
    <t xml:space="preserve">22784</t>
  </si>
  <si>
    <t xml:space="preserve">21441</t>
  </si>
  <si>
    <t xml:space="preserve">536508</t>
  </si>
  <si>
    <t xml:space="preserve">84947</t>
  </si>
  <si>
    <t xml:space="preserve">536514</t>
  </si>
  <si>
    <t xml:space="preserve">22485</t>
  </si>
  <si>
    <t xml:space="preserve">536520</t>
  </si>
  <si>
    <t xml:space="preserve">22096</t>
  </si>
  <si>
    <t xml:space="preserve">22092</t>
  </si>
  <si>
    <t xml:space="preserve">22905</t>
  </si>
  <si>
    <t xml:space="preserve">22904</t>
  </si>
  <si>
    <t xml:space="preserve">22241</t>
  </si>
  <si>
    <t xml:space="preserve">22583</t>
  </si>
  <si>
    <t xml:space="preserve">22955</t>
  </si>
  <si>
    <t xml:space="preserve">21588</t>
  </si>
  <si>
    <t xml:space="preserve">21930</t>
  </si>
  <si>
    <t xml:space="preserve">22501</t>
  </si>
  <si>
    <t xml:space="preserve">21111</t>
  </si>
  <si>
    <t xml:space="preserve">84596E</t>
  </si>
  <si>
    <t xml:space="preserve">20754</t>
  </si>
  <si>
    <t xml:space="preserve">84985A</t>
  </si>
  <si>
    <t xml:space="preserve">71406C</t>
  </si>
  <si>
    <t xml:space="preserve">20772</t>
  </si>
  <si>
    <t xml:space="preserve">21427</t>
  </si>
  <si>
    <t xml:space="preserve">21123</t>
  </si>
  <si>
    <t xml:space="preserve">21358</t>
  </si>
  <si>
    <t xml:space="preserve">21804</t>
  </si>
  <si>
    <t xml:space="preserve">22151</t>
  </si>
  <si>
    <t xml:space="preserve">22107</t>
  </si>
  <si>
    <t xml:space="preserve">22760</t>
  </si>
  <si>
    <t xml:space="preserve">21486</t>
  </si>
  <si>
    <t xml:space="preserve">21292</t>
  </si>
  <si>
    <t xml:space="preserve">22588</t>
  </si>
  <si>
    <t xml:space="preserve">22575</t>
  </si>
  <si>
    <t xml:space="preserve">20707</t>
  </si>
  <si>
    <t xml:space="preserve">21794</t>
  </si>
  <si>
    <t xml:space="preserve">22643</t>
  </si>
  <si>
    <t xml:space="preserve">22604</t>
  </si>
  <si>
    <t xml:space="preserve">22642</t>
  </si>
  <si>
    <t xml:space="preserve">22916</t>
  </si>
  <si>
    <t xml:space="preserve">22921</t>
  </si>
  <si>
    <t xml:space="preserve">22920</t>
  </si>
  <si>
    <t xml:space="preserve">22917</t>
  </si>
  <si>
    <t xml:space="preserve">22919</t>
  </si>
  <si>
    <t xml:space="preserve">22918</t>
  </si>
  <si>
    <t xml:space="preserve">22754</t>
  </si>
  <si>
    <t xml:space="preserve">22906</t>
  </si>
  <si>
    <t xml:space="preserve">22653</t>
  </si>
  <si>
    <t xml:space="preserve">22099</t>
  </si>
  <si>
    <t xml:space="preserve">536521</t>
  </si>
  <si>
    <t xml:space="preserve">22854</t>
  </si>
  <si>
    <t xml:space="preserve">536522</t>
  </si>
  <si>
    <t xml:space="preserve">21810</t>
  </si>
  <si>
    <t xml:space="preserve">21098</t>
  </si>
  <si>
    <t xml:space="preserve">21192</t>
  </si>
  <si>
    <t xml:space="preserve">21664</t>
  </si>
  <si>
    <t xml:space="preserve">72800B</t>
  </si>
  <si>
    <t xml:space="preserve">84563A</t>
  </si>
  <si>
    <t xml:space="preserve">47504H</t>
  </si>
  <si>
    <t xml:space="preserve">21742</t>
  </si>
  <si>
    <t xml:space="preserve">22481</t>
  </si>
  <si>
    <t xml:space="preserve">84968C</t>
  </si>
  <si>
    <t xml:space="preserve">47599A</t>
  </si>
  <si>
    <t xml:space="preserve">47599B</t>
  </si>
  <si>
    <t xml:space="preserve">20972</t>
  </si>
  <si>
    <t xml:space="preserve">21041</t>
  </si>
  <si>
    <t xml:space="preserve">22907</t>
  </si>
  <si>
    <t xml:space="preserve">84997D</t>
  </si>
  <si>
    <t xml:space="preserve">85035B</t>
  </si>
  <si>
    <t xml:space="preserve">22776</t>
  </si>
  <si>
    <t xml:space="preserve">21197</t>
  </si>
  <si>
    <t xml:space="preserve">536523</t>
  </si>
  <si>
    <t xml:space="preserve">22227</t>
  </si>
  <si>
    <t xml:space="preserve">22217</t>
  </si>
  <si>
    <t xml:space="preserve">22699</t>
  </si>
  <si>
    <t xml:space="preserve">22943</t>
  </si>
  <si>
    <t xml:space="preserve">536524</t>
  </si>
  <si>
    <t xml:space="preserve">21106</t>
  </si>
  <si>
    <t xml:space="preserve">21107</t>
  </si>
  <si>
    <t xml:space="preserve">22697</t>
  </si>
  <si>
    <t xml:space="preserve">536525</t>
  </si>
  <si>
    <t xml:space="preserve">15044B</t>
  </si>
  <si>
    <t xml:space="preserve">20974</t>
  </si>
  <si>
    <t xml:space="preserve">22429</t>
  </si>
  <si>
    <t xml:space="preserve">20973</t>
  </si>
  <si>
    <t xml:space="preserve">17164B</t>
  </si>
  <si>
    <t xml:space="preserve">22548</t>
  </si>
  <si>
    <t xml:space="preserve">21826</t>
  </si>
  <si>
    <t xml:space="preserve">536526</t>
  </si>
  <si>
    <t xml:space="preserve">22624</t>
  </si>
  <si>
    <t xml:space="preserve">22625</t>
  </si>
  <si>
    <t xml:space="preserve">22626</t>
  </si>
  <si>
    <t xml:space="preserve">22173</t>
  </si>
  <si>
    <t xml:space="preserve">21135</t>
  </si>
  <si>
    <t xml:space="preserve">536527</t>
  </si>
  <si>
    <t xml:space="preserve">84569B</t>
  </si>
  <si>
    <t xml:space="preserve">20712</t>
  </si>
  <si>
    <t xml:space="preserve">22973</t>
  </si>
  <si>
    <t xml:space="preserve">22244</t>
  </si>
  <si>
    <t xml:space="preserve">84945</t>
  </si>
  <si>
    <t xml:space="preserve">47421</t>
  </si>
  <si>
    <t xml:space="preserve">536528</t>
  </si>
  <si>
    <t xml:space="preserve">22743</t>
  </si>
  <si>
    <t xml:space="preserve">22974</t>
  </si>
  <si>
    <t xml:space="preserve">22911</t>
  </si>
  <si>
    <t xml:space="preserve">85114C</t>
  </si>
  <si>
    <t xml:space="preserve">21452</t>
  </si>
  <si>
    <t xml:space="preserve">22454</t>
  </si>
  <si>
    <t xml:space="preserve">22453</t>
  </si>
  <si>
    <t xml:space="preserve">22445</t>
  </si>
  <si>
    <t xml:space="preserve">22607</t>
  </si>
  <si>
    <t xml:space="preserve">22635</t>
  </si>
  <si>
    <t xml:space="preserve">22634</t>
  </si>
  <si>
    <t xml:space="preserve">85114B</t>
  </si>
  <si>
    <t xml:space="preserve">22584</t>
  </si>
  <si>
    <t xml:space="preserve">22815</t>
  </si>
  <si>
    <t xml:space="preserve">536529</t>
  </si>
  <si>
    <t xml:space="preserve">22487</t>
  </si>
  <si>
    <t xml:space="preserve">22627</t>
  </si>
  <si>
    <t xml:space="preserve">72598</t>
  </si>
  <si>
    <t xml:space="preserve">22164</t>
  </si>
  <si>
    <t xml:space="preserve">22947</t>
  </si>
  <si>
    <t xml:space="preserve">22222</t>
  </si>
  <si>
    <t xml:space="preserve">22187</t>
  </si>
  <si>
    <t xml:space="preserve">536530</t>
  </si>
  <si>
    <t xml:space="preserve">21658</t>
  </si>
  <si>
    <t xml:space="preserve">21654</t>
  </si>
  <si>
    <t xml:space="preserve">85104</t>
  </si>
  <si>
    <t xml:space="preserve">21662</t>
  </si>
  <si>
    <t xml:space="preserve">22185</t>
  </si>
  <si>
    <t xml:space="preserve">21179</t>
  </si>
  <si>
    <t xml:space="preserve">22097</t>
  </si>
  <si>
    <t xml:space="preserve">22360</t>
  </si>
  <si>
    <t xml:space="preserve">21625</t>
  </si>
  <si>
    <t xml:space="preserve">21038</t>
  </si>
  <si>
    <t xml:space="preserve">22120</t>
  </si>
  <si>
    <t xml:space="preserve">21657</t>
  </si>
  <si>
    <t xml:space="preserve">22364</t>
  </si>
  <si>
    <t xml:space="preserve">536531</t>
  </si>
  <si>
    <t xml:space="preserve">22688</t>
  </si>
  <si>
    <t xml:space="preserve">22194</t>
  </si>
  <si>
    <t xml:space="preserve">21497</t>
  </si>
  <si>
    <t xml:space="preserve">22049</t>
  </si>
  <si>
    <t xml:space="preserve">21333</t>
  </si>
  <si>
    <t xml:space="preserve">22819</t>
  </si>
  <si>
    <t xml:space="preserve">22704</t>
  </si>
  <si>
    <t xml:space="preserve">21519</t>
  </si>
  <si>
    <t xml:space="preserve">21498</t>
  </si>
  <si>
    <t xml:space="preserve">536532</t>
  </si>
  <si>
    <t xml:space="preserve">21873</t>
  </si>
  <si>
    <t xml:space="preserve">84050</t>
  </si>
  <si>
    <t xml:space="preserve">21870</t>
  </si>
  <si>
    <t xml:space="preserve">21874</t>
  </si>
  <si>
    <t xml:space="preserve">22966</t>
  </si>
  <si>
    <t xml:space="preserve">22667</t>
  </si>
  <si>
    <t xml:space="preserve">22842</t>
  </si>
  <si>
    <t xml:space="preserve">82600</t>
  </si>
  <si>
    <t xml:space="preserve">22567</t>
  </si>
  <si>
    <t xml:space="preserve">22665</t>
  </si>
  <si>
    <t xml:space="preserve">22666</t>
  </si>
  <si>
    <t xml:space="preserve">21984</t>
  </si>
  <si>
    <t xml:space="preserve">22315</t>
  </si>
  <si>
    <t xml:space="preserve">22094</t>
  </si>
  <si>
    <t xml:space="preserve">22494</t>
  </si>
  <si>
    <t xml:space="preserve">22614</t>
  </si>
  <si>
    <t xml:space="preserve">22539</t>
  </si>
  <si>
    <t xml:space="preserve">22543</t>
  </si>
  <si>
    <t xml:space="preserve">22555</t>
  </si>
  <si>
    <t xml:space="preserve">22556</t>
  </si>
  <si>
    <t xml:space="preserve">22444</t>
  </si>
  <si>
    <t xml:space="preserve">84692</t>
  </si>
  <si>
    <t xml:space="preserve">22095</t>
  </si>
  <si>
    <t xml:space="preserve">22547</t>
  </si>
  <si>
    <t xml:space="preserve">22489</t>
  </si>
  <si>
    <t xml:space="preserve">22561</t>
  </si>
  <si>
    <t xml:space="preserve">22615</t>
  </si>
  <si>
    <t xml:space="preserve">21983</t>
  </si>
  <si>
    <t xml:space="preserve">21967</t>
  </si>
  <si>
    <t xml:space="preserve">21981</t>
  </si>
  <si>
    <t xml:space="preserve">21982</t>
  </si>
  <si>
    <t xml:space="preserve">21520</t>
  </si>
  <si>
    <t xml:space="preserve">22814</t>
  </si>
  <si>
    <t xml:space="preserve">536533</t>
  </si>
  <si>
    <t xml:space="preserve">21843</t>
  </si>
  <si>
    <t xml:space="preserve">22680</t>
  </si>
  <si>
    <t xml:space="preserve">22797</t>
  </si>
  <si>
    <t xml:space="preserve">22740</t>
  </si>
  <si>
    <t xml:space="preserve">22825</t>
  </si>
  <si>
    <t xml:space="preserve">536534</t>
  </si>
  <si>
    <t xml:space="preserve">536535</t>
  </si>
  <si>
    <t xml:space="preserve">22311</t>
  </si>
  <si>
    <t xml:space="preserve">22119</t>
  </si>
  <si>
    <t xml:space="preserve">22121</t>
  </si>
  <si>
    <t xml:space="preserve">22118</t>
  </si>
  <si>
    <t xml:space="preserve">536536</t>
  </si>
  <si>
    <t xml:space="preserve">72817</t>
  </si>
  <si>
    <t xml:space="preserve">536537</t>
  </si>
  <si>
    <t xml:space="preserve">22781</t>
  </si>
  <si>
    <t xml:space="preserve">22801</t>
  </si>
  <si>
    <t xml:space="preserve">22800</t>
  </si>
  <si>
    <t xml:space="preserve">21688</t>
  </si>
  <si>
    <t xml:space="preserve">20867</t>
  </si>
  <si>
    <t xml:space="preserve">22277</t>
  </si>
  <si>
    <t xml:space="preserve">21694</t>
  </si>
  <si>
    <t xml:space="preserve">536538</t>
  </si>
  <si>
    <t xml:space="preserve">85199S</t>
  </si>
  <si>
    <t xml:space="preserve">21143</t>
  </si>
  <si>
    <t xml:space="preserve">22601</t>
  </si>
  <si>
    <t xml:space="preserve">22600</t>
  </si>
  <si>
    <t xml:space="preserve">22574</t>
  </si>
  <si>
    <t xml:space="preserve">85199L</t>
  </si>
  <si>
    <t xml:space="preserve">84944</t>
  </si>
  <si>
    <t xml:space="preserve">37343</t>
  </si>
  <si>
    <t xml:space="preserve">22088</t>
  </si>
  <si>
    <t xml:space="preserve">21467</t>
  </si>
  <si>
    <t xml:space="preserve">21471</t>
  </si>
  <si>
    <t xml:space="preserve">21469</t>
  </si>
  <si>
    <t xml:space="preserve">21466</t>
  </si>
  <si>
    <t xml:space="preserve">22791</t>
  </si>
  <si>
    <t xml:space="preserve">21690</t>
  </si>
  <si>
    <t xml:space="preserve">21524</t>
  </si>
  <si>
    <t xml:space="preserve">536539</t>
  </si>
  <si>
    <t xml:space="preserve">85019A</t>
  </si>
  <si>
    <t xml:space="preserve">85019C</t>
  </si>
  <si>
    <t xml:space="preserve">20902</t>
  </si>
  <si>
    <t xml:space="preserve">21429</t>
  </si>
  <si>
    <t xml:space="preserve">85067</t>
  </si>
  <si>
    <t xml:space="preserve">72741</t>
  </si>
  <si>
    <t xml:space="preserve">22171</t>
  </si>
  <si>
    <t xml:space="preserve">37495</t>
  </si>
  <si>
    <t xml:space="preserve">48184</t>
  </si>
  <si>
    <t xml:space="preserve">48138</t>
  </si>
  <si>
    <t xml:space="preserve">536540</t>
  </si>
  <si>
    <t xml:space="preserve">85135B</t>
  </si>
  <si>
    <t xml:space="preserve">21056</t>
  </si>
  <si>
    <t xml:space="preserve">21055</t>
  </si>
  <si>
    <t xml:space="preserve">85136C</t>
  </si>
  <si>
    <t xml:space="preserve">85136A</t>
  </si>
  <si>
    <t xml:space="preserve">21833</t>
  </si>
  <si>
    <t xml:space="preserve">22493</t>
  </si>
  <si>
    <t xml:space="preserve">85071A</t>
  </si>
  <si>
    <t xml:space="preserve">85071C</t>
  </si>
  <si>
    <t xml:space="preserve">22355</t>
  </si>
  <si>
    <t xml:space="preserve">21576</t>
  </si>
  <si>
    <t xml:space="preserve">21579</t>
  </si>
  <si>
    <t xml:space="preserve">536541</t>
  </si>
  <si>
    <t xml:space="preserve">536542</t>
  </si>
  <si>
    <t xml:space="preserve">20711</t>
  </si>
  <si>
    <t xml:space="preserve">21928</t>
  </si>
  <si>
    <t xml:space="preserve">536544</t>
  </si>
  <si>
    <t xml:space="preserve">90190C</t>
  </si>
  <si>
    <t xml:space="preserve">85232B</t>
  </si>
  <si>
    <t xml:space="preserve">90003C</t>
  </si>
  <si>
    <t xml:space="preserve">90018A</t>
  </si>
  <si>
    <t xml:space="preserve">90022</t>
  </si>
  <si>
    <t xml:space="preserve">90120C</t>
  </si>
  <si>
    <t xml:space="preserve">90099</t>
  </si>
  <si>
    <t xml:space="preserve">90116</t>
  </si>
  <si>
    <t xml:space="preserve">90129A</t>
  </si>
  <si>
    <t xml:space="preserve">90129B</t>
  </si>
  <si>
    <t xml:space="preserve">90161A</t>
  </si>
  <si>
    <t xml:space="preserve">90071</t>
  </si>
  <si>
    <t xml:space="preserve">85186A</t>
  </si>
  <si>
    <t xml:space="preserve">85177</t>
  </si>
  <si>
    <t xml:space="preserve">85176</t>
  </si>
  <si>
    <t xml:space="preserve">85135C</t>
  </si>
  <si>
    <t xml:space="preserve">85132A</t>
  </si>
  <si>
    <t xml:space="preserve">85131B</t>
  </si>
  <si>
    <t xml:space="preserve">85129D</t>
  </si>
  <si>
    <t xml:space="preserve">85127</t>
  </si>
  <si>
    <t xml:space="preserve">85064</t>
  </si>
  <si>
    <t xml:space="preserve">85178</t>
  </si>
  <si>
    <t xml:space="preserve">90194</t>
  </si>
  <si>
    <t xml:space="preserve">84913B</t>
  </si>
  <si>
    <t xml:space="preserve">20854</t>
  </si>
  <si>
    <t xml:space="preserve">20856</t>
  </si>
  <si>
    <t xml:space="preserve">84988</t>
  </si>
  <si>
    <t xml:space="preserve">84946</t>
  </si>
  <si>
    <t xml:space="preserve">84923</t>
  </si>
  <si>
    <t xml:space="preserve">84913A</t>
  </si>
  <si>
    <t xml:space="preserve">84912B</t>
  </si>
  <si>
    <t xml:space="preserve">84598</t>
  </si>
  <si>
    <t xml:space="preserve">84581</t>
  </si>
  <si>
    <t xml:space="preserve">84580</t>
  </si>
  <si>
    <t xml:space="preserve">84536B</t>
  </si>
  <si>
    <t xml:space="preserve">84536A</t>
  </si>
  <si>
    <t xml:space="preserve">84535B</t>
  </si>
  <si>
    <t xml:space="preserve">84534B</t>
  </si>
  <si>
    <t xml:space="preserve">90214R</t>
  </si>
  <si>
    <t xml:space="preserve">90214J</t>
  </si>
  <si>
    <t xml:space="preserve">90214H</t>
  </si>
  <si>
    <t xml:space="preserve">90214G</t>
  </si>
  <si>
    <t xml:space="preserve">90214D</t>
  </si>
  <si>
    <t xml:space="preserve">90209B</t>
  </si>
  <si>
    <t xml:space="preserve">82583</t>
  </si>
  <si>
    <t xml:space="preserve">85048</t>
  </si>
  <si>
    <t xml:space="preserve">72799F</t>
  </si>
  <si>
    <t xml:space="preserve">72799E</t>
  </si>
  <si>
    <t xml:space="preserve">72586</t>
  </si>
  <si>
    <t xml:space="preserve">71459</t>
  </si>
  <si>
    <t xml:space="preserve">48188</t>
  </si>
  <si>
    <t xml:space="preserve">47593B</t>
  </si>
  <si>
    <t xml:space="preserve">47591D</t>
  </si>
  <si>
    <t xml:space="preserve">47591B</t>
  </si>
  <si>
    <t xml:space="preserve">47559B</t>
  </si>
  <si>
    <t xml:space="preserve">37476</t>
  </si>
  <si>
    <t xml:space="preserve">37449</t>
  </si>
  <si>
    <t xml:space="preserve">35971</t>
  </si>
  <si>
    <t xml:space="preserve">35961</t>
  </si>
  <si>
    <t xml:space="preserve">35957</t>
  </si>
  <si>
    <t xml:space="preserve">35818P</t>
  </si>
  <si>
    <t xml:space="preserve">35610A</t>
  </si>
  <si>
    <t xml:space="preserve">35598D</t>
  </si>
  <si>
    <t xml:space="preserve">35471D</t>
  </si>
  <si>
    <t xml:space="preserve">35095B</t>
  </si>
  <si>
    <t xml:space="preserve">35095A</t>
  </si>
  <si>
    <t xml:space="preserve">22976</t>
  </si>
  <si>
    <t xml:space="preserve">72807A</t>
  </si>
  <si>
    <t xml:space="preserve">72807B</t>
  </si>
  <si>
    <t xml:space="preserve">72816</t>
  </si>
  <si>
    <t xml:space="preserve">85039A</t>
  </si>
  <si>
    <t xml:space="preserve">85032D</t>
  </si>
  <si>
    <t xml:space="preserve">85017B</t>
  </si>
  <si>
    <t xml:space="preserve">85017A</t>
  </si>
  <si>
    <t xml:space="preserve">85016</t>
  </si>
  <si>
    <t xml:space="preserve">85015</t>
  </si>
  <si>
    <t xml:space="preserve">84279P</t>
  </si>
  <si>
    <t xml:space="preserve">84086C</t>
  </si>
  <si>
    <t xml:space="preserve">84032A</t>
  </si>
  <si>
    <t xml:space="preserve">84031B</t>
  </si>
  <si>
    <t xml:space="preserve">84031A</t>
  </si>
  <si>
    <t xml:space="preserve">82613D</t>
  </si>
  <si>
    <t xml:space="preserve">82613C</t>
  </si>
  <si>
    <t xml:space="preserve">82613B</t>
  </si>
  <si>
    <t xml:space="preserve">82551</t>
  </si>
  <si>
    <t xml:space="preserve">79030G</t>
  </si>
  <si>
    <t xml:space="preserve">79030D</t>
  </si>
  <si>
    <t xml:space="preserve">72807C</t>
  </si>
  <si>
    <t xml:space="preserve">21352</t>
  </si>
  <si>
    <t xml:space="preserve">21349</t>
  </si>
  <si>
    <t xml:space="preserve">21313</t>
  </si>
  <si>
    <t xml:space="preserve">21262</t>
  </si>
  <si>
    <t xml:space="preserve">21249</t>
  </si>
  <si>
    <t xml:space="preserve">21238</t>
  </si>
  <si>
    <t xml:space="preserve">21231</t>
  </si>
  <si>
    <t xml:space="preserve">21218</t>
  </si>
  <si>
    <t xml:space="preserve">21217</t>
  </si>
  <si>
    <t xml:space="preserve">21216</t>
  </si>
  <si>
    <t xml:space="preserve">21207</t>
  </si>
  <si>
    <t xml:space="preserve">21195</t>
  </si>
  <si>
    <t xml:space="preserve">21191</t>
  </si>
  <si>
    <t xml:space="preserve">21189</t>
  </si>
  <si>
    <t xml:space="preserve">21174</t>
  </si>
  <si>
    <t xml:space="preserve">21165</t>
  </si>
  <si>
    <t xml:space="preserve">21158</t>
  </si>
  <si>
    <t xml:space="preserve">21354</t>
  </si>
  <si>
    <t xml:space="preserve">21147</t>
  </si>
  <si>
    <t xml:space="preserve">21365</t>
  </si>
  <si>
    <t xml:space="preserve">21369</t>
  </si>
  <si>
    <t xml:space="preserve">21758</t>
  </si>
  <si>
    <t xml:space="preserve">21722</t>
  </si>
  <si>
    <t xml:space="preserve">21721</t>
  </si>
  <si>
    <t xml:space="preserve">21704</t>
  </si>
  <si>
    <t xml:space="preserve">21703</t>
  </si>
  <si>
    <t xml:space="preserve">21679</t>
  </si>
  <si>
    <t xml:space="preserve">21641</t>
  </si>
  <si>
    <t xml:space="preserve">21634</t>
  </si>
  <si>
    <t xml:space="preserve">21564</t>
  </si>
  <si>
    <t xml:space="preserve">21563</t>
  </si>
  <si>
    <t xml:space="preserve">21507</t>
  </si>
  <si>
    <t xml:space="preserve">21408</t>
  </si>
  <si>
    <t xml:space="preserve">21407</t>
  </si>
  <si>
    <t xml:space="preserve">21385</t>
  </si>
  <si>
    <t xml:space="preserve">21372</t>
  </si>
  <si>
    <t xml:space="preserve">21366</t>
  </si>
  <si>
    <t xml:space="preserve">20733</t>
  </si>
  <si>
    <t xml:space="preserve">20724</t>
  </si>
  <si>
    <t xml:space="preserve">20719</t>
  </si>
  <si>
    <t xml:space="preserve">20684</t>
  </si>
  <si>
    <t xml:space="preserve">20676</t>
  </si>
  <si>
    <t xml:space="preserve">20662</t>
  </si>
  <si>
    <t xml:space="preserve">20658</t>
  </si>
  <si>
    <t xml:space="preserve">20622</t>
  </si>
  <si>
    <t xml:space="preserve">18098C</t>
  </si>
  <si>
    <t xml:space="preserve">17129F</t>
  </si>
  <si>
    <t xml:space="preserve">17012F</t>
  </si>
  <si>
    <t xml:space="preserve">17012E</t>
  </si>
  <si>
    <t xml:space="preserve">17012D</t>
  </si>
  <si>
    <t xml:space="preserve">17012C</t>
  </si>
  <si>
    <t xml:space="preserve">17012B</t>
  </si>
  <si>
    <t xml:space="preserve">17012A</t>
  </si>
  <si>
    <t xml:space="preserve">17011F</t>
  </si>
  <si>
    <t xml:space="preserve">17003</t>
  </si>
  <si>
    <t xml:space="preserve">16236</t>
  </si>
  <si>
    <t xml:space="preserve">11001</t>
  </si>
  <si>
    <t xml:space="preserve">22844</t>
  </si>
  <si>
    <t xml:space="preserve">22845</t>
  </si>
  <si>
    <t xml:space="preserve">22862</t>
  </si>
  <si>
    <t xml:space="preserve">20735</t>
  </si>
  <si>
    <t xml:space="preserve">20770</t>
  </si>
  <si>
    <t xml:space="preserve">20835</t>
  </si>
  <si>
    <t xml:space="preserve">21070</t>
  </si>
  <si>
    <t xml:space="preserve">21069</t>
  </si>
  <si>
    <t xml:space="preserve">21012</t>
  </si>
  <si>
    <t xml:space="preserve">21000</t>
  </si>
  <si>
    <t xml:space="preserve">20996</t>
  </si>
  <si>
    <t xml:space="preserve">20981</t>
  </si>
  <si>
    <t xml:space="preserve">20975</t>
  </si>
  <si>
    <t xml:space="preserve">20971</t>
  </si>
  <si>
    <t xml:space="preserve">20969</t>
  </si>
  <si>
    <t xml:space="preserve">20956</t>
  </si>
  <si>
    <t xml:space="preserve">20840</t>
  </si>
  <si>
    <t xml:space="preserve">20839</t>
  </si>
  <si>
    <t xml:space="preserve">35599D</t>
  </si>
  <si>
    <t xml:space="preserve">22207</t>
  </si>
  <si>
    <t xml:space="preserve">22203</t>
  </si>
  <si>
    <t xml:space="preserve">22190</t>
  </si>
  <si>
    <t xml:space="preserve">22182</t>
  </si>
  <si>
    <t xml:space="preserve">22169</t>
  </si>
  <si>
    <t xml:space="preserve">22162</t>
  </si>
  <si>
    <t xml:space="preserve">22161</t>
  </si>
  <si>
    <t xml:space="preserve">22156</t>
  </si>
  <si>
    <t xml:space="preserve">22155</t>
  </si>
  <si>
    <t xml:space="preserve">22154</t>
  </si>
  <si>
    <t xml:space="preserve">22135</t>
  </si>
  <si>
    <t xml:space="preserve">22134</t>
  </si>
  <si>
    <t xml:space="preserve">22265</t>
  </si>
  <si>
    <t xml:space="preserve">22394</t>
  </si>
  <si>
    <t xml:space="preserve">22380</t>
  </si>
  <si>
    <t xml:space="preserve">22378</t>
  </si>
  <si>
    <t xml:space="preserve">22375</t>
  </si>
  <si>
    <t xml:space="preserve">22361</t>
  </si>
  <si>
    <t xml:space="preserve">22359</t>
  </si>
  <si>
    <t xml:space="preserve">22356</t>
  </si>
  <si>
    <t xml:space="preserve">22348</t>
  </si>
  <si>
    <t xml:space="preserve">22345</t>
  </si>
  <si>
    <t xml:space="preserve">22336</t>
  </si>
  <si>
    <t xml:space="preserve">22335</t>
  </si>
  <si>
    <t xml:space="preserve">22314</t>
  </si>
  <si>
    <t xml:space="preserve">22309</t>
  </si>
  <si>
    <t xml:space="preserve">22301</t>
  </si>
  <si>
    <t xml:space="preserve">22300</t>
  </si>
  <si>
    <t xml:space="preserve">22299</t>
  </si>
  <si>
    <t xml:space="preserve">22276</t>
  </si>
  <si>
    <t xml:space="preserve">21911</t>
  </si>
  <si>
    <t xml:space="preserve">21888</t>
  </si>
  <si>
    <t xml:space="preserve">21884</t>
  </si>
  <si>
    <t xml:space="preserve">21879</t>
  </si>
  <si>
    <t xml:space="preserve">21851</t>
  </si>
  <si>
    <t xml:space="preserve">21822</t>
  </si>
  <si>
    <t xml:space="preserve">21821</t>
  </si>
  <si>
    <t xml:space="preserve">21809</t>
  </si>
  <si>
    <t xml:space="preserve">21803</t>
  </si>
  <si>
    <t xml:space="preserve">21802</t>
  </si>
  <si>
    <t xml:space="preserve">21801</t>
  </si>
  <si>
    <t xml:space="preserve">21787</t>
  </si>
  <si>
    <t xml:space="preserve">21774</t>
  </si>
  <si>
    <t xml:space="preserve">21773</t>
  </si>
  <si>
    <t xml:space="preserve">21922</t>
  </si>
  <si>
    <t xml:space="preserve">22090</t>
  </si>
  <si>
    <t xml:space="preserve">22081</t>
  </si>
  <si>
    <t xml:space="preserve">22080</t>
  </si>
  <si>
    <t xml:space="preserve">22076</t>
  </si>
  <si>
    <t xml:space="preserve">22071</t>
  </si>
  <si>
    <t xml:space="preserve">22069</t>
  </si>
  <si>
    <t xml:space="preserve">22396</t>
  </si>
  <si>
    <t xml:space="preserve">22067</t>
  </si>
  <si>
    <t xml:space="preserve">22043</t>
  </si>
  <si>
    <t xml:space="preserve">22037</t>
  </si>
  <si>
    <t xml:space="preserve">21993</t>
  </si>
  <si>
    <t xml:space="preserve">21991</t>
  </si>
  <si>
    <t xml:space="preserve">21990</t>
  </si>
  <si>
    <t xml:space="preserve">21949</t>
  </si>
  <si>
    <t xml:space="preserve">21944</t>
  </si>
  <si>
    <t xml:space="preserve">21942</t>
  </si>
  <si>
    <t xml:space="preserve">21935</t>
  </si>
  <si>
    <t xml:space="preserve">22065</t>
  </si>
  <si>
    <t xml:space="preserve">22422</t>
  </si>
  <si>
    <t xml:space="preserve">22792</t>
  </si>
  <si>
    <t xml:space="preserve">22769</t>
  </si>
  <si>
    <t xml:space="preserve">22758</t>
  </si>
  <si>
    <t xml:space="preserve">22757</t>
  </si>
  <si>
    <t xml:space="preserve">22755</t>
  </si>
  <si>
    <t xml:space="preserve">22741</t>
  </si>
  <si>
    <t xml:space="preserve">22734</t>
  </si>
  <si>
    <t xml:space="preserve">22816</t>
  </si>
  <si>
    <t xml:space="preserve">22675</t>
  </si>
  <si>
    <t xml:space="preserve">22818</t>
  </si>
  <si>
    <t xml:space="preserve">22949</t>
  </si>
  <si>
    <t xml:space="preserve">22948</t>
  </si>
  <si>
    <t xml:space="preserve">22928</t>
  </si>
  <si>
    <t xml:space="preserve">22876</t>
  </si>
  <si>
    <t xml:space="preserve">22847</t>
  </si>
  <si>
    <t xml:space="preserve">22419</t>
  </si>
  <si>
    <t xml:space="preserve">22822</t>
  </si>
  <si>
    <t xml:space="preserve">22669</t>
  </si>
  <si>
    <t xml:space="preserve">22550</t>
  </si>
  <si>
    <t xml:space="preserve">22545</t>
  </si>
  <si>
    <t xml:space="preserve">22519</t>
  </si>
  <si>
    <t xml:space="preserve">22517</t>
  </si>
  <si>
    <t xml:space="preserve">22515</t>
  </si>
  <si>
    <t xml:space="preserve">22497</t>
  </si>
  <si>
    <t xml:space="preserve">22479</t>
  </si>
  <si>
    <t xml:space="preserve">22478</t>
  </si>
  <si>
    <t xml:space="preserve">22477</t>
  </si>
  <si>
    <t xml:space="preserve">22476</t>
  </si>
  <si>
    <t xml:space="preserve">22471</t>
  </si>
  <si>
    <t xml:space="preserve">22437</t>
  </si>
  <si>
    <t xml:space="preserve">22432</t>
  </si>
  <si>
    <t xml:space="preserve">22430</t>
  </si>
  <si>
    <t xml:space="preserve">22560</t>
  </si>
  <si>
    <t xml:space="preserve">22639</t>
  </si>
  <si>
    <t xml:space="preserve">22589</t>
  </si>
  <si>
    <t xml:space="preserve">22605</t>
  </si>
  <si>
    <t xml:space="preserve">536551</t>
  </si>
  <si>
    <t xml:space="preserve">22482</t>
  </si>
  <si>
    <t xml:space="preserve">21917</t>
  </si>
  <si>
    <t xml:space="preserve">79144B</t>
  </si>
  <si>
    <t xml:space="preserve">536555</t>
  </si>
  <si>
    <t xml:space="preserve">20697</t>
  </si>
  <si>
    <t xml:space="preserve">536556</t>
  </si>
  <si>
    <t xml:space="preserve">22597</t>
  </si>
  <si>
    <t xml:space="preserve">22599</t>
  </si>
  <si>
    <t xml:space="preserve">536557</t>
  </si>
  <si>
    <t xml:space="preserve">84685</t>
  </si>
  <si>
    <t xml:space="preserve">22278</t>
  </si>
  <si>
    <t xml:space="preserve">20616</t>
  </si>
  <si>
    <t xml:space="preserve">22753</t>
  </si>
  <si>
    <t xml:space="preserve">79066K</t>
  </si>
  <si>
    <t xml:space="preserve">22794</t>
  </si>
  <si>
    <t xml:space="preserve">22592</t>
  </si>
  <si>
    <t xml:space="preserve">84352</t>
  </si>
  <si>
    <t xml:space="preserve">22795</t>
  </si>
  <si>
    <t xml:space="preserve">22678</t>
  </si>
  <si>
    <t xml:space="preserve">22686</t>
  </si>
  <si>
    <t xml:space="preserve">21495</t>
  </si>
  <si>
    <t xml:space="preserve">46000R</t>
  </si>
  <si>
    <t xml:space="preserve">46000S</t>
  </si>
  <si>
    <t xml:space="preserve">84920</t>
  </si>
  <si>
    <t xml:space="preserve">22953</t>
  </si>
  <si>
    <t xml:space="preserve">84508A</t>
  </si>
  <si>
    <t xml:space="preserve">21670</t>
  </si>
  <si>
    <t xml:space="preserve">22786</t>
  </si>
  <si>
    <t xml:space="preserve">22212</t>
  </si>
  <si>
    <t xml:space="preserve">536558</t>
  </si>
  <si>
    <t xml:space="preserve">22802</t>
  </si>
  <si>
    <t xml:space="preserve">536559</t>
  </si>
  <si>
    <t xml:space="preserve">51014A</t>
  </si>
  <si>
    <t xml:space="preserve">22366</t>
  </si>
  <si>
    <t xml:space="preserve">51014L</t>
  </si>
  <si>
    <t xml:space="preserve">51014C</t>
  </si>
  <si>
    <t xml:space="preserve">84884A</t>
  </si>
  <si>
    <t xml:space="preserve">536560</t>
  </si>
  <si>
    <t xml:space="preserve">22399</t>
  </si>
  <si>
    <t xml:space="preserve">22400</t>
  </si>
  <si>
    <t xml:space="preserve">22402</t>
  </si>
  <si>
    <t xml:space="preserve">48111</t>
  </si>
  <si>
    <t xml:space="preserve">22846</t>
  </si>
  <si>
    <t xml:space="preserve">536561</t>
  </si>
  <si>
    <t xml:space="preserve">536562</t>
  </si>
  <si>
    <t xml:space="preserve">21181</t>
  </si>
  <si>
    <t xml:space="preserve">22313</t>
  </si>
  <si>
    <t xml:space="preserve">84509B</t>
  </si>
  <si>
    <t xml:space="preserve">37446</t>
  </si>
  <si>
    <t xml:space="preserve">79302M</t>
  </si>
  <si>
    <t xml:space="preserve">536563</t>
  </si>
  <si>
    <t xml:space="preserve">21818</t>
  </si>
  <si>
    <t xml:space="preserve">536564</t>
  </si>
  <si>
    <t xml:space="preserve">536565</t>
  </si>
  <si>
    <t xml:space="preserve">536566</t>
  </si>
  <si>
    <t xml:space="preserve">21668</t>
  </si>
  <si>
    <t xml:space="preserve">536567</t>
  </si>
  <si>
    <t xml:space="preserve">536568</t>
  </si>
  <si>
    <t xml:space="preserve">536569</t>
  </si>
  <si>
    <t xml:space="preserve">22576</t>
  </si>
  <si>
    <t xml:space="preserve">21817</t>
  </si>
  <si>
    <t xml:space="preserve">21813</t>
  </si>
  <si>
    <t xml:space="preserve">21808</t>
  </si>
  <si>
    <t xml:space="preserve">21014</t>
  </si>
  <si>
    <t xml:space="preserve">21018</t>
  </si>
  <si>
    <t xml:space="preserve">22946</t>
  </si>
  <si>
    <t xml:space="preserve">21761</t>
  </si>
  <si>
    <t xml:space="preserve">22660</t>
  </si>
  <si>
    <t xml:space="preserve">22638</t>
  </si>
  <si>
    <t xml:space="preserve">22640</t>
  </si>
  <si>
    <t xml:space="preserve">21462</t>
  </si>
  <si>
    <t xml:space="preserve">22496</t>
  </si>
  <si>
    <t xml:space="preserve">84870C</t>
  </si>
  <si>
    <t xml:space="preserve">84870B</t>
  </si>
  <si>
    <t xml:space="preserve">22641</t>
  </si>
  <si>
    <t xml:space="preserve">21351</t>
  </si>
  <si>
    <t xml:space="preserve">22765</t>
  </si>
  <si>
    <t xml:space="preserve">22579</t>
  </si>
  <si>
    <t xml:space="preserve">22581</t>
  </si>
  <si>
    <t xml:space="preserve">22572</t>
  </si>
  <si>
    <t xml:space="preserve">536570</t>
  </si>
  <si>
    <t xml:space="preserve">21781</t>
  </si>
  <si>
    <t xml:space="preserve">536571</t>
  </si>
  <si>
    <t xml:space="preserve">35598B</t>
  </si>
  <si>
    <t xml:space="preserve">85045</t>
  </si>
  <si>
    <t xml:space="preserve">84760S</t>
  </si>
  <si>
    <t xml:space="preserve">35954</t>
  </si>
  <si>
    <t xml:space="preserve">84360</t>
  </si>
  <si>
    <t xml:space="preserve">22696</t>
  </si>
  <si>
    <t xml:space="preserve">536572</t>
  </si>
  <si>
    <t xml:space="preserve">22855</t>
  </si>
  <si>
    <t xml:space="preserve">22578</t>
  </si>
  <si>
    <t xml:space="preserve">536573</t>
  </si>
  <si>
    <t xml:space="preserve">536574</t>
  </si>
  <si>
    <t xml:space="preserve">536575</t>
  </si>
  <si>
    <t xml:space="preserve">15056P</t>
  </si>
  <si>
    <t xml:space="preserve">21864</t>
  </si>
  <si>
    <t xml:space="preserve">536576</t>
  </si>
  <si>
    <t xml:space="preserve">85038</t>
  </si>
  <si>
    <t xml:space="preserve">82615</t>
  </si>
  <si>
    <t xml:space="preserve">85174</t>
  </si>
  <si>
    <t xml:space="preserve">536577</t>
  </si>
  <si>
    <t xml:space="preserve">536578</t>
  </si>
  <si>
    <t xml:space="preserve">536579</t>
  </si>
  <si>
    <t xml:space="preserve">536580</t>
  </si>
  <si>
    <t xml:space="preserve">22965</t>
  </si>
  <si>
    <t xml:space="preserve">536581</t>
  </si>
  <si>
    <t xml:space="preserve">536582</t>
  </si>
  <si>
    <t xml:space="preserve">22025</t>
  </si>
  <si>
    <t xml:space="preserve">21509</t>
  </si>
  <si>
    <t xml:space="preserve">21374</t>
  </si>
  <si>
    <t xml:space="preserve">536583</t>
  </si>
  <si>
    <t xml:space="preserve">536584</t>
  </si>
  <si>
    <t xml:space="preserve">536585</t>
  </si>
  <si>
    <t xml:space="preserve">536586</t>
  </si>
  <si>
    <t xml:space="preserve">22725</t>
  </si>
  <si>
    <t xml:space="preserve">536587</t>
  </si>
  <si>
    <t xml:space="preserve">22421</t>
  </si>
  <si>
    <t xml:space="preserve">37448</t>
  </si>
  <si>
    <t xml:space="preserve">536588</t>
  </si>
  <si>
    <t xml:space="preserve">84997A</t>
  </si>
  <si>
    <t xml:space="preserve">536590</t>
  </si>
  <si>
    <t xml:space="preserve">22030</t>
  </si>
  <si>
    <t xml:space="preserve">71477</t>
  </si>
  <si>
    <t xml:space="preserve">21136</t>
  </si>
  <si>
    <t xml:space="preserve">536591</t>
  </si>
  <si>
    <t xml:space="preserve">21398</t>
  </si>
  <si>
    <t xml:space="preserve">21643</t>
  </si>
  <si>
    <t xml:space="preserve">21620</t>
  </si>
  <si>
    <t xml:space="preserve">22260</t>
  </si>
  <si>
    <t xml:space="preserve">20780</t>
  </si>
  <si>
    <t xml:space="preserve">22136</t>
  </si>
  <si>
    <t xml:space="preserve">20978</t>
  </si>
  <si>
    <t xml:space="preserve">20768</t>
  </si>
  <si>
    <t xml:space="preserve">90214V</t>
  </si>
  <si>
    <t xml:space="preserve">90214S</t>
  </si>
  <si>
    <t xml:space="preserve">90214M</t>
  </si>
  <si>
    <t xml:space="preserve">21789</t>
  </si>
  <si>
    <t xml:space="preserve">21629</t>
  </si>
  <si>
    <t xml:space="preserve">21850</t>
  </si>
  <si>
    <t xml:space="preserve">536592</t>
  </si>
  <si>
    <t xml:space="preserve">22841</t>
  </si>
  <si>
    <t xml:space="preserve">22944</t>
  </si>
  <si>
    <t xml:space="preserve">22863</t>
  </si>
  <si>
    <t xml:space="preserve">22870</t>
  </si>
  <si>
    <t xml:space="preserve">22890</t>
  </si>
  <si>
    <t xml:space="preserve">22897</t>
  </si>
  <si>
    <t xml:space="preserve">22898</t>
  </si>
  <si>
    <t xml:space="preserve">35967</t>
  </si>
  <si>
    <t xml:space="preserve">35965</t>
  </si>
  <si>
    <t xml:space="preserve">37450</t>
  </si>
  <si>
    <t xml:space="preserve">35964</t>
  </si>
  <si>
    <t xml:space="preserve">37491A</t>
  </si>
  <si>
    <t xml:space="preserve">46776B</t>
  </si>
  <si>
    <t xml:space="preserve">47566B</t>
  </si>
  <si>
    <t xml:space="preserve">47567B</t>
  </si>
  <si>
    <t xml:space="preserve">47590A</t>
  </si>
  <si>
    <t xml:space="preserve">47590B</t>
  </si>
  <si>
    <t xml:space="preserve">46775D</t>
  </si>
  <si>
    <t xml:space="preserve">35916C</t>
  </si>
  <si>
    <t xml:space="preserve">22977</t>
  </si>
  <si>
    <t xml:space="preserve">35637A</t>
  </si>
  <si>
    <t xml:space="preserve">35916B</t>
  </si>
  <si>
    <t xml:space="preserve">22831</t>
  </si>
  <si>
    <t xml:space="preserve">22649</t>
  </si>
  <si>
    <t xml:space="preserve">22668</t>
  </si>
  <si>
    <t xml:space="preserve">22673</t>
  </si>
  <si>
    <t xml:space="preserve">22692</t>
  </si>
  <si>
    <t xml:space="preserve">22586</t>
  </si>
  <si>
    <t xml:space="preserve">22602</t>
  </si>
  <si>
    <t xml:space="preserve">22788</t>
  </si>
  <si>
    <t xml:space="preserve">22746</t>
  </si>
  <si>
    <t xml:space="preserve">22747</t>
  </si>
  <si>
    <t xml:space="preserve">22756</t>
  </si>
  <si>
    <t xml:space="preserve">47594A</t>
  </si>
  <si>
    <t xml:space="preserve">85170D</t>
  </si>
  <si>
    <t xml:space="preserve">85212</t>
  </si>
  <si>
    <t xml:space="preserve">85232D</t>
  </si>
  <si>
    <t xml:space="preserve">90013B</t>
  </si>
  <si>
    <t xml:space="preserve">90018B</t>
  </si>
  <si>
    <t xml:space="preserve">90019B</t>
  </si>
  <si>
    <t xml:space="preserve">85227</t>
  </si>
  <si>
    <t xml:space="preserve">85131D</t>
  </si>
  <si>
    <t xml:space="preserve">85040B</t>
  </si>
  <si>
    <t xml:space="preserve">85053</t>
  </si>
  <si>
    <t xml:space="preserve">85114A</t>
  </si>
  <si>
    <t xml:space="preserve">90024C</t>
  </si>
  <si>
    <t xml:space="preserve">90036F</t>
  </si>
  <si>
    <t xml:space="preserve">90051</t>
  </si>
  <si>
    <t xml:space="preserve">20970</t>
  </si>
  <si>
    <t xml:space="preserve">84658</t>
  </si>
  <si>
    <t xml:space="preserve">90214E</t>
  </si>
  <si>
    <t xml:space="preserve">22448</t>
  </si>
  <si>
    <t xml:space="preserve">22447</t>
  </si>
  <si>
    <t xml:space="preserve">22446</t>
  </si>
  <si>
    <t xml:space="preserve">20665</t>
  </si>
  <si>
    <t xml:space="preserve">22165</t>
  </si>
  <si>
    <t xml:space="preserve">90214A</t>
  </si>
  <si>
    <t xml:space="preserve">90211A</t>
  </si>
  <si>
    <t xml:space="preserve">90209C</t>
  </si>
  <si>
    <t xml:space="preserve">90054</t>
  </si>
  <si>
    <t xml:space="preserve">90077</t>
  </si>
  <si>
    <t xml:space="preserve">90124B</t>
  </si>
  <si>
    <t xml:space="preserve">90134</t>
  </si>
  <si>
    <t xml:space="preserve">90138</t>
  </si>
  <si>
    <t xml:space="preserve">90161B</t>
  </si>
  <si>
    <t xml:space="preserve">90166</t>
  </si>
  <si>
    <t xml:space="preserve">90173</t>
  </si>
  <si>
    <t xml:space="preserve">90177C</t>
  </si>
  <si>
    <t xml:space="preserve">90177E</t>
  </si>
  <si>
    <t xml:space="preserve">90181B</t>
  </si>
  <si>
    <t xml:space="preserve">90192</t>
  </si>
  <si>
    <t xml:space="preserve">90206C</t>
  </si>
  <si>
    <t xml:space="preserve">90040B</t>
  </si>
  <si>
    <t xml:space="preserve">85008</t>
  </si>
  <si>
    <t xml:space="preserve">82582</t>
  </si>
  <si>
    <t xml:space="preserve">82599</t>
  </si>
  <si>
    <t xml:space="preserve">82616C</t>
  </si>
  <si>
    <t xml:space="preserve">79067</t>
  </si>
  <si>
    <t xml:space="preserve">70006</t>
  </si>
  <si>
    <t xml:space="preserve">71496A</t>
  </si>
  <si>
    <t xml:space="preserve">72134</t>
  </si>
  <si>
    <t xml:space="preserve">84856L</t>
  </si>
  <si>
    <t xml:space="preserve">84915</t>
  </si>
  <si>
    <t xml:space="preserve">84950</t>
  </si>
  <si>
    <t xml:space="preserve">84976</t>
  </si>
  <si>
    <t xml:space="preserve">84828</t>
  </si>
  <si>
    <t xml:space="preserve">84459B</t>
  </si>
  <si>
    <t xml:space="preserve">84520B</t>
  </si>
  <si>
    <t xml:space="preserve">84559A</t>
  </si>
  <si>
    <t xml:space="preserve">84559B</t>
  </si>
  <si>
    <t xml:space="preserve">84596J</t>
  </si>
  <si>
    <t xml:space="preserve">84609</t>
  </si>
  <si>
    <t xml:space="preserve">84659A</t>
  </si>
  <si>
    <t xml:space="preserve">84663A</t>
  </si>
  <si>
    <t xml:space="preserve">21906</t>
  </si>
  <si>
    <t xml:space="preserve">21547</t>
  </si>
  <si>
    <t xml:space="preserve">21594</t>
  </si>
  <si>
    <t xml:space="preserve">21537</t>
  </si>
  <si>
    <t xml:space="preserve">21447</t>
  </si>
  <si>
    <t xml:space="preserve">21439</t>
  </si>
  <si>
    <t xml:space="preserve">21272</t>
  </si>
  <si>
    <t xml:space="preserve">21279</t>
  </si>
  <si>
    <t xml:space="preserve">21281</t>
  </si>
  <si>
    <t xml:space="preserve">21288</t>
  </si>
  <si>
    <t xml:space="preserve">21356</t>
  </si>
  <si>
    <t xml:space="preserve">21638</t>
  </si>
  <si>
    <t xml:space="preserve">21648</t>
  </si>
  <si>
    <t xml:space="preserve">21820</t>
  </si>
  <si>
    <t xml:space="preserve">21830</t>
  </si>
  <si>
    <t xml:space="preserve">21846</t>
  </si>
  <si>
    <t xml:space="preserve">21671</t>
  </si>
  <si>
    <t xml:space="preserve">21684</t>
  </si>
  <si>
    <t xml:space="preserve">21698</t>
  </si>
  <si>
    <t xml:space="preserve">21700</t>
  </si>
  <si>
    <t xml:space="preserve">21745</t>
  </si>
  <si>
    <t xml:space="preserve">21775</t>
  </si>
  <si>
    <t xml:space="preserve">21656</t>
  </si>
  <si>
    <t xml:space="preserve">20681</t>
  </si>
  <si>
    <t xml:space="preserve">20682</t>
  </si>
  <si>
    <t xml:space="preserve">20696</t>
  </si>
  <si>
    <t xml:space="preserve">20699</t>
  </si>
  <si>
    <t xml:space="preserve">20700</t>
  </si>
  <si>
    <t xml:space="preserve">20718</t>
  </si>
  <si>
    <t xml:space="preserve">20752</t>
  </si>
  <si>
    <t xml:space="preserve">20653</t>
  </si>
  <si>
    <t xml:space="preserve">20619</t>
  </si>
  <si>
    <t xml:space="preserve">20617</t>
  </si>
  <si>
    <t xml:space="preserve">10135</t>
  </si>
  <si>
    <t xml:space="preserve">16168M</t>
  </si>
  <si>
    <t xml:space="preserve">17014A</t>
  </si>
  <si>
    <t xml:space="preserve">17084N</t>
  </si>
  <si>
    <t xml:space="preserve">17084P</t>
  </si>
  <si>
    <t xml:space="preserve">21220</t>
  </si>
  <si>
    <t xml:space="preserve">20761</t>
  </si>
  <si>
    <t xml:space="preserve">20846</t>
  </si>
  <si>
    <t xml:space="preserve">21109</t>
  </si>
  <si>
    <t xml:space="preserve">21110</t>
  </si>
  <si>
    <t xml:space="preserve">21128</t>
  </si>
  <si>
    <t xml:space="preserve">21164</t>
  </si>
  <si>
    <t xml:space="preserve">21188</t>
  </si>
  <si>
    <t xml:space="preserve">21208</t>
  </si>
  <si>
    <t xml:space="preserve">20931</t>
  </si>
  <si>
    <t xml:space="preserve">21002</t>
  </si>
  <si>
    <t xml:space="preserve">21015</t>
  </si>
  <si>
    <t xml:space="preserve">21067</t>
  </si>
  <si>
    <t xml:space="preserve">21875</t>
  </si>
  <si>
    <t xml:space="preserve">21868</t>
  </si>
  <si>
    <t xml:space="preserve">22350</t>
  </si>
  <si>
    <t xml:space="preserve">22393</t>
  </si>
  <si>
    <t xml:space="preserve">22405</t>
  </si>
  <si>
    <t xml:space="preserve">22409</t>
  </si>
  <si>
    <t xml:space="preserve">22342</t>
  </si>
  <si>
    <t xml:space="preserve">22331</t>
  </si>
  <si>
    <t xml:space="preserve">22325</t>
  </si>
  <si>
    <t xml:space="preserve">22283</t>
  </si>
  <si>
    <t xml:space="preserve">22304</t>
  </si>
  <si>
    <t xml:space="preserve">22308</t>
  </si>
  <si>
    <t xml:space="preserve">22317</t>
  </si>
  <si>
    <t xml:space="preserve">22324</t>
  </si>
  <si>
    <t xml:space="preserve">22420</t>
  </si>
  <si>
    <t xml:space="preserve">22536</t>
  </si>
  <si>
    <t xml:space="preserve">22503</t>
  </si>
  <si>
    <t xml:space="preserve">22499</t>
  </si>
  <si>
    <t xml:space="preserve">22425</t>
  </si>
  <si>
    <t xml:space="preserve">22458</t>
  </si>
  <si>
    <t xml:space="preserve">22459</t>
  </si>
  <si>
    <t xml:space="preserve">22078</t>
  </si>
  <si>
    <t xml:space="preserve">21896</t>
  </si>
  <si>
    <t xml:space="preserve">21899</t>
  </si>
  <si>
    <t xml:space="preserve">21908</t>
  </si>
  <si>
    <t xml:space="preserve">21974</t>
  </si>
  <si>
    <t xml:space="preserve">22084</t>
  </si>
  <si>
    <t xml:space="preserve">22091</t>
  </si>
  <si>
    <t xml:space="preserve">22184</t>
  </si>
  <si>
    <t xml:space="preserve">22208</t>
  </si>
  <si>
    <t xml:space="preserve">22245</t>
  </si>
  <si>
    <t xml:space="preserve">22246</t>
  </si>
  <si>
    <t xml:space="preserve">22124</t>
  </si>
  <si>
    <t xml:space="preserve">536593</t>
  </si>
  <si>
    <t xml:space="preserve">21472</t>
  </si>
  <si>
    <t xml:space="preserve">536594</t>
  </si>
  <si>
    <t xml:space="preserve">536595</t>
  </si>
  <si>
    <t xml:space="preserve">21877</t>
  </si>
  <si>
    <t xml:space="preserve">22524</t>
  </si>
  <si>
    <t xml:space="preserve">20765</t>
  </si>
  <si>
    <t xml:space="preserve">536596</t>
  </si>
  <si>
    <t xml:space="preserve">84926A</t>
  </si>
  <si>
    <t xml:space="preserve">21624</t>
  </si>
  <si>
    <t xml:space="preserve">536597</t>
  </si>
  <si>
    <t xml:space="preserve">20755</t>
  </si>
  <si>
    <t xml:space="preserve">21221</t>
  </si>
  <si>
    <t xml:space="preserve">21380</t>
  </si>
  <si>
    <t xml:space="preserve">35271S</t>
  </si>
  <si>
    <t xml:space="preserve">72798C</t>
  </si>
  <si>
    <t xml:space="preserve">85034A</t>
  </si>
  <si>
    <t xml:space="preserve">22220</t>
  </si>
  <si>
    <t xml:space="preserve">21709</t>
  </si>
  <si>
    <t xml:space="preserve">72803A</t>
  </si>
  <si>
    <t xml:space="preserve">85035C</t>
  </si>
  <si>
    <t xml:space="preserve">40001</t>
  </si>
  <si>
    <t xml:space="preserve">536598</t>
  </si>
  <si>
    <t xml:space="preserve">21421</t>
  </si>
  <si>
    <t xml:space="preserve">21422</t>
  </si>
  <si>
    <t xml:space="preserve">22617</t>
  </si>
  <si>
    <t xml:space="preserve">536599</t>
  </si>
  <si>
    <t xml:space="preserve">536600</t>
  </si>
  <si>
    <t xml:space="preserve">536601</t>
  </si>
  <si>
    <t xml:space="preserve">536602</t>
  </si>
  <si>
    <t xml:space="preserve">536603</t>
  </si>
  <si>
    <t xml:space="preserve">536604</t>
  </si>
  <si>
    <t xml:space="preserve">536605</t>
  </si>
  <si>
    <t xml:space="preserve">22272</t>
  </si>
  <si>
    <t xml:space="preserve">21172</t>
  </si>
  <si>
    <t xml:space="preserve">21364</t>
  </si>
  <si>
    <t xml:space="preserve">21042</t>
  </si>
  <si>
    <t xml:space="preserve">536607</t>
  </si>
  <si>
    <t xml:space="preserve">22507</t>
  </si>
  <si>
    <t xml:space="preserve">22365</t>
  </si>
  <si>
    <t xml:space="preserve">72760B</t>
  </si>
  <si>
    <t xml:space="preserve">536608</t>
  </si>
  <si>
    <t xml:space="preserve">536609</t>
  </si>
  <si>
    <t xml:space="preserve">536610</t>
  </si>
  <si>
    <t xml:space="preserve">536611</t>
  </si>
  <si>
    <t xml:space="preserve">62096A</t>
  </si>
  <si>
    <t xml:space="preserve">85071D</t>
  </si>
  <si>
    <t xml:space="preserve">536612</t>
  </si>
  <si>
    <t xml:space="preserve">536613</t>
  </si>
  <si>
    <t xml:space="preserve">22029</t>
  </si>
  <si>
    <t xml:space="preserve">21360</t>
  </si>
  <si>
    <t xml:space="preserve">21918</t>
  </si>
  <si>
    <t xml:space="preserve">22044</t>
  </si>
  <si>
    <t xml:space="preserve">536614</t>
  </si>
  <si>
    <t xml:space="preserve">536615</t>
  </si>
  <si>
    <t xml:space="preserve">84792</t>
  </si>
  <si>
    <t xml:space="preserve">84077</t>
  </si>
  <si>
    <t xml:space="preserve">536616</t>
  </si>
  <si>
    <t xml:space="preserve">536617</t>
  </si>
  <si>
    <t xml:space="preserve">20893</t>
  </si>
  <si>
    <t xml:space="preserve">85175</t>
  </si>
  <si>
    <t xml:space="preserve">536618</t>
  </si>
  <si>
    <t xml:space="preserve">22434</t>
  </si>
  <si>
    <t xml:space="preserve">22564</t>
  </si>
  <si>
    <t xml:space="preserve">22440</t>
  </si>
  <si>
    <t xml:space="preserve">536619</t>
  </si>
  <si>
    <t xml:space="preserve">536620</t>
  </si>
  <si>
    <t xml:space="preserve">21060</t>
  </si>
  <si>
    <t xml:space="preserve">21881</t>
  </si>
  <si>
    <t xml:space="preserve">84826</t>
  </si>
  <si>
    <t xml:space="preserve">21719</t>
  </si>
  <si>
    <t xml:space="preserve">21058</t>
  </si>
  <si>
    <t xml:space="preserve">21215</t>
  </si>
  <si>
    <t xml:space="preserve">536621</t>
  </si>
  <si>
    <t xml:space="preserve">22491</t>
  </si>
  <si>
    <t xml:space="preserve">536623</t>
  </si>
  <si>
    <t xml:space="preserve">22460</t>
  </si>
  <si>
    <t xml:space="preserve">22433</t>
  </si>
  <si>
    <t xml:space="preserve">84674</t>
  </si>
  <si>
    <t xml:space="preserve">22431</t>
  </si>
  <si>
    <t xml:space="preserve">21673</t>
  </si>
  <si>
    <t xml:space="preserve">21355</t>
  </si>
  <si>
    <t xml:space="preserve">21518</t>
  </si>
  <si>
    <t xml:space="preserve">22023</t>
  </si>
  <si>
    <t xml:space="preserve">22027</t>
  </si>
  <si>
    <t xml:space="preserve">22717</t>
  </si>
  <si>
    <t xml:space="preserve">22718</t>
  </si>
  <si>
    <t xml:space="preserve">21669</t>
  </si>
  <si>
    <t xml:space="preserve">22028</t>
  </si>
  <si>
    <t xml:space="preserve">536624</t>
  </si>
  <si>
    <t xml:space="preserve">22672</t>
  </si>
  <si>
    <t xml:space="preserve">22676</t>
  </si>
  <si>
    <t xml:space="preserve">536626</t>
  </si>
  <si>
    <t xml:space="preserve">536627</t>
  </si>
  <si>
    <t xml:space="preserve">22777</t>
  </si>
  <si>
    <t xml:space="preserve">536628</t>
  </si>
  <si>
    <t xml:space="preserve">536629</t>
  </si>
  <si>
    <t xml:space="preserve">536630</t>
  </si>
  <si>
    <t xml:space="preserve">536631</t>
  </si>
  <si>
    <t xml:space="preserve">536632</t>
  </si>
  <si>
    <t xml:space="preserve">22924</t>
  </si>
  <si>
    <t xml:space="preserve">536633</t>
  </si>
  <si>
    <t xml:space="preserve">22832</t>
  </si>
  <si>
    <t xml:space="preserve">536634</t>
  </si>
  <si>
    <t xml:space="preserve">22170</t>
  </si>
  <si>
    <t xml:space="preserve">20674</t>
  </si>
  <si>
    <t xml:space="preserve">536635</t>
  </si>
  <si>
    <t xml:space="preserve">22840</t>
  </si>
  <si>
    <t xml:space="preserve">21428</t>
  </si>
  <si>
    <t xml:space="preserve">536636</t>
  </si>
  <si>
    <t xml:space="preserve">536637</t>
  </si>
  <si>
    <t xml:space="preserve">22733</t>
  </si>
  <si>
    <t xml:space="preserve">22796</t>
  </si>
  <si>
    <t xml:space="preserve">22559</t>
  </si>
  <si>
    <t xml:space="preserve">22896</t>
  </si>
  <si>
    <t xml:space="preserve">20967</t>
  </si>
  <si>
    <t xml:space="preserve">79191C</t>
  </si>
  <si>
    <t xml:space="preserve">16046</t>
  </si>
  <si>
    <t xml:space="preserve">47471</t>
  </si>
  <si>
    <t xml:space="preserve">536638</t>
  </si>
  <si>
    <t xml:space="preserve">21163</t>
  </si>
  <si>
    <t xml:space="preserve">21159</t>
  </si>
  <si>
    <t xml:space="preserve">21161</t>
  </si>
  <si>
    <t xml:space="preserve">21390</t>
  </si>
  <si>
    <t xml:space="preserve">22285</t>
  </si>
  <si>
    <t xml:space="preserve">22284</t>
  </si>
  <si>
    <t xml:space="preserve">21383</t>
  </si>
  <si>
    <t xml:space="preserve">21381</t>
  </si>
  <si>
    <t xml:space="preserve">22210</t>
  </si>
  <si>
    <t xml:space="preserve">22209</t>
  </si>
  <si>
    <t xml:space="preserve">22131</t>
  </si>
  <si>
    <t xml:space="preserve">21430</t>
  </si>
  <si>
    <t xml:space="preserve">85216</t>
  </si>
  <si>
    <t xml:space="preserve">21527</t>
  </si>
  <si>
    <t xml:space="preserve">21538</t>
  </si>
  <si>
    <t xml:space="preserve">20983</t>
  </si>
  <si>
    <t xml:space="preserve">22070</t>
  </si>
  <si>
    <t xml:space="preserve">536639</t>
  </si>
  <si>
    <t xml:space="preserve">21872</t>
  </si>
  <si>
    <t xml:space="preserve">536640</t>
  </si>
  <si>
    <t xml:space="preserve">22761</t>
  </si>
  <si>
    <t xml:space="preserve">85035A</t>
  </si>
  <si>
    <t xml:space="preserve">536641</t>
  </si>
  <si>
    <t xml:space="preserve">536643</t>
  </si>
  <si>
    <t xml:space="preserve">22374</t>
  </si>
  <si>
    <t xml:space="preserve">22385</t>
  </si>
  <si>
    <t xml:space="preserve">536663</t>
  </si>
  <si>
    <t xml:space="preserve">536667</t>
  </si>
  <si>
    <t xml:space="preserve">21741</t>
  </si>
  <si>
    <t xml:space="preserve">536670</t>
  </si>
  <si>
    <t xml:space="preserve">536671</t>
  </si>
  <si>
    <t xml:space="preserve">85061W</t>
  </si>
  <si>
    <t xml:space="preserve">536672</t>
  </si>
  <si>
    <t xml:space="preserve">536673</t>
  </si>
  <si>
    <t xml:space="preserve">40016</t>
  </si>
  <si>
    <t xml:space="preserve">536674</t>
  </si>
  <si>
    <t xml:space="preserve">84341B</t>
  </si>
  <si>
    <t xml:space="preserve">20832</t>
  </si>
  <si>
    <t xml:space="preserve">20986</t>
  </si>
  <si>
    <t xml:space="preserve">16235</t>
  </si>
  <si>
    <t xml:space="preserve">84509G</t>
  </si>
  <si>
    <t xml:space="preserve">21064</t>
  </si>
  <si>
    <t xml:space="preserve">22202</t>
  </si>
  <si>
    <t xml:space="preserve">536676</t>
  </si>
  <si>
    <t xml:space="preserve">21769</t>
  </si>
  <si>
    <t xml:space="preserve">22442</t>
  </si>
  <si>
    <t xml:space="preserve">84846A</t>
  </si>
  <si>
    <t xml:space="preserve">536681</t>
  </si>
  <si>
    <t xml:space="preserve">536685</t>
  </si>
  <si>
    <t xml:space="preserve">536688</t>
  </si>
  <si>
    <t xml:space="preserve">536690</t>
  </si>
  <si>
    <t xml:space="preserve">536693</t>
  </si>
  <si>
    <t xml:space="preserve">536698</t>
  </si>
  <si>
    <t xml:space="preserve">21561</t>
  </si>
  <si>
    <t xml:space="preserve">22320</t>
  </si>
  <si>
    <t xml:space="preserve">20798</t>
  </si>
  <si>
    <t xml:space="preserve">536707</t>
  </si>
  <si>
    <t xml:space="preserve">22215</t>
  </si>
  <si>
    <t xml:space="preserve">85132C</t>
  </si>
  <si>
    <t xml:space="preserve">85132B</t>
  </si>
  <si>
    <t xml:space="preserve">536732</t>
  </si>
  <si>
    <t xml:space="preserve">21987</t>
  </si>
  <si>
    <t xml:space="preserve">22332</t>
  </si>
  <si>
    <t xml:space="preserve">22316</t>
  </si>
  <si>
    <t xml:space="preserve">21989</t>
  </si>
  <si>
    <t xml:space="preserve">21988</t>
  </si>
  <si>
    <t xml:space="preserve">21239</t>
  </si>
  <si>
    <t xml:space="preserve">20675</t>
  </si>
  <si>
    <t xml:space="preserve">536733</t>
  </si>
  <si>
    <t xml:space="preserve">20677</t>
  </si>
  <si>
    <t xml:space="preserve">21206</t>
  </si>
  <si>
    <t xml:space="preserve">536735</t>
  </si>
  <si>
    <t xml:space="preserve">536736</t>
  </si>
  <si>
    <t xml:space="preserve">536738</t>
  </si>
  <si>
    <t xml:space="preserve">22893</t>
  </si>
  <si>
    <t xml:space="preserve">22806</t>
  </si>
  <si>
    <t xml:space="preserve">536739</t>
  </si>
  <si>
    <t xml:space="preserve">85159A</t>
  </si>
  <si>
    <t xml:space="preserve">21784</t>
  </si>
  <si>
    <t xml:space="preserve">22849</t>
  </si>
  <si>
    <t xml:space="preserve">536740</t>
  </si>
  <si>
    <t xml:space="preserve">536741</t>
  </si>
  <si>
    <t xml:space="preserve">72133</t>
  </si>
  <si>
    <t xml:space="preserve">72127</t>
  </si>
  <si>
    <t xml:space="preserve">17090A</t>
  </si>
  <si>
    <t xml:space="preserve">17090D</t>
  </si>
  <si>
    <t xml:space="preserve">84763</t>
  </si>
  <si>
    <t xml:space="preserve">536742</t>
  </si>
  <si>
    <t xml:space="preserve">22292</t>
  </si>
  <si>
    <t xml:space="preserve">21504</t>
  </si>
  <si>
    <t xml:space="preserve">21211</t>
  </si>
  <si>
    <t xml:space="preserve">22450</t>
  </si>
  <si>
    <t xml:space="preserve">84519B</t>
  </si>
  <si>
    <t xml:space="preserve">10124G</t>
  </si>
  <si>
    <t xml:space="preserve">22514</t>
  </si>
  <si>
    <t xml:space="preserve">22505</t>
  </si>
  <si>
    <t xml:space="preserve">536743</t>
  </si>
  <si>
    <t xml:space="preserve">85124C</t>
  </si>
  <si>
    <t xml:space="preserve">21849</t>
  </si>
  <si>
    <t xml:space="preserve">85124B</t>
  </si>
  <si>
    <t xml:space="preserve">20828</t>
  </si>
  <si>
    <t xml:space="preserve">21623</t>
  </si>
  <si>
    <t xml:space="preserve">85025C</t>
  </si>
  <si>
    <t xml:space="preserve">22045</t>
  </si>
  <si>
    <t xml:space="preserve">90175C</t>
  </si>
  <si>
    <t xml:space="preserve">90180A</t>
  </si>
  <si>
    <t xml:space="preserve">90178A</t>
  </si>
  <si>
    <t xml:space="preserve">20984</t>
  </si>
  <si>
    <t xml:space="preserve">22436</t>
  </si>
  <si>
    <t xml:space="preserve">21465</t>
  </si>
  <si>
    <t xml:space="preserve">21470</t>
  </si>
  <si>
    <t xml:space="preserve">16012</t>
  </si>
  <si>
    <t xml:space="preserve">22986</t>
  </si>
  <si>
    <t xml:space="preserve">536744</t>
  </si>
  <si>
    <t xml:space="preserve">536745</t>
  </si>
  <si>
    <t xml:space="preserve">536746</t>
  </si>
  <si>
    <t xml:space="preserve">536747</t>
  </si>
  <si>
    <t xml:space="preserve">85049F</t>
  </si>
  <si>
    <t xml:space="preserve">16156S</t>
  </si>
  <si>
    <t xml:space="preserve">536748</t>
  </si>
  <si>
    <t xml:space="preserve">22426</t>
  </si>
  <si>
    <t xml:space="preserve">536749</t>
  </si>
  <si>
    <t xml:space="preserve">22474</t>
  </si>
  <si>
    <t xml:space="preserve">21416</t>
  </si>
  <si>
    <t xml:space="preserve">21417</t>
  </si>
  <si>
    <t xml:space="preserve">22343</t>
  </si>
  <si>
    <t xml:space="preserve">18097A</t>
  </si>
  <si>
    <t xml:space="preserve">18097C</t>
  </si>
  <si>
    <t xml:space="preserve">90082A</t>
  </si>
  <si>
    <t xml:space="preserve">90082B</t>
  </si>
  <si>
    <t xml:space="preserve">90081A</t>
  </si>
  <si>
    <t xml:space="preserve">90204</t>
  </si>
  <si>
    <t xml:space="preserve">90185B</t>
  </si>
  <si>
    <t xml:space="preserve">90195A</t>
  </si>
  <si>
    <t xml:space="preserve">90195B</t>
  </si>
  <si>
    <t xml:space="preserve">90196A</t>
  </si>
  <si>
    <t xml:space="preserve">90082D</t>
  </si>
  <si>
    <t xml:space="preserve">90199A</t>
  </si>
  <si>
    <t xml:space="preserve">21415</t>
  </si>
  <si>
    <t xml:space="preserve">85106</t>
  </si>
  <si>
    <t xml:space="preserve">20894</t>
  </si>
  <si>
    <t xml:space="preserve">90186A</t>
  </si>
  <si>
    <t xml:space="preserve">536750</t>
  </si>
  <si>
    <t xml:space="preserve">536751</t>
  </si>
  <si>
    <t xml:space="preserve">536752</t>
  </si>
  <si>
    <t xml:space="preserve">536753</t>
  </si>
  <si>
    <t xml:space="preserve">536754</t>
  </si>
  <si>
    <t xml:space="preserve">85185B</t>
  </si>
  <si>
    <t xml:space="preserve">85185D</t>
  </si>
  <si>
    <t xml:space="preserve">21901</t>
  </si>
  <si>
    <t xml:space="preserve">21902</t>
  </si>
  <si>
    <t xml:space="preserve">20757</t>
  </si>
  <si>
    <t xml:space="preserve">20759</t>
  </si>
  <si>
    <t xml:space="preserve">21948</t>
  </si>
  <si>
    <t xml:space="preserve">20760</t>
  </si>
  <si>
    <t xml:space="preserve">536755</t>
  </si>
  <si>
    <t xml:space="preserve">536756</t>
  </si>
  <si>
    <t xml:space="preserve">22439</t>
  </si>
  <si>
    <t xml:space="preserve">536759</t>
  </si>
  <si>
    <t xml:space="preserve">79163</t>
  </si>
  <si>
    <t xml:space="preserve">84683</t>
  </si>
  <si>
    <t xml:space="preserve">79164</t>
  </si>
  <si>
    <t xml:space="preserve">536761</t>
  </si>
  <si>
    <t xml:space="preserve">15060B</t>
  </si>
  <si>
    <t xml:space="preserve">21155</t>
  </si>
  <si>
    <t xml:space="preserve">536762</t>
  </si>
  <si>
    <t xml:space="preserve">22821</t>
  </si>
  <si>
    <t xml:space="preserve">22985</t>
  </si>
  <si>
    <t xml:space="preserve">536763</t>
  </si>
  <si>
    <t xml:space="preserve">22705</t>
  </si>
  <si>
    <t xml:space="preserve">536769</t>
  </si>
  <si>
    <t xml:space="preserve">72801C</t>
  </si>
  <si>
    <t xml:space="preserve">72801D</t>
  </si>
  <si>
    <t xml:space="preserve">21735</t>
  </si>
  <si>
    <t xml:space="preserve">536771</t>
  </si>
  <si>
    <t xml:space="preserve">536777</t>
  </si>
  <si>
    <t xml:space="preserve">21500</t>
  </si>
  <si>
    <t xml:space="preserve">536778</t>
  </si>
  <si>
    <t xml:space="preserve">15036</t>
  </si>
  <si>
    <t xml:space="preserve">536780</t>
  </si>
  <si>
    <t xml:space="preserve">536781</t>
  </si>
  <si>
    <t xml:space="preserve">536782</t>
  </si>
  <si>
    <t xml:space="preserve">22341</t>
  </si>
  <si>
    <t xml:space="preserve">21539</t>
  </si>
  <si>
    <t xml:space="preserve">536783</t>
  </si>
  <si>
    <t xml:space="preserve">84952B</t>
  </si>
  <si>
    <t xml:space="preserve">35001G</t>
  </si>
  <si>
    <t xml:space="preserve">84952C</t>
  </si>
  <si>
    <t xml:space="preserve">22452</t>
  </si>
  <si>
    <t xml:space="preserve">21508</t>
  </si>
  <si>
    <t xml:space="preserve">21499</t>
  </si>
  <si>
    <t xml:space="preserve">536784</t>
  </si>
  <si>
    <t xml:space="preserve">536785</t>
  </si>
  <si>
    <t xml:space="preserve">536786</t>
  </si>
  <si>
    <t xml:space="preserve">536787</t>
  </si>
  <si>
    <t xml:space="preserve">536788</t>
  </si>
  <si>
    <t xml:space="preserve">536789</t>
  </si>
  <si>
    <t xml:space="preserve">536790</t>
  </si>
  <si>
    <t xml:space="preserve">536791</t>
  </si>
  <si>
    <t xml:space="preserve">536792</t>
  </si>
  <si>
    <t xml:space="preserve">536793</t>
  </si>
  <si>
    <t xml:space="preserve">22264</t>
  </si>
  <si>
    <t xml:space="preserve">536794</t>
  </si>
  <si>
    <t xml:space="preserve">536795</t>
  </si>
  <si>
    <t xml:space="preserve">536796</t>
  </si>
  <si>
    <t xml:space="preserve">20751</t>
  </si>
  <si>
    <t xml:space="preserve">21714</t>
  </si>
  <si>
    <t xml:space="preserve">22562</t>
  </si>
  <si>
    <t xml:space="preserve">21399</t>
  </si>
  <si>
    <t xml:space="preserve">21426</t>
  </si>
  <si>
    <t xml:space="preserve">22636</t>
  </si>
  <si>
    <t xml:space="preserve">21581</t>
  </si>
  <si>
    <t xml:space="preserve">85144</t>
  </si>
  <si>
    <t xml:space="preserve">21268</t>
  </si>
  <si>
    <t xml:space="preserve">21393</t>
  </si>
  <si>
    <t xml:space="preserve">21392</t>
  </si>
  <si>
    <t xml:space="preserve">22181</t>
  </si>
  <si>
    <t xml:space="preserve">21025</t>
  </si>
  <si>
    <t xml:space="preserve">21031</t>
  </si>
  <si>
    <t xml:space="preserve">21026</t>
  </si>
  <si>
    <t xml:space="preserve">21030</t>
  </si>
  <si>
    <t xml:space="preserve">21357</t>
  </si>
  <si>
    <t xml:space="preserve">20766</t>
  </si>
  <si>
    <t xml:space="preserve">21578</t>
  </si>
  <si>
    <t xml:space="preserve">21032</t>
  </si>
  <si>
    <t xml:space="preserve">536797</t>
  </si>
  <si>
    <t xml:space="preserve">90002D</t>
  </si>
  <si>
    <t xml:space="preserve">536798</t>
  </si>
  <si>
    <t xml:space="preserve">21900</t>
  </si>
  <si>
    <t xml:space="preserve">536799</t>
  </si>
  <si>
    <t xml:space="preserve">536800</t>
  </si>
  <si>
    <t xml:space="preserve">22031</t>
  </si>
  <si>
    <t xml:space="preserve">536801</t>
  </si>
  <si>
    <t xml:space="preserve">536802</t>
  </si>
  <si>
    <t xml:space="preserve">536803</t>
  </si>
  <si>
    <t xml:space="preserve">536804</t>
  </si>
  <si>
    <t xml:space="preserve">536805</t>
  </si>
  <si>
    <t xml:space="preserve">22406</t>
  </si>
  <si>
    <t xml:space="preserve">22408</t>
  </si>
  <si>
    <t xml:space="preserve">21788</t>
  </si>
  <si>
    <t xml:space="preserve">536806</t>
  </si>
  <si>
    <t xml:space="preserve">536808</t>
  </si>
  <si>
    <t xml:space="preserve">536809</t>
  </si>
  <si>
    <t xml:space="preserve">536810</t>
  </si>
  <si>
    <t xml:space="preserve">536811</t>
  </si>
  <si>
    <t xml:space="preserve">22275</t>
  </si>
  <si>
    <t xml:space="preserve">536813</t>
  </si>
  <si>
    <t xml:space="preserve">22089</t>
  </si>
  <si>
    <t xml:space="preserve">22042</t>
  </si>
  <si>
    <t xml:space="preserve">536819</t>
  </si>
  <si>
    <t xml:space="preserve">21059</t>
  </si>
  <si>
    <t xml:space="preserve">536821</t>
  </si>
  <si>
    <t xml:space="preserve">21240</t>
  </si>
  <si>
    <t xml:space="preserve">536823</t>
  </si>
  <si>
    <t xml:space="preserve">536824</t>
  </si>
  <si>
    <t xml:space="preserve">536830</t>
  </si>
  <si>
    <t xml:space="preserve">536831</t>
  </si>
  <si>
    <t xml:space="preserve">536832</t>
  </si>
  <si>
    <t xml:space="preserve">21927</t>
  </si>
  <si>
    <t xml:space="preserve">21925</t>
  </si>
  <si>
    <t xml:space="preserve">22763</t>
  </si>
  <si>
    <t xml:space="preserve">85066</t>
  </si>
  <si>
    <t xml:space="preserve">536833</t>
  </si>
  <si>
    <t xml:space="preserve">22334</t>
  </si>
  <si>
    <t xml:space="preserve">536834</t>
  </si>
  <si>
    <t xml:space="preserve">536835</t>
  </si>
  <si>
    <t xml:space="preserve">22655</t>
  </si>
  <si>
    <t xml:space="preserve">536836</t>
  </si>
  <si>
    <t xml:space="preserve">21157</t>
  </si>
  <si>
    <t xml:space="preserve">16161P</t>
  </si>
  <si>
    <t xml:space="preserve">21039</t>
  </si>
  <si>
    <t xml:space="preserve">22060</t>
  </si>
  <si>
    <t xml:space="preserve">22061</t>
  </si>
  <si>
    <t xml:space="preserve">21531</t>
  </si>
  <si>
    <t xml:space="preserve">536837</t>
  </si>
  <si>
    <t xml:space="preserve">85214</t>
  </si>
  <si>
    <t xml:space="preserve">16161M</t>
  </si>
  <si>
    <t xml:space="preserve">536838</t>
  </si>
  <si>
    <t xml:space="preserve">72232</t>
  </si>
  <si>
    <t xml:space="preserve">536839</t>
  </si>
  <si>
    <t xml:space="preserve">84247G</t>
  </si>
  <si>
    <t xml:space="preserve">536840</t>
  </si>
  <si>
    <t xml:space="preserve">536841</t>
  </si>
  <si>
    <t xml:space="preserve">536842</t>
  </si>
  <si>
    <t xml:space="preserve">536843</t>
  </si>
  <si>
    <t xml:space="preserve">536844</t>
  </si>
  <si>
    <t xml:space="preserve">536845</t>
  </si>
  <si>
    <t xml:space="preserve">20615</t>
  </si>
  <si>
    <t xml:space="preserve">21114</t>
  </si>
  <si>
    <t xml:space="preserve">21530</t>
  </si>
  <si>
    <t xml:space="preserve">21528</t>
  </si>
  <si>
    <t xml:space="preserve">536846</t>
  </si>
  <si>
    <t xml:space="preserve">22443</t>
  </si>
  <si>
    <t xml:space="preserve">47021G</t>
  </si>
  <si>
    <t xml:space="preserve">536847</t>
  </si>
  <si>
    <t xml:space="preserve">21807</t>
  </si>
  <si>
    <t xml:space="preserve">536848</t>
  </si>
  <si>
    <t xml:space="preserve">536849</t>
  </si>
  <si>
    <t xml:space="preserve">Model Data — one row per completed invoice (n = 271)</t>
  </si>
  <si>
    <t xml:space="preserve">Lines, Quantity, Value and Avg Price are formulas over 'Invoice Lines'. Predicted and Residual use the coefficients on the 'Regression' sheet.</t>
  </si>
  <si>
    <t xml:space="preserve">CustomerID</t>
  </si>
  <si>
    <t xml:space="preserve">Country</t>
  </si>
  <si>
    <t xml:space="preserve">Invoice Date</t>
  </si>
  <si>
    <t xml:space="preserve">X1: Lines (products)</t>
  </si>
  <si>
    <t xml:space="preserve">X2: Total Quantity</t>
  </si>
  <si>
    <t xml:space="preserve">Avg Unit Price (£)</t>
  </si>
  <si>
    <t xml:space="preserve">Y: Invoice Value (£)</t>
  </si>
  <si>
    <t xml:space="preserve">Predicted Y (£)</t>
  </si>
  <si>
    <t xml:space="preserve">Residual (£)</t>
  </si>
  <si>
    <t xml:space="preserve">United Kingdom</t>
  </si>
  <si>
    <t xml:space="preserve">France</t>
  </si>
  <si>
    <t xml:space="preserve">Australia</t>
  </si>
  <si>
    <t xml:space="preserve">Netherlands</t>
  </si>
  <si>
    <t xml:space="preserve">Germany</t>
  </si>
  <si>
    <t xml:space="preserve">Norway</t>
  </si>
  <si>
    <t xml:space="preserve">EIRE</t>
  </si>
  <si>
    <t xml:space="preserve">Task 4.1 — Multiple Linear Regression</t>
  </si>
  <si>
    <t xml:space="preserve">Y = Invoice Value (£)  |  X1 = Lines per invoice  |  X2 = Total quantity.  Computed with LINEST (same result as the Data Analysis ToolPak).</t>
  </si>
  <si>
    <t xml:space="preserve">Regression statistic</t>
  </si>
  <si>
    <t xml:space="preserve">Multiple R</t>
  </si>
  <si>
    <t xml:space="preserve">Standard Error of Y (£)</t>
  </si>
  <si>
    <t xml:space="preserve">Observations (n)</t>
  </si>
  <si>
    <t xml:space="preserve">Residual df</t>
  </si>
  <si>
    <t xml:space="preserve">Coefficient</t>
  </si>
  <si>
    <t xml:space="preserve">Estimate</t>
  </si>
  <si>
    <t xml:space="preserve">Std. Error</t>
  </si>
  <si>
    <t xml:space="preserve">t Stat</t>
  </si>
  <si>
    <t xml:space="preserve">P-value</t>
  </si>
  <si>
    <t xml:space="preserve">Lower 95%</t>
  </si>
  <si>
    <t xml:space="preserve">Upper 95%</t>
  </si>
  <si>
    <t xml:space="preserve">X1: Lines per invoice</t>
  </si>
  <si>
    <t xml:space="preserve">X2: Total quantity</t>
  </si>
  <si>
    <t xml:space="preserve">Intercept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</si>
  <si>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</si>
  <si>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</si>
  <si>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</si>
  <si>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</si>
  <si>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</si>
  <si>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Regression</t>
  </si>
  <si>
    <t xml:space="preserve">Residual</t>
  </si>
  <si>
    <t xml:space="preserve">Total</t>
  </si>
  <si>
    <t xml:space="preserve">Model comparison (same 271 invoices)</t>
  </si>
  <si>
    <t xml:space="preserve">Adjusted R²</t>
  </si>
  <si>
    <t xml:space="preserve">Added value of the extra variable</t>
  </si>
  <si>
    <t xml:space="preserve">M1 (Checkpoint 2): Lines only</t>
  </si>
  <si>
    <t xml:space="preserve">Baseline</t>
  </si>
  <si>
    <t xml:space="preserve">M2 (this checkpoint): Lines + Quantity</t>
  </si>
  <si>
    <t xml:space="preserve">M3: Lines + Quantity + Avg Unit Price</t>
  </si>
  <si>
    <t xml:space="preserve">Note: 'Multiple R' etc. replicate the Excel Data Analysis ToolPak → Regression summary. Interpretation of these numbers should be written by the group in the report.</t>
  </si>
  <si>
    <t xml:space="preserve">Assumption &amp; Limitation Checks</t>
  </si>
  <si>
    <t xml:space="preserve">Quick numerical checks supporting the 'assumptions and limitations' part of Task 4.1.</t>
  </si>
  <si>
    <t xml:space="preserve">Check</t>
  </si>
  <si>
    <t xml:space="preserve">What to look at</t>
  </si>
  <si>
    <t xml:space="preserve">Mean of residuals (£)</t>
  </si>
  <si>
    <t xml:space="preserve">Should be ≈ 0 for OLS</t>
  </si>
  <si>
    <t xml:space="preserve">Std. deviation of residuals (£)</t>
  </si>
  <si>
    <t xml:space="preserve">Spread of prediction errors</t>
  </si>
  <si>
    <t xml:space="preserve">Largest positive residual (£)</t>
  </si>
  <si>
    <t xml:space="preserve">Biggest under-prediction</t>
  </si>
  <si>
    <t xml:space="preserve">Largest negative residual (£)</t>
  </si>
  <si>
    <t xml:space="preserve">Biggest over-prediction</t>
  </si>
  <si>
    <t xml:space="preserve">Invoices with |residual| &gt; 2 × SE</t>
  </si>
  <si>
    <t xml:space="preserve">Count of poorly predicted invoices (outliers)</t>
  </si>
  <si>
    <t xml:space="preserve">…as % of invoices</t>
  </si>
  <si>
    <t xml:space="preserve">Share of outliers</t>
  </si>
  <si>
    <t xml:space="preserve">Correlation: Lines vs Quantity</t>
  </si>
  <si>
    <t xml:space="preserve">Low = little multicollinearity between predictors</t>
  </si>
  <si>
    <t xml:space="preserve">VIF (1 / (1 − r²))</t>
  </si>
  <si>
    <t xml:space="preserve">Values near 1 = no multicollinearity problem</t>
  </si>
  <si>
    <t xml:space="preserve">Max invoice value (£)</t>
  </si>
  <si>
    <t xml:space="preserve">Extreme order present in the sample</t>
  </si>
  <si>
    <t xml:space="preserve">Mean invoice value (£)</t>
  </si>
  <si>
    <t xml:space="preserve">Compare with max → heavy right skew</t>
  </si>
  <si>
    <t xml:space="preserve">Median invoice value (£)</t>
  </si>
  <si>
    <t xml:space="preserve">Typical invoice</t>
  </si>
  <si>
    <t xml:space="preserve">Average size of a miss</t>
  </si>
  <si>
    <t xml:space="preserve">MAE as % of mean value</t>
  </si>
  <si>
    <t xml:space="preserve">Relative error</t>
  </si>
  <si>
    <t xml:space="preserve">Date range of sample</t>
  </si>
  <si>
    <t xml:space="preserve">Only ~3 days of trading — limits generalisation</t>
  </si>
  <si>
    <t xml:space="preserve">Prediction Calculator &amp; Scenarios</t>
  </si>
  <si>
    <t xml:space="preserve">Blue cells on a cream fill are inputs — change them to predict any invoice. Prediction band = Predicted ± 1.96 × Standard Error of Y (approximate).</t>
  </si>
  <si>
    <t xml:space="preserve">Scenario</t>
  </si>
  <si>
    <t xml:space="preserve">Lines (products)</t>
  </si>
  <si>
    <t xml:space="preserve">Total quantity</t>
  </si>
  <si>
    <t xml:space="preserve">Predicted value (£)</t>
  </si>
  <si>
    <t xml:space="preserve">Approx. low (£)</t>
  </si>
  <si>
    <t xml:space="preserve">Approx. high (£)</t>
  </si>
  <si>
    <t xml:space="preserve">Small basket</t>
  </si>
  <si>
    <t xml:space="preserve">Typical basket (median invoice)</t>
  </si>
  <si>
    <t xml:space="preserve">Average basket</t>
  </si>
  <si>
    <t xml:space="preserve">Large basket</t>
  </si>
  <si>
    <t xml:space="preserve">Add 5 extra product lines to the typical basket</t>
  </si>
  <si>
    <t xml:space="preserve">Same lines, +100 units</t>
  </si>
  <si>
    <t xml:space="preserve">Legend: blue text / cream fill = editable input. Scenario values are illustrative choices by the analyst (the 'typical basket' uses the sample median of 11 lines and 106 units).</t>
  </si>
  <si>
    <t xml:space="preserve">Your own invoice →</t>
  </si>
  <si>
    <t xml:space="preserve">Model Charts</t>
  </si>
  <si>
    <t xml:space="preserve">Actual vs. predicted invoice value, and residuals vs. predicted (check for a funnel shape = unequal spread).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</si>
</sst>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"/>
    <numFmt numFmtId="166" formatCode="#,##0.00"/>
    <numFmt numFmtId="167" formatCode="0.0E+00"/>
    <numFmt numFmtId="168" formatCode="\£#,##0.00"/>
    <numFmt numFmtId="169" formatCode="yyyy\-mm\-dd\ hh:mm"/>
    <numFmt numFmtId="170" formatCode="0"/>
    <numFmt numFmtId="171" formatCode="#,##0.0000"/>
    <numFmt numFmtId="172" formatCode="0.00"/>
    <numFmt numFmtId="173" formatCode="0.0%"/>
    <numFmt numFmtId="174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237E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A237E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  <fill>
      <patternFill patternType="solid">
        <fgColor rgb="FFE8EAF6"/>
        <bgColor rgb="FFFFF3D6"/>
      </patternFill>
    </fill>
    <fill>
      <patternFill patternType="solid">
        <fgColor rgb="FFFFF3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3D6"/>
      <rgbColor rgb="FFE8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555555"/>
      <rgbColor rgb="FF969696"/>
      <rgbColor rgb="FF1A237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Predicted Invoice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"Invoices"</c:f>
              <c:strCache>
                <c:ptCount val="1"/>
                <c:pt idx="0">
                  <c:v>Invoices</c:v>
                </c:pt>
              </c:strCache>
            </c:strRef>
          </c:tx>
          <c:spPr>
            <a:solidFill>
              <a:srgbClr val="1a237e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1a237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'Model Data'!$I$5:$I$275</c:f>
              <c:numCache>
                <c:formatCode>\£#,##0.00</c:formatCode>
                <c:ptCount val="271"/>
                <c:pt idx="0">
                  <c:v>140.905530069491</c:v>
                </c:pt>
                <c:pt idx="1">
                  <c:v>78.4080081471518</c:v>
                </c:pt>
                <c:pt idx="2">
                  <c:v>217.594081387559</c:v>
                </c:pt>
                <c:pt idx="3">
                  <c:v>95.649254179756</c:v>
                </c:pt>
                <c:pt idx="4">
                  <c:v>62.6918704329855</c:v>
                </c:pt>
                <c:pt idx="5">
                  <c:v>611.427633301289</c:v>
                </c:pt>
                <c:pt idx="6">
                  <c:v>135.539154664391</c:v>
                </c:pt>
                <c:pt idx="7">
                  <c:v>78.4080081471518</c:v>
                </c:pt>
                <c:pt idx="8">
                  <c:v>251.130504826385</c:v>
                </c:pt>
                <c:pt idx="9">
                  <c:v>90.1278605980603</c:v>
                </c:pt>
                <c:pt idx="10">
                  <c:v>251.130504826385</c:v>
                </c:pt>
                <c:pt idx="11">
                  <c:v>173.014870785341</c:v>
                </c:pt>
                <c:pt idx="12">
                  <c:v>78.4080081471518</c:v>
                </c:pt>
                <c:pt idx="13">
                  <c:v>618.996182312344</c:v>
                </c:pt>
                <c:pt idx="14">
                  <c:v>82.5593115870052</c:v>
                </c:pt>
                <c:pt idx="15">
                  <c:v>492.02693518625</c:v>
                </c:pt>
                <c:pt idx="16">
                  <c:v>265.843581333035</c:v>
                </c:pt>
                <c:pt idx="17">
                  <c:v>326.02494448715</c:v>
                </c:pt>
                <c:pt idx="18">
                  <c:v>153.204422212456</c:v>
                </c:pt>
                <c:pt idx="19">
                  <c:v>297.528900533424</c:v>
                </c:pt>
                <c:pt idx="20">
                  <c:v>1450.99856685068</c:v>
                </c:pt>
                <c:pt idx="21">
                  <c:v>255.648837200565</c:v>
                </c:pt>
                <c:pt idx="22">
                  <c:v>254.702768574183</c:v>
                </c:pt>
                <c:pt idx="23">
                  <c:v>1708.92423248541</c:v>
                </c:pt>
                <c:pt idx="24">
                  <c:v>222.112413761738</c:v>
                </c:pt>
                <c:pt idx="25">
                  <c:v>67.422213564895</c:v>
                </c:pt>
                <c:pt idx="26">
                  <c:v>646.53019807288</c:v>
                </c:pt>
                <c:pt idx="27">
                  <c:v>399.451268410612</c:v>
                </c:pt>
                <c:pt idx="28">
                  <c:v>278.77850574919</c:v>
                </c:pt>
                <c:pt idx="29">
                  <c:v>123.819302213482</c:v>
                </c:pt>
                <c:pt idx="30">
                  <c:v>316.988279738792</c:v>
                </c:pt>
                <c:pt idx="31">
                  <c:v>78.4080081471518</c:v>
                </c:pt>
                <c:pt idx="32">
                  <c:v>71.2064880704225</c:v>
                </c:pt>
                <c:pt idx="33">
                  <c:v>630.86193905914</c:v>
                </c:pt>
                <c:pt idx="34">
                  <c:v>184.000665367598</c:v>
                </c:pt>
                <c:pt idx="35">
                  <c:v>150.676252686501</c:v>
                </c:pt>
                <c:pt idx="36">
                  <c:v>668.672764980798</c:v>
                </c:pt>
                <c:pt idx="37">
                  <c:v>180.950448730722</c:v>
                </c:pt>
                <c:pt idx="38">
                  <c:v>265.90057391417</c:v>
                </c:pt>
                <c:pt idx="39">
                  <c:v>78.4080081471518</c:v>
                </c:pt>
                <c:pt idx="40">
                  <c:v>926.23140168121</c:v>
                </c:pt>
                <c:pt idx="41">
                  <c:v>601.419826479032</c:v>
                </c:pt>
                <c:pt idx="42">
                  <c:v>728.731029091935</c:v>
                </c:pt>
                <c:pt idx="43">
                  <c:v>693.24547581921</c:v>
                </c:pt>
                <c:pt idx="44">
                  <c:v>199.928813839494</c:v>
                </c:pt>
                <c:pt idx="45">
                  <c:v>258.48704307971</c:v>
                </c:pt>
                <c:pt idx="46">
                  <c:v>191.259178025462</c:v>
                </c:pt>
                <c:pt idx="47">
                  <c:v>304.689387595827</c:v>
                </c:pt>
                <c:pt idx="48">
                  <c:v>1045.7141658249</c:v>
                </c:pt>
                <c:pt idx="49">
                  <c:v>581.479433177069</c:v>
                </c:pt>
                <c:pt idx="50">
                  <c:v>302.952268519659</c:v>
                </c:pt>
                <c:pt idx="51">
                  <c:v>71.2064880704225</c:v>
                </c:pt>
                <c:pt idx="52">
                  <c:v>778.831633275849</c:v>
                </c:pt>
                <c:pt idx="53">
                  <c:v>84.0844199054431</c:v>
                </c:pt>
                <c:pt idx="54">
                  <c:v>1165.76685577994</c:v>
                </c:pt>
                <c:pt idx="55">
                  <c:v>364.674699559021</c:v>
                </c:pt>
                <c:pt idx="56">
                  <c:v>257.173945519003</c:v>
                </c:pt>
                <c:pt idx="57">
                  <c:v>125.556421289651</c:v>
                </c:pt>
                <c:pt idx="58">
                  <c:v>271.406007929057</c:v>
                </c:pt>
                <c:pt idx="59">
                  <c:v>200.29584277382</c:v>
                </c:pt>
                <c:pt idx="60">
                  <c:v>750.335589322123</c:v>
                </c:pt>
                <c:pt idx="61">
                  <c:v>60.7997331802217</c:v>
                </c:pt>
                <c:pt idx="62">
                  <c:v>506.600953083113</c:v>
                </c:pt>
                <c:pt idx="63">
                  <c:v>245.030071552634</c:v>
                </c:pt>
                <c:pt idx="64">
                  <c:v>104.163871817193</c:v>
                </c:pt>
                <c:pt idx="65">
                  <c:v>173.707895639666</c:v>
                </c:pt>
                <c:pt idx="66">
                  <c:v>206.396276047572</c:v>
                </c:pt>
                <c:pt idx="67">
                  <c:v>301.060131266895</c:v>
                </c:pt>
                <c:pt idx="68">
                  <c:v>505.23086294127</c:v>
                </c:pt>
                <c:pt idx="69">
                  <c:v>153.416432970186</c:v>
                </c:pt>
                <c:pt idx="70">
                  <c:v>278.256458638269</c:v>
                </c:pt>
                <c:pt idx="71">
                  <c:v>580.998419080473</c:v>
                </c:pt>
                <c:pt idx="72">
                  <c:v>2330.48220613761</c:v>
                </c:pt>
                <c:pt idx="73">
                  <c:v>171.546755048037</c:v>
                </c:pt>
                <c:pt idx="74">
                  <c:v>136.909244806233</c:v>
                </c:pt>
                <c:pt idx="75">
                  <c:v>206.241257870976</c:v>
                </c:pt>
                <c:pt idx="76">
                  <c:v>164.133224213578</c:v>
                </c:pt>
                <c:pt idx="77">
                  <c:v>262.426335761833</c:v>
                </c:pt>
                <c:pt idx="78">
                  <c:v>414.025286307474</c:v>
                </c:pt>
                <c:pt idx="79">
                  <c:v>398.464166769904</c:v>
                </c:pt>
                <c:pt idx="80">
                  <c:v>407.076810002802</c:v>
                </c:pt>
                <c:pt idx="81">
                  <c:v>71.2064880704225</c:v>
                </c:pt>
                <c:pt idx="82">
                  <c:v>538.73536724648</c:v>
                </c:pt>
                <c:pt idx="83">
                  <c:v>4982.55653687966</c:v>
                </c:pt>
                <c:pt idx="84">
                  <c:v>355.369031471797</c:v>
                </c:pt>
                <c:pt idx="85">
                  <c:v>68.9473218833329</c:v>
                </c:pt>
                <c:pt idx="86">
                  <c:v>177.435177564059</c:v>
                </c:pt>
                <c:pt idx="87">
                  <c:v>700.871017411399</c:v>
                </c:pt>
                <c:pt idx="88">
                  <c:v>64.5840076857493</c:v>
                </c:pt>
                <c:pt idx="89">
                  <c:v>220.954334377626</c:v>
                </c:pt>
                <c:pt idx="90">
                  <c:v>388.465473828355</c:v>
                </c:pt>
                <c:pt idx="91">
                  <c:v>293.124553321514</c:v>
                </c:pt>
                <c:pt idx="92">
                  <c:v>275.940299870045</c:v>
                </c:pt>
                <c:pt idx="93">
                  <c:v>273.567148520686</c:v>
                </c:pt>
                <c:pt idx="94">
                  <c:v>78.4080081471518</c:v>
                </c:pt>
                <c:pt idx="95">
                  <c:v>68.9473218833329</c:v>
                </c:pt>
                <c:pt idx="96">
                  <c:v>183.845647191002</c:v>
                </c:pt>
                <c:pt idx="97">
                  <c:v>227.943843696625</c:v>
                </c:pt>
                <c:pt idx="98">
                  <c:v>71.2064880704225</c:v>
                </c:pt>
                <c:pt idx="99">
                  <c:v>649.204271894721</c:v>
                </c:pt>
                <c:pt idx="100">
                  <c:v>170.021646729599</c:v>
                </c:pt>
                <c:pt idx="101">
                  <c:v>450.962995750694</c:v>
                </c:pt>
                <c:pt idx="102">
                  <c:v>488.650722629374</c:v>
                </c:pt>
                <c:pt idx="103">
                  <c:v>210.123557971965</c:v>
                </c:pt>
                <c:pt idx="104">
                  <c:v>62.6918704329855</c:v>
                </c:pt>
                <c:pt idx="105">
                  <c:v>921.991186526605</c:v>
                </c:pt>
                <c:pt idx="106">
                  <c:v>1229.36546450526</c:v>
                </c:pt>
                <c:pt idx="107">
                  <c:v>448.5328518202</c:v>
                </c:pt>
                <c:pt idx="108">
                  <c:v>208.655442234661</c:v>
                </c:pt>
                <c:pt idx="109">
                  <c:v>328.17012551197</c:v>
                </c:pt>
                <c:pt idx="110">
                  <c:v>158.301794278691</c:v>
                </c:pt>
                <c:pt idx="111">
                  <c:v>249.067389830218</c:v>
                </c:pt>
                <c:pt idx="112">
                  <c:v>349.154613035776</c:v>
                </c:pt>
                <c:pt idx="113">
                  <c:v>173.381899719666</c:v>
                </c:pt>
                <c:pt idx="114">
                  <c:v>423.144017084485</c:v>
                </c:pt>
                <c:pt idx="115">
                  <c:v>61.7458018066036</c:v>
                </c:pt>
                <c:pt idx="116">
                  <c:v>144.689804575019</c:v>
                </c:pt>
                <c:pt idx="117">
                  <c:v>507.205066222686</c:v>
                </c:pt>
                <c:pt idx="118">
                  <c:v>229.313933838467</c:v>
                </c:pt>
                <c:pt idx="119">
                  <c:v>223.48250390358</c:v>
                </c:pt>
                <c:pt idx="120">
                  <c:v>428.697329799798</c:v>
                </c:pt>
                <c:pt idx="121">
                  <c:v>5706.09387099018</c:v>
                </c:pt>
                <c:pt idx="122">
                  <c:v>106.635048762013</c:v>
                </c:pt>
                <c:pt idx="123">
                  <c:v>120.826078157741</c:v>
                </c:pt>
                <c:pt idx="124">
                  <c:v>234.044276970377</c:v>
                </c:pt>
                <c:pt idx="125">
                  <c:v>104.375882574923</c:v>
                </c:pt>
                <c:pt idx="126">
                  <c:v>321.465579098645</c:v>
                </c:pt>
                <c:pt idx="127">
                  <c:v>153.359440389051</c:v>
                </c:pt>
                <c:pt idx="128">
                  <c:v>171.546755048037</c:v>
                </c:pt>
                <c:pt idx="129">
                  <c:v>192.050228475248</c:v>
                </c:pt>
                <c:pt idx="130">
                  <c:v>78.4080081471518</c:v>
                </c:pt>
                <c:pt idx="131">
                  <c:v>199.618777486303</c:v>
                </c:pt>
                <c:pt idx="132">
                  <c:v>78.4080081471518</c:v>
                </c:pt>
                <c:pt idx="133">
                  <c:v>225.31764857521</c:v>
                </c:pt>
                <c:pt idx="134">
                  <c:v>261.904288650912</c:v>
                </c:pt>
                <c:pt idx="135">
                  <c:v>270.263888111754</c:v>
                </c:pt>
                <c:pt idx="136">
                  <c:v>102.638763498755</c:v>
                </c:pt>
                <c:pt idx="137">
                  <c:v>251.130504826385</c:v>
                </c:pt>
                <c:pt idx="138">
                  <c:v>78.4080081471518</c:v>
                </c:pt>
                <c:pt idx="139">
                  <c:v>298.22192538775</c:v>
                </c:pt>
                <c:pt idx="140">
                  <c:v>238.252572991365</c:v>
                </c:pt>
                <c:pt idx="141">
                  <c:v>361.453505178741</c:v>
                </c:pt>
                <c:pt idx="142">
                  <c:v>78.4080081471518</c:v>
                </c:pt>
                <c:pt idx="143">
                  <c:v>241.245797047106</c:v>
                </c:pt>
                <c:pt idx="144">
                  <c:v>127.970605653336</c:v>
                </c:pt>
                <c:pt idx="145">
                  <c:v>741.137060711069</c:v>
                </c:pt>
                <c:pt idx="146">
                  <c:v>771.525241917559</c:v>
                </c:pt>
                <c:pt idx="147">
                  <c:v>112.4664786969</c:v>
                </c:pt>
                <c:pt idx="148">
                  <c:v>919.323958390864</c:v>
                </c:pt>
                <c:pt idx="149">
                  <c:v>406.595795906206</c:v>
                </c:pt>
                <c:pt idx="150">
                  <c:v>1028.40681333045</c:v>
                </c:pt>
                <c:pt idx="151">
                  <c:v>426.789232980226</c:v>
                </c:pt>
                <c:pt idx="152">
                  <c:v>65.5300763121312</c:v>
                </c:pt>
                <c:pt idx="153">
                  <c:v>214.021817639762</c:v>
                </c:pt>
                <c:pt idx="154">
                  <c:v>249.238367573622</c:v>
                </c:pt>
                <c:pt idx="155">
                  <c:v>78.4080081471518</c:v>
                </c:pt>
                <c:pt idx="156">
                  <c:v>251.130504826385</c:v>
                </c:pt>
                <c:pt idx="157">
                  <c:v>78.4080081471518</c:v>
                </c:pt>
                <c:pt idx="158">
                  <c:v>364.715732573347</c:v>
                </c:pt>
                <c:pt idx="159">
                  <c:v>281.616711628336</c:v>
                </c:pt>
                <c:pt idx="160">
                  <c:v>303.898337146041</c:v>
                </c:pt>
                <c:pt idx="161">
                  <c:v>429.415428101641</c:v>
                </c:pt>
                <c:pt idx="162">
                  <c:v>93.9121351035878</c:v>
                </c:pt>
                <c:pt idx="163">
                  <c:v>626.074603346096</c:v>
                </c:pt>
                <c:pt idx="164">
                  <c:v>1091.96438904145</c:v>
                </c:pt>
                <c:pt idx="165">
                  <c:v>268.159740101259</c:v>
                </c:pt>
                <c:pt idx="166">
                  <c:v>142.275620211334</c:v>
                </c:pt>
                <c:pt idx="167">
                  <c:v>60.7997331802217</c:v>
                </c:pt>
                <c:pt idx="168">
                  <c:v>317.102264901061</c:v>
                </c:pt>
                <c:pt idx="169">
                  <c:v>243.447970653061</c:v>
                </c:pt>
                <c:pt idx="170">
                  <c:v>370.335151750503</c:v>
                </c:pt>
                <c:pt idx="171">
                  <c:v>97.6964096091154</c:v>
                </c:pt>
                <c:pt idx="172">
                  <c:v>213.540803543166</c:v>
                </c:pt>
                <c:pt idx="173">
                  <c:v>119.300969839303</c:v>
                </c:pt>
                <c:pt idx="174">
                  <c:v>587.082892787417</c:v>
                </c:pt>
                <c:pt idx="175">
                  <c:v>319.304438507016</c:v>
                </c:pt>
                <c:pt idx="176">
                  <c:v>168.553530992296</c:v>
                </c:pt>
                <c:pt idx="177">
                  <c:v>189.791062288158</c:v>
                </c:pt>
                <c:pt idx="178">
                  <c:v>277.253397430753</c:v>
                </c:pt>
                <c:pt idx="179">
                  <c:v>78.4080081471518</c:v>
                </c:pt>
                <c:pt idx="180">
                  <c:v>262.116299408642</c:v>
                </c:pt>
                <c:pt idx="181">
                  <c:v>78.4080081471518</c:v>
                </c:pt>
                <c:pt idx="182">
                  <c:v>304.110347903771</c:v>
                </c:pt>
                <c:pt idx="183">
                  <c:v>185.060719156249</c:v>
                </c:pt>
                <c:pt idx="184">
                  <c:v>499.11447010071</c:v>
                </c:pt>
                <c:pt idx="185">
                  <c:v>394.720925278702</c:v>
                </c:pt>
                <c:pt idx="186">
                  <c:v>180.950448730722</c:v>
                </c:pt>
                <c:pt idx="187">
                  <c:v>1314.76468465168</c:v>
                </c:pt>
                <c:pt idx="188">
                  <c:v>142.797667322255</c:v>
                </c:pt>
                <c:pt idx="189">
                  <c:v>168.398512815701</c:v>
                </c:pt>
                <c:pt idx="190">
                  <c:v>166.449382981802</c:v>
                </c:pt>
                <c:pt idx="191">
                  <c:v>283.663867057696</c:v>
                </c:pt>
                <c:pt idx="192">
                  <c:v>502.025628127799</c:v>
                </c:pt>
                <c:pt idx="193">
                  <c:v>489.188729307104</c:v>
                </c:pt>
                <c:pt idx="194">
                  <c:v>254.278747058722</c:v>
                </c:pt>
                <c:pt idx="195">
                  <c:v>243.871992168521</c:v>
                </c:pt>
                <c:pt idx="196">
                  <c:v>233.310219101725</c:v>
                </c:pt>
                <c:pt idx="197">
                  <c:v>210.025532376504</c:v>
                </c:pt>
                <c:pt idx="198">
                  <c:v>113.257529146686</c:v>
                </c:pt>
                <c:pt idx="199">
                  <c:v>551.123171104196</c:v>
                </c:pt>
                <c:pt idx="200">
                  <c:v>301.11712384803</c:v>
                </c:pt>
                <c:pt idx="201">
                  <c:v>78.4080081471518</c:v>
                </c:pt>
                <c:pt idx="202">
                  <c:v>287.872163078684</c:v>
                </c:pt>
                <c:pt idx="203">
                  <c:v>78.4080081471518</c:v>
                </c:pt>
                <c:pt idx="204">
                  <c:v>547.069893259804</c:v>
                </c:pt>
                <c:pt idx="205">
                  <c:v>174.865975023778</c:v>
                </c:pt>
                <c:pt idx="206">
                  <c:v>211.240604341751</c:v>
                </c:pt>
                <c:pt idx="207">
                  <c:v>281.983740562662</c:v>
                </c:pt>
                <c:pt idx="208">
                  <c:v>137.121255563964</c:v>
                </c:pt>
                <c:pt idx="209">
                  <c:v>415.224398705913</c:v>
                </c:pt>
                <c:pt idx="210">
                  <c:v>452.219100730267</c:v>
                </c:pt>
                <c:pt idx="211">
                  <c:v>630.675001748927</c:v>
                </c:pt>
                <c:pt idx="212">
                  <c:v>165.50331435542</c:v>
                </c:pt>
                <c:pt idx="213">
                  <c:v>180.4284016198</c:v>
                </c:pt>
                <c:pt idx="214">
                  <c:v>271.732003849057</c:v>
                </c:pt>
                <c:pt idx="215">
                  <c:v>85.2424992895553</c:v>
                </c:pt>
                <c:pt idx="216">
                  <c:v>82.5593115870052</c:v>
                </c:pt>
                <c:pt idx="217">
                  <c:v>477.933931385982</c:v>
                </c:pt>
                <c:pt idx="218">
                  <c:v>3078.42354153774</c:v>
                </c:pt>
                <c:pt idx="219">
                  <c:v>1490.96141948325</c:v>
                </c:pt>
                <c:pt idx="220">
                  <c:v>1049.49844033043</c:v>
                </c:pt>
                <c:pt idx="221">
                  <c:v>203.289066829561</c:v>
                </c:pt>
                <c:pt idx="222">
                  <c:v>218.173121079615</c:v>
                </c:pt>
                <c:pt idx="223">
                  <c:v>116.617782136753</c:v>
                </c:pt>
                <c:pt idx="224">
                  <c:v>78.4080081471518</c:v>
                </c:pt>
                <c:pt idx="225">
                  <c:v>308.473662101355</c:v>
                </c:pt>
                <c:pt idx="226">
                  <c:v>89.7608316637345</c:v>
                </c:pt>
                <c:pt idx="227">
                  <c:v>82.5593115870052</c:v>
                </c:pt>
                <c:pt idx="228">
                  <c:v>198.093669167865</c:v>
                </c:pt>
                <c:pt idx="229">
                  <c:v>172.280812916689</c:v>
                </c:pt>
                <c:pt idx="230">
                  <c:v>273.355137762956</c:v>
                </c:pt>
                <c:pt idx="231">
                  <c:v>959.236664128407</c:v>
                </c:pt>
                <c:pt idx="232">
                  <c:v>148.841108014872</c:v>
                </c:pt>
                <c:pt idx="233">
                  <c:v>691.011383079637</c:v>
                </c:pt>
                <c:pt idx="234">
                  <c:v>297.699878276828</c:v>
                </c:pt>
                <c:pt idx="235">
                  <c:v>369.234064947526</c:v>
                </c:pt>
                <c:pt idx="236">
                  <c:v>280.246621486494</c:v>
                </c:pt>
                <c:pt idx="237">
                  <c:v>157.567736410039</c:v>
                </c:pt>
                <c:pt idx="238">
                  <c:v>65.5300763121312</c:v>
                </c:pt>
                <c:pt idx="239">
                  <c:v>735.052587004126</c:v>
                </c:pt>
                <c:pt idx="240">
                  <c:v>559.972898542342</c:v>
                </c:pt>
                <c:pt idx="241">
                  <c:v>168.129509476836</c:v>
                </c:pt>
                <c:pt idx="242">
                  <c:v>199.618777486303</c:v>
                </c:pt>
                <c:pt idx="243">
                  <c:v>1785.4828390744</c:v>
                </c:pt>
                <c:pt idx="244">
                  <c:v>252.851664335745</c:v>
                </c:pt>
                <c:pt idx="245">
                  <c:v>125.13239977419</c:v>
                </c:pt>
                <c:pt idx="246">
                  <c:v>392.673769849343</c:v>
                </c:pt>
                <c:pt idx="247">
                  <c:v>354.831024794067</c:v>
                </c:pt>
                <c:pt idx="248">
                  <c:v>293.972596352435</c:v>
                </c:pt>
                <c:pt idx="249">
                  <c:v>86.555596850263</c:v>
                </c:pt>
                <c:pt idx="250">
                  <c:v>211.224644774942</c:v>
                </c:pt>
                <c:pt idx="251">
                  <c:v>4116.22890554505</c:v>
                </c:pt>
                <c:pt idx="252">
                  <c:v>327.436067643319</c:v>
                </c:pt>
                <c:pt idx="253">
                  <c:v>170.812697179386</c:v>
                </c:pt>
                <c:pt idx="254">
                  <c:v>458.278500989693</c:v>
                </c:pt>
                <c:pt idx="255">
                  <c:v>71.2064880704225</c:v>
                </c:pt>
                <c:pt idx="256">
                  <c:v>60.7997331802217</c:v>
                </c:pt>
                <c:pt idx="257">
                  <c:v>372.920313857593</c:v>
                </c:pt>
                <c:pt idx="258">
                  <c:v>411.70912753925</c:v>
                </c:pt>
                <c:pt idx="259">
                  <c:v>165.07929283996</c:v>
                </c:pt>
                <c:pt idx="260">
                  <c:v>999.470788294459</c:v>
                </c:pt>
                <c:pt idx="261">
                  <c:v>263.739433322541</c:v>
                </c:pt>
                <c:pt idx="262">
                  <c:v>375.701527155604</c:v>
                </c:pt>
                <c:pt idx="263">
                  <c:v>254.857786750778</c:v>
                </c:pt>
                <c:pt idx="264">
                  <c:v>80.3001453999156</c:v>
                </c:pt>
                <c:pt idx="265">
                  <c:v>110.20731250981</c:v>
                </c:pt>
                <c:pt idx="266">
                  <c:v>304.069314889445</c:v>
                </c:pt>
                <c:pt idx="267">
                  <c:v>675.963196772279</c:v>
                </c:pt>
                <c:pt idx="268">
                  <c:v>327.493060224453</c:v>
                </c:pt>
                <c:pt idx="269">
                  <c:v>339.155920094227</c:v>
                </c:pt>
                <c:pt idx="270">
                  <c:v>174.539979103779</c:v>
                </c:pt>
              </c:numCache>
            </c:numRef>
          </c:xVal>
          <c:yVal>
            <c:numRef>
              <c:f>'Model Data'!$H$5:$H$275</c:f>
              <c:numCache>
                <c:formatCode>\£#,##0.00</c:formatCode>
                <c:ptCount val="271"/>
                <c:pt idx="0">
                  <c:v>139.12</c:v>
                </c:pt>
                <c:pt idx="1">
                  <c:v>22.2</c:v>
                </c:pt>
                <c:pt idx="2">
                  <c:v>278.73</c:v>
                </c:pt>
                <c:pt idx="3">
                  <c:v>70.05</c:v>
                </c:pt>
                <c:pt idx="4">
                  <c:v>17.85</c:v>
                </c:pt>
                <c:pt idx="5">
                  <c:v>801.86</c:v>
                </c:pt>
                <c:pt idx="6">
                  <c:v>204</c:v>
                </c:pt>
                <c:pt idx="7">
                  <c:v>22.2</c:v>
                </c:pt>
                <c:pt idx="8">
                  <c:v>259.86</c:v>
                </c:pt>
                <c:pt idx="9">
                  <c:v>350.4</c:v>
                </c:pt>
                <c:pt idx="10">
                  <c:v>259.86</c:v>
                </c:pt>
                <c:pt idx="11">
                  <c:v>328.8</c:v>
                </c:pt>
                <c:pt idx="12">
                  <c:v>22.2</c:v>
                </c:pt>
                <c:pt idx="13">
                  <c:v>444.98</c:v>
                </c:pt>
                <c:pt idx="14">
                  <c:v>34.8</c:v>
                </c:pt>
                <c:pt idx="15">
                  <c:v>449.98</c:v>
                </c:pt>
                <c:pt idx="16">
                  <c:v>430.6</c:v>
                </c:pt>
                <c:pt idx="17">
                  <c:v>489.6</c:v>
                </c:pt>
                <c:pt idx="18">
                  <c:v>130.85</c:v>
                </c:pt>
                <c:pt idx="19">
                  <c:v>508.2</c:v>
                </c:pt>
                <c:pt idx="20">
                  <c:v>3193.92</c:v>
                </c:pt>
                <c:pt idx="21">
                  <c:v>226.14</c:v>
                </c:pt>
                <c:pt idx="22">
                  <c:v>358.25</c:v>
                </c:pt>
                <c:pt idx="23">
                  <c:v>1825.74</c:v>
                </c:pt>
                <c:pt idx="24">
                  <c:v>318.14</c:v>
                </c:pt>
                <c:pt idx="25">
                  <c:v>79.6</c:v>
                </c:pt>
                <c:pt idx="26">
                  <c:v>1024.68</c:v>
                </c:pt>
                <c:pt idx="27">
                  <c:v>507.88</c:v>
                </c:pt>
                <c:pt idx="28">
                  <c:v>376.36</c:v>
                </c:pt>
                <c:pt idx="29">
                  <c:v>279</c:v>
                </c:pt>
                <c:pt idx="30">
                  <c:v>426.56</c:v>
                </c:pt>
                <c:pt idx="31">
                  <c:v>22.2</c:v>
                </c:pt>
                <c:pt idx="32">
                  <c:v>17.4</c:v>
                </c:pt>
                <c:pt idx="33">
                  <c:v>354.23</c:v>
                </c:pt>
                <c:pt idx="34">
                  <c:v>357</c:v>
                </c:pt>
                <c:pt idx="35">
                  <c:v>177.6</c:v>
                </c:pt>
                <c:pt idx="36">
                  <c:v>471.3</c:v>
                </c:pt>
                <c:pt idx="37">
                  <c:v>326.4</c:v>
                </c:pt>
                <c:pt idx="38">
                  <c:v>353.14</c:v>
                </c:pt>
                <c:pt idx="39">
                  <c:v>22.2</c:v>
                </c:pt>
                <c:pt idx="40">
                  <c:v>783.11</c:v>
                </c:pt>
                <c:pt idx="41">
                  <c:v>232.03</c:v>
                </c:pt>
                <c:pt idx="42">
                  <c:v>453.46</c:v>
                </c:pt>
                <c:pt idx="43">
                  <c:v>390.79</c:v>
                </c:pt>
                <c:pt idx="44">
                  <c:v>225.7</c:v>
                </c:pt>
                <c:pt idx="45">
                  <c:v>233.45</c:v>
                </c:pt>
                <c:pt idx="46">
                  <c:v>303.9</c:v>
                </c:pt>
                <c:pt idx="47">
                  <c:v>362.45</c:v>
                </c:pt>
                <c:pt idx="48">
                  <c:v>842.12</c:v>
                </c:pt>
                <c:pt idx="49">
                  <c:v>430.99</c:v>
                </c:pt>
                <c:pt idx="50">
                  <c:v>295.54</c:v>
                </c:pt>
                <c:pt idx="51">
                  <c:v>17.4</c:v>
                </c:pt>
                <c:pt idx="52">
                  <c:v>265.1</c:v>
                </c:pt>
                <c:pt idx="53">
                  <c:v>42.9</c:v>
                </c:pt>
                <c:pt idx="54">
                  <c:v>2474.74</c:v>
                </c:pt>
                <c:pt idx="55">
                  <c:v>163.34</c:v>
                </c:pt>
                <c:pt idx="56">
                  <c:v>223.9</c:v>
                </c:pt>
                <c:pt idx="57">
                  <c:v>95.29</c:v>
                </c:pt>
                <c:pt idx="58">
                  <c:v>155.52</c:v>
                </c:pt>
                <c:pt idx="59">
                  <c:v>295.5</c:v>
                </c:pt>
                <c:pt idx="60">
                  <c:v>313.49</c:v>
                </c:pt>
                <c:pt idx="61">
                  <c:v>4.95</c:v>
                </c:pt>
                <c:pt idx="62">
                  <c:v>188.56</c:v>
                </c:pt>
                <c:pt idx="63">
                  <c:v>203.3</c:v>
                </c:pt>
                <c:pt idx="64">
                  <c:v>70.8</c:v>
                </c:pt>
                <c:pt idx="65">
                  <c:v>136.24</c:v>
                </c:pt>
                <c:pt idx="66">
                  <c:v>301.24</c:v>
                </c:pt>
                <c:pt idx="67">
                  <c:v>243.48</c:v>
                </c:pt>
                <c:pt idx="68">
                  <c:v>274.93</c:v>
                </c:pt>
                <c:pt idx="69">
                  <c:v>161</c:v>
                </c:pt>
                <c:pt idx="70">
                  <c:v>200.5</c:v>
                </c:pt>
                <c:pt idx="71">
                  <c:v>939.59</c:v>
                </c:pt>
                <c:pt idx="72">
                  <c:v>1919.14</c:v>
                </c:pt>
                <c:pt idx="73">
                  <c:v>156.1</c:v>
                </c:pt>
                <c:pt idx="74">
                  <c:v>115.65</c:v>
                </c:pt>
                <c:pt idx="75">
                  <c:v>194.85</c:v>
                </c:pt>
                <c:pt idx="76">
                  <c:v>165.05</c:v>
                </c:pt>
                <c:pt idx="77">
                  <c:v>369.5</c:v>
                </c:pt>
                <c:pt idx="78">
                  <c:v>255</c:v>
                </c:pt>
                <c:pt idx="79">
                  <c:v>487.75</c:v>
                </c:pt>
                <c:pt idx="80">
                  <c:v>490.38</c:v>
                </c:pt>
                <c:pt idx="81">
                  <c:v>15</c:v>
                </c:pt>
                <c:pt idx="82">
                  <c:v>787.4</c:v>
                </c:pt>
                <c:pt idx="83">
                  <c:v>4951.37</c:v>
                </c:pt>
                <c:pt idx="84">
                  <c:v>134.11</c:v>
                </c:pt>
                <c:pt idx="85">
                  <c:v>2.97</c:v>
                </c:pt>
                <c:pt idx="86">
                  <c:v>101.55</c:v>
                </c:pt>
                <c:pt idx="87">
                  <c:v>532.43</c:v>
                </c:pt>
                <c:pt idx="88">
                  <c:v>99.75</c:v>
                </c:pt>
                <c:pt idx="89">
                  <c:v>204.95</c:v>
                </c:pt>
                <c:pt idx="90">
                  <c:v>799.4</c:v>
                </c:pt>
                <c:pt idx="91">
                  <c:v>322.4</c:v>
                </c:pt>
                <c:pt idx="92">
                  <c:v>308.65</c:v>
                </c:pt>
                <c:pt idx="93">
                  <c:v>172.54</c:v>
                </c:pt>
                <c:pt idx="94">
                  <c:v>51.4</c:v>
                </c:pt>
                <c:pt idx="95">
                  <c:v>6.7</c:v>
                </c:pt>
                <c:pt idx="96">
                  <c:v>116.25</c:v>
                </c:pt>
                <c:pt idx="97">
                  <c:v>251.4</c:v>
                </c:pt>
                <c:pt idx="98">
                  <c:v>5.04</c:v>
                </c:pt>
                <c:pt idx="99">
                  <c:v>331.55</c:v>
                </c:pt>
                <c:pt idx="100">
                  <c:v>304.34</c:v>
                </c:pt>
                <c:pt idx="101">
                  <c:v>294.62</c:v>
                </c:pt>
                <c:pt idx="102">
                  <c:v>442.35</c:v>
                </c:pt>
                <c:pt idx="103">
                  <c:v>143.12</c:v>
                </c:pt>
                <c:pt idx="104">
                  <c:v>17.85</c:v>
                </c:pt>
                <c:pt idx="105">
                  <c:v>1552.98</c:v>
                </c:pt>
                <c:pt idx="106">
                  <c:v>2558.42</c:v>
                </c:pt>
                <c:pt idx="107">
                  <c:v>497</c:v>
                </c:pt>
                <c:pt idx="108">
                  <c:v>279.6</c:v>
                </c:pt>
                <c:pt idx="109">
                  <c:v>315.96</c:v>
                </c:pt>
                <c:pt idx="110">
                  <c:v>97.2</c:v>
                </c:pt>
                <c:pt idx="111">
                  <c:v>330</c:v>
                </c:pt>
                <c:pt idx="112">
                  <c:v>304.04</c:v>
                </c:pt>
                <c:pt idx="113">
                  <c:v>198</c:v>
                </c:pt>
                <c:pt idx="114">
                  <c:v>1132.8</c:v>
                </c:pt>
                <c:pt idx="115">
                  <c:v>19.9</c:v>
                </c:pt>
                <c:pt idx="116">
                  <c:v>344.2</c:v>
                </c:pt>
                <c:pt idx="117">
                  <c:v>311.81</c:v>
                </c:pt>
                <c:pt idx="118">
                  <c:v>277.05</c:v>
                </c:pt>
                <c:pt idx="119">
                  <c:v>205.86</c:v>
                </c:pt>
                <c:pt idx="120">
                  <c:v>198.32</c:v>
                </c:pt>
                <c:pt idx="121">
                  <c:v>6308.16</c:v>
                </c:pt>
                <c:pt idx="122">
                  <c:v>81.75</c:v>
                </c:pt>
                <c:pt idx="123">
                  <c:v>79.5</c:v>
                </c:pt>
                <c:pt idx="124">
                  <c:v>349.15</c:v>
                </c:pt>
                <c:pt idx="125">
                  <c:v>38.09</c:v>
                </c:pt>
                <c:pt idx="126">
                  <c:v>102.79</c:v>
                </c:pt>
                <c:pt idx="127">
                  <c:v>160.6</c:v>
                </c:pt>
                <c:pt idx="128">
                  <c:v>306.4</c:v>
                </c:pt>
                <c:pt idx="129">
                  <c:v>251.62</c:v>
                </c:pt>
                <c:pt idx="130">
                  <c:v>22.2</c:v>
                </c:pt>
                <c:pt idx="131">
                  <c:v>163.76</c:v>
                </c:pt>
                <c:pt idx="132">
                  <c:v>22.2</c:v>
                </c:pt>
                <c:pt idx="133">
                  <c:v>184.5</c:v>
                </c:pt>
                <c:pt idx="134">
                  <c:v>272.65</c:v>
                </c:pt>
                <c:pt idx="135">
                  <c:v>303.97</c:v>
                </c:pt>
                <c:pt idx="136">
                  <c:v>38.1</c:v>
                </c:pt>
                <c:pt idx="137">
                  <c:v>244.46</c:v>
                </c:pt>
                <c:pt idx="138">
                  <c:v>22.2</c:v>
                </c:pt>
                <c:pt idx="139">
                  <c:v>259.65</c:v>
                </c:pt>
                <c:pt idx="140">
                  <c:v>206.76</c:v>
                </c:pt>
                <c:pt idx="141">
                  <c:v>208.97</c:v>
                </c:pt>
                <c:pt idx="142">
                  <c:v>22.2</c:v>
                </c:pt>
                <c:pt idx="143">
                  <c:v>286.92</c:v>
                </c:pt>
                <c:pt idx="144">
                  <c:v>244.08</c:v>
                </c:pt>
                <c:pt idx="145">
                  <c:v>1095.12</c:v>
                </c:pt>
                <c:pt idx="146">
                  <c:v>780.12</c:v>
                </c:pt>
                <c:pt idx="147">
                  <c:v>97.2</c:v>
                </c:pt>
                <c:pt idx="148">
                  <c:v>485.25</c:v>
                </c:pt>
                <c:pt idx="149">
                  <c:v>350.06</c:v>
                </c:pt>
                <c:pt idx="150">
                  <c:v>768.38</c:v>
                </c:pt>
                <c:pt idx="151">
                  <c:v>610.64</c:v>
                </c:pt>
                <c:pt idx="152">
                  <c:v>12.6</c:v>
                </c:pt>
                <c:pt idx="153">
                  <c:v>306.2</c:v>
                </c:pt>
                <c:pt idx="154">
                  <c:v>230.56</c:v>
                </c:pt>
                <c:pt idx="155">
                  <c:v>22.2</c:v>
                </c:pt>
                <c:pt idx="156">
                  <c:v>244.46</c:v>
                </c:pt>
                <c:pt idx="157">
                  <c:v>22.2</c:v>
                </c:pt>
                <c:pt idx="158">
                  <c:v>312.8</c:v>
                </c:pt>
                <c:pt idx="159">
                  <c:v>204.15</c:v>
                </c:pt>
                <c:pt idx="160">
                  <c:v>193.78</c:v>
                </c:pt>
                <c:pt idx="161">
                  <c:v>572.38</c:v>
                </c:pt>
                <c:pt idx="162">
                  <c:v>106.2</c:v>
                </c:pt>
                <c:pt idx="163">
                  <c:v>219.66</c:v>
                </c:pt>
                <c:pt idx="164">
                  <c:v>1056.63</c:v>
                </c:pt>
                <c:pt idx="165">
                  <c:v>288.5</c:v>
                </c:pt>
                <c:pt idx="166">
                  <c:v>45.85</c:v>
                </c:pt>
                <c:pt idx="167">
                  <c:v>4.25</c:v>
                </c:pt>
                <c:pt idx="168">
                  <c:v>223.7</c:v>
                </c:pt>
                <c:pt idx="169">
                  <c:v>299.4</c:v>
                </c:pt>
                <c:pt idx="170">
                  <c:v>362.5</c:v>
                </c:pt>
                <c:pt idx="171">
                  <c:v>58</c:v>
                </c:pt>
                <c:pt idx="172">
                  <c:v>136.2</c:v>
                </c:pt>
                <c:pt idx="173">
                  <c:v>127.2</c:v>
                </c:pt>
                <c:pt idx="174">
                  <c:v>339.84</c:v>
                </c:pt>
                <c:pt idx="175">
                  <c:v>127.08</c:v>
                </c:pt>
                <c:pt idx="176">
                  <c:v>207.5</c:v>
                </c:pt>
                <c:pt idx="177">
                  <c:v>113.92</c:v>
                </c:pt>
                <c:pt idx="178">
                  <c:v>380.46</c:v>
                </c:pt>
                <c:pt idx="179">
                  <c:v>22.2</c:v>
                </c:pt>
                <c:pt idx="180">
                  <c:v>331.26</c:v>
                </c:pt>
                <c:pt idx="181">
                  <c:v>22.2</c:v>
                </c:pt>
                <c:pt idx="182">
                  <c:v>326</c:v>
                </c:pt>
                <c:pt idx="183">
                  <c:v>199.65</c:v>
                </c:pt>
                <c:pt idx="184">
                  <c:v>354.54</c:v>
                </c:pt>
                <c:pt idx="185">
                  <c:v>329.65</c:v>
                </c:pt>
                <c:pt idx="186">
                  <c:v>211.2</c:v>
                </c:pt>
                <c:pt idx="187">
                  <c:v>824.88</c:v>
                </c:pt>
                <c:pt idx="188">
                  <c:v>98.18</c:v>
                </c:pt>
                <c:pt idx="189">
                  <c:v>201.75</c:v>
                </c:pt>
                <c:pt idx="190">
                  <c:v>92.75</c:v>
                </c:pt>
                <c:pt idx="191">
                  <c:v>202.12</c:v>
                </c:pt>
                <c:pt idx="192">
                  <c:v>196.43</c:v>
                </c:pt>
                <c:pt idx="193">
                  <c:v>261.76</c:v>
                </c:pt>
                <c:pt idx="194">
                  <c:v>379.75</c:v>
                </c:pt>
                <c:pt idx="195">
                  <c:v>341.9</c:v>
                </c:pt>
                <c:pt idx="196">
                  <c:v>248.1</c:v>
                </c:pt>
                <c:pt idx="197">
                  <c:v>100.2</c:v>
                </c:pt>
                <c:pt idx="198">
                  <c:v>116</c:v>
                </c:pt>
                <c:pt idx="199">
                  <c:v>321.79</c:v>
                </c:pt>
                <c:pt idx="200">
                  <c:v>434.8</c:v>
                </c:pt>
                <c:pt idx="201">
                  <c:v>22.2</c:v>
                </c:pt>
                <c:pt idx="202">
                  <c:v>390.66</c:v>
                </c:pt>
                <c:pt idx="203">
                  <c:v>22.2</c:v>
                </c:pt>
                <c:pt idx="204">
                  <c:v>210.24</c:v>
                </c:pt>
                <c:pt idx="205">
                  <c:v>54.25</c:v>
                </c:pt>
                <c:pt idx="206">
                  <c:v>66.65</c:v>
                </c:pt>
                <c:pt idx="207">
                  <c:v>311.25</c:v>
                </c:pt>
                <c:pt idx="208">
                  <c:v>98.9</c:v>
                </c:pt>
                <c:pt idx="209">
                  <c:v>307.68</c:v>
                </c:pt>
                <c:pt idx="210">
                  <c:v>452.52</c:v>
                </c:pt>
                <c:pt idx="211">
                  <c:v>668.4</c:v>
                </c:pt>
                <c:pt idx="212">
                  <c:v>118.38</c:v>
                </c:pt>
                <c:pt idx="213">
                  <c:v>138.1</c:v>
                </c:pt>
                <c:pt idx="214">
                  <c:v>193.23</c:v>
                </c:pt>
                <c:pt idx="215">
                  <c:v>12.8</c:v>
                </c:pt>
                <c:pt idx="216">
                  <c:v>50.4</c:v>
                </c:pt>
                <c:pt idx="217">
                  <c:v>517.95</c:v>
                </c:pt>
                <c:pt idx="218">
                  <c:v>4076.48</c:v>
                </c:pt>
                <c:pt idx="219">
                  <c:v>2170.9</c:v>
                </c:pt>
                <c:pt idx="220">
                  <c:v>2730.96</c:v>
                </c:pt>
                <c:pt idx="221">
                  <c:v>324</c:v>
                </c:pt>
                <c:pt idx="222">
                  <c:v>192.46</c:v>
                </c:pt>
                <c:pt idx="223">
                  <c:v>75</c:v>
                </c:pt>
                <c:pt idx="224">
                  <c:v>22.2</c:v>
                </c:pt>
                <c:pt idx="225">
                  <c:v>532.01</c:v>
                </c:pt>
                <c:pt idx="226">
                  <c:v>44.4</c:v>
                </c:pt>
                <c:pt idx="227">
                  <c:v>30</c:v>
                </c:pt>
                <c:pt idx="228">
                  <c:v>170.7</c:v>
                </c:pt>
                <c:pt idx="229">
                  <c:v>322.8</c:v>
                </c:pt>
                <c:pt idx="230">
                  <c:v>333.72</c:v>
                </c:pt>
                <c:pt idx="231">
                  <c:v>349.04</c:v>
                </c:pt>
                <c:pt idx="232">
                  <c:v>130.8</c:v>
                </c:pt>
                <c:pt idx="233">
                  <c:v>684.46</c:v>
                </c:pt>
                <c:pt idx="234">
                  <c:v>183.3</c:v>
                </c:pt>
                <c:pt idx="235">
                  <c:v>236.97</c:v>
                </c:pt>
                <c:pt idx="236">
                  <c:v>252.3</c:v>
                </c:pt>
                <c:pt idx="237">
                  <c:v>197.3</c:v>
                </c:pt>
                <c:pt idx="238">
                  <c:v>22.5</c:v>
                </c:pt>
                <c:pt idx="239">
                  <c:v>1714.25</c:v>
                </c:pt>
                <c:pt idx="240">
                  <c:v>406.56</c:v>
                </c:pt>
                <c:pt idx="241">
                  <c:v>45.12</c:v>
                </c:pt>
                <c:pt idx="242">
                  <c:v>247.8</c:v>
                </c:pt>
                <c:pt idx="243">
                  <c:v>1003.2</c:v>
                </c:pt>
                <c:pt idx="244">
                  <c:v>303.96</c:v>
                </c:pt>
                <c:pt idx="245">
                  <c:v>527.85</c:v>
                </c:pt>
                <c:pt idx="246">
                  <c:v>189.8</c:v>
                </c:pt>
                <c:pt idx="247">
                  <c:v>308.28</c:v>
                </c:pt>
                <c:pt idx="248">
                  <c:v>143.45</c:v>
                </c:pt>
                <c:pt idx="249">
                  <c:v>50.55</c:v>
                </c:pt>
                <c:pt idx="250">
                  <c:v>408</c:v>
                </c:pt>
                <c:pt idx="251">
                  <c:v>2002.4</c:v>
                </c:pt>
                <c:pt idx="252">
                  <c:v>569.4</c:v>
                </c:pt>
                <c:pt idx="253">
                  <c:v>164.8</c:v>
                </c:pt>
                <c:pt idx="254">
                  <c:v>438.1</c:v>
                </c:pt>
                <c:pt idx="255">
                  <c:v>35.4</c:v>
                </c:pt>
                <c:pt idx="256">
                  <c:v>295</c:v>
                </c:pt>
                <c:pt idx="257">
                  <c:v>263.3</c:v>
                </c:pt>
                <c:pt idx="258">
                  <c:v>308.68</c:v>
                </c:pt>
                <c:pt idx="259">
                  <c:v>37.2</c:v>
                </c:pt>
                <c:pt idx="260">
                  <c:v>623.73</c:v>
                </c:pt>
                <c:pt idx="261">
                  <c:v>137.35</c:v>
                </c:pt>
                <c:pt idx="262">
                  <c:v>393.42</c:v>
                </c:pt>
                <c:pt idx="263">
                  <c:v>263.62</c:v>
                </c:pt>
                <c:pt idx="264">
                  <c:v>34.9</c:v>
                </c:pt>
                <c:pt idx="265">
                  <c:v>189.3</c:v>
                </c:pt>
                <c:pt idx="266">
                  <c:v>127.55</c:v>
                </c:pt>
                <c:pt idx="267">
                  <c:v>402</c:v>
                </c:pt>
                <c:pt idx="268">
                  <c:v>215.58</c:v>
                </c:pt>
                <c:pt idx="269">
                  <c:v>534</c:v>
                </c:pt>
                <c:pt idx="270">
                  <c:v>397.5</c:v>
                </c:pt>
              </c:numCache>
            </c:numRef>
          </c:yVal>
          <c:smooth val="1"/>
        </c:ser>
        <c:axId val="40551882"/>
        <c:axId val="10732742"/>
      </c:scatterChart>
      <c:valAx>
        <c:axId val="4055188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Predicted value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32742"/>
        <c:crosses val="autoZero"/>
        <c:crossBetween val="midCat"/>
      </c:valAx>
      <c:valAx>
        <c:axId val="107327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Actual value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518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Residuals vs Predicted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"Residual"</c:f>
              <c:strCache>
                <c:ptCount val="1"/>
                <c:pt idx="0">
                  <c:v>Residual</c:v>
                </c:pt>
              </c:strCache>
            </c:strRef>
          </c:tx>
          <c:spPr>
            <a:solidFill>
              <a:srgbClr val="f5a623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f5a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'Model Data'!$I$5:$I$275</c:f>
              <c:numCache>
                <c:formatCode>\£#,##0.00</c:formatCode>
                <c:ptCount val="271"/>
                <c:pt idx="0">
                  <c:v>140.905530069491</c:v>
                </c:pt>
                <c:pt idx="1">
                  <c:v>78.4080081471518</c:v>
                </c:pt>
                <c:pt idx="2">
                  <c:v>217.594081387559</c:v>
                </c:pt>
                <c:pt idx="3">
                  <c:v>95.649254179756</c:v>
                </c:pt>
                <c:pt idx="4">
                  <c:v>62.6918704329855</c:v>
                </c:pt>
                <c:pt idx="5">
                  <c:v>611.427633301289</c:v>
                </c:pt>
                <c:pt idx="6">
                  <c:v>135.539154664391</c:v>
                </c:pt>
                <c:pt idx="7">
                  <c:v>78.4080081471518</c:v>
                </c:pt>
                <c:pt idx="8">
                  <c:v>251.130504826385</c:v>
                </c:pt>
                <c:pt idx="9">
                  <c:v>90.1278605980603</c:v>
                </c:pt>
                <c:pt idx="10">
                  <c:v>251.130504826385</c:v>
                </c:pt>
                <c:pt idx="11">
                  <c:v>173.014870785341</c:v>
                </c:pt>
                <c:pt idx="12">
                  <c:v>78.4080081471518</c:v>
                </c:pt>
                <c:pt idx="13">
                  <c:v>618.996182312344</c:v>
                </c:pt>
                <c:pt idx="14">
                  <c:v>82.5593115870052</c:v>
                </c:pt>
                <c:pt idx="15">
                  <c:v>492.02693518625</c:v>
                </c:pt>
                <c:pt idx="16">
                  <c:v>265.843581333035</c:v>
                </c:pt>
                <c:pt idx="17">
                  <c:v>326.02494448715</c:v>
                </c:pt>
                <c:pt idx="18">
                  <c:v>153.204422212456</c:v>
                </c:pt>
                <c:pt idx="19">
                  <c:v>297.528900533424</c:v>
                </c:pt>
                <c:pt idx="20">
                  <c:v>1450.99856685068</c:v>
                </c:pt>
                <c:pt idx="21">
                  <c:v>255.648837200565</c:v>
                </c:pt>
                <c:pt idx="22">
                  <c:v>254.702768574183</c:v>
                </c:pt>
                <c:pt idx="23">
                  <c:v>1708.92423248541</c:v>
                </c:pt>
                <c:pt idx="24">
                  <c:v>222.112413761738</c:v>
                </c:pt>
                <c:pt idx="25">
                  <c:v>67.422213564895</c:v>
                </c:pt>
                <c:pt idx="26">
                  <c:v>646.53019807288</c:v>
                </c:pt>
                <c:pt idx="27">
                  <c:v>399.451268410612</c:v>
                </c:pt>
                <c:pt idx="28">
                  <c:v>278.77850574919</c:v>
                </c:pt>
                <c:pt idx="29">
                  <c:v>123.819302213482</c:v>
                </c:pt>
                <c:pt idx="30">
                  <c:v>316.988279738792</c:v>
                </c:pt>
                <c:pt idx="31">
                  <c:v>78.4080081471518</c:v>
                </c:pt>
                <c:pt idx="32">
                  <c:v>71.2064880704225</c:v>
                </c:pt>
                <c:pt idx="33">
                  <c:v>630.86193905914</c:v>
                </c:pt>
                <c:pt idx="34">
                  <c:v>184.000665367598</c:v>
                </c:pt>
                <c:pt idx="35">
                  <c:v>150.676252686501</c:v>
                </c:pt>
                <c:pt idx="36">
                  <c:v>668.672764980798</c:v>
                </c:pt>
                <c:pt idx="37">
                  <c:v>180.950448730722</c:v>
                </c:pt>
                <c:pt idx="38">
                  <c:v>265.90057391417</c:v>
                </c:pt>
                <c:pt idx="39">
                  <c:v>78.4080081471518</c:v>
                </c:pt>
                <c:pt idx="40">
                  <c:v>926.23140168121</c:v>
                </c:pt>
                <c:pt idx="41">
                  <c:v>601.419826479032</c:v>
                </c:pt>
                <c:pt idx="42">
                  <c:v>728.731029091935</c:v>
                </c:pt>
                <c:pt idx="43">
                  <c:v>693.24547581921</c:v>
                </c:pt>
                <c:pt idx="44">
                  <c:v>199.928813839494</c:v>
                </c:pt>
                <c:pt idx="45">
                  <c:v>258.48704307971</c:v>
                </c:pt>
                <c:pt idx="46">
                  <c:v>191.259178025462</c:v>
                </c:pt>
                <c:pt idx="47">
                  <c:v>304.689387595827</c:v>
                </c:pt>
                <c:pt idx="48">
                  <c:v>1045.7141658249</c:v>
                </c:pt>
                <c:pt idx="49">
                  <c:v>581.479433177069</c:v>
                </c:pt>
                <c:pt idx="50">
                  <c:v>302.952268519659</c:v>
                </c:pt>
                <c:pt idx="51">
                  <c:v>71.2064880704225</c:v>
                </c:pt>
                <c:pt idx="52">
                  <c:v>778.831633275849</c:v>
                </c:pt>
                <c:pt idx="53">
                  <c:v>84.0844199054431</c:v>
                </c:pt>
                <c:pt idx="54">
                  <c:v>1165.76685577994</c:v>
                </c:pt>
                <c:pt idx="55">
                  <c:v>364.674699559021</c:v>
                </c:pt>
                <c:pt idx="56">
                  <c:v>257.173945519003</c:v>
                </c:pt>
                <c:pt idx="57">
                  <c:v>125.556421289651</c:v>
                </c:pt>
                <c:pt idx="58">
                  <c:v>271.406007929057</c:v>
                </c:pt>
                <c:pt idx="59">
                  <c:v>200.29584277382</c:v>
                </c:pt>
                <c:pt idx="60">
                  <c:v>750.335589322123</c:v>
                </c:pt>
                <c:pt idx="61">
                  <c:v>60.7997331802217</c:v>
                </c:pt>
                <c:pt idx="62">
                  <c:v>506.600953083113</c:v>
                </c:pt>
                <c:pt idx="63">
                  <c:v>245.030071552634</c:v>
                </c:pt>
                <c:pt idx="64">
                  <c:v>104.163871817193</c:v>
                </c:pt>
                <c:pt idx="65">
                  <c:v>173.707895639666</c:v>
                </c:pt>
                <c:pt idx="66">
                  <c:v>206.396276047572</c:v>
                </c:pt>
                <c:pt idx="67">
                  <c:v>301.060131266895</c:v>
                </c:pt>
                <c:pt idx="68">
                  <c:v>505.23086294127</c:v>
                </c:pt>
                <c:pt idx="69">
                  <c:v>153.416432970186</c:v>
                </c:pt>
                <c:pt idx="70">
                  <c:v>278.256458638269</c:v>
                </c:pt>
                <c:pt idx="71">
                  <c:v>580.998419080473</c:v>
                </c:pt>
                <c:pt idx="72">
                  <c:v>2330.48220613761</c:v>
                </c:pt>
                <c:pt idx="73">
                  <c:v>171.546755048037</c:v>
                </c:pt>
                <c:pt idx="74">
                  <c:v>136.909244806233</c:v>
                </c:pt>
                <c:pt idx="75">
                  <c:v>206.241257870976</c:v>
                </c:pt>
                <c:pt idx="76">
                  <c:v>164.133224213578</c:v>
                </c:pt>
                <c:pt idx="77">
                  <c:v>262.426335761833</c:v>
                </c:pt>
                <c:pt idx="78">
                  <c:v>414.025286307474</c:v>
                </c:pt>
                <c:pt idx="79">
                  <c:v>398.464166769904</c:v>
                </c:pt>
                <c:pt idx="80">
                  <c:v>407.076810002802</c:v>
                </c:pt>
                <c:pt idx="81">
                  <c:v>71.2064880704225</c:v>
                </c:pt>
                <c:pt idx="82">
                  <c:v>538.73536724648</c:v>
                </c:pt>
                <c:pt idx="83">
                  <c:v>4982.55653687966</c:v>
                </c:pt>
                <c:pt idx="84">
                  <c:v>355.369031471797</c:v>
                </c:pt>
                <c:pt idx="85">
                  <c:v>68.9473218833329</c:v>
                </c:pt>
                <c:pt idx="86">
                  <c:v>177.435177564059</c:v>
                </c:pt>
                <c:pt idx="87">
                  <c:v>700.871017411399</c:v>
                </c:pt>
                <c:pt idx="88">
                  <c:v>64.5840076857493</c:v>
                </c:pt>
                <c:pt idx="89">
                  <c:v>220.954334377626</c:v>
                </c:pt>
                <c:pt idx="90">
                  <c:v>388.465473828355</c:v>
                </c:pt>
                <c:pt idx="91">
                  <c:v>293.124553321514</c:v>
                </c:pt>
                <c:pt idx="92">
                  <c:v>275.940299870045</c:v>
                </c:pt>
                <c:pt idx="93">
                  <c:v>273.567148520686</c:v>
                </c:pt>
                <c:pt idx="94">
                  <c:v>78.4080081471518</c:v>
                </c:pt>
                <c:pt idx="95">
                  <c:v>68.9473218833329</c:v>
                </c:pt>
                <c:pt idx="96">
                  <c:v>183.845647191002</c:v>
                </c:pt>
                <c:pt idx="97">
                  <c:v>227.943843696625</c:v>
                </c:pt>
                <c:pt idx="98">
                  <c:v>71.2064880704225</c:v>
                </c:pt>
                <c:pt idx="99">
                  <c:v>649.204271894721</c:v>
                </c:pt>
                <c:pt idx="100">
                  <c:v>170.021646729599</c:v>
                </c:pt>
                <c:pt idx="101">
                  <c:v>450.962995750694</c:v>
                </c:pt>
                <c:pt idx="102">
                  <c:v>488.650722629374</c:v>
                </c:pt>
                <c:pt idx="103">
                  <c:v>210.123557971965</c:v>
                </c:pt>
                <c:pt idx="104">
                  <c:v>62.6918704329855</c:v>
                </c:pt>
                <c:pt idx="105">
                  <c:v>921.991186526605</c:v>
                </c:pt>
                <c:pt idx="106">
                  <c:v>1229.36546450526</c:v>
                </c:pt>
                <c:pt idx="107">
                  <c:v>448.5328518202</c:v>
                </c:pt>
                <c:pt idx="108">
                  <c:v>208.655442234661</c:v>
                </c:pt>
                <c:pt idx="109">
                  <c:v>328.17012551197</c:v>
                </c:pt>
                <c:pt idx="110">
                  <c:v>158.301794278691</c:v>
                </c:pt>
                <c:pt idx="111">
                  <c:v>249.067389830218</c:v>
                </c:pt>
                <c:pt idx="112">
                  <c:v>349.154613035776</c:v>
                </c:pt>
                <c:pt idx="113">
                  <c:v>173.381899719666</c:v>
                </c:pt>
                <c:pt idx="114">
                  <c:v>423.144017084485</c:v>
                </c:pt>
                <c:pt idx="115">
                  <c:v>61.7458018066036</c:v>
                </c:pt>
                <c:pt idx="116">
                  <c:v>144.689804575019</c:v>
                </c:pt>
                <c:pt idx="117">
                  <c:v>507.205066222686</c:v>
                </c:pt>
                <c:pt idx="118">
                  <c:v>229.313933838467</c:v>
                </c:pt>
                <c:pt idx="119">
                  <c:v>223.48250390358</c:v>
                </c:pt>
                <c:pt idx="120">
                  <c:v>428.697329799798</c:v>
                </c:pt>
                <c:pt idx="121">
                  <c:v>5706.09387099018</c:v>
                </c:pt>
                <c:pt idx="122">
                  <c:v>106.635048762013</c:v>
                </c:pt>
                <c:pt idx="123">
                  <c:v>120.826078157741</c:v>
                </c:pt>
                <c:pt idx="124">
                  <c:v>234.044276970377</c:v>
                </c:pt>
                <c:pt idx="125">
                  <c:v>104.375882574923</c:v>
                </c:pt>
                <c:pt idx="126">
                  <c:v>321.465579098645</c:v>
                </c:pt>
                <c:pt idx="127">
                  <c:v>153.359440389051</c:v>
                </c:pt>
                <c:pt idx="128">
                  <c:v>171.546755048037</c:v>
                </c:pt>
                <c:pt idx="129">
                  <c:v>192.050228475248</c:v>
                </c:pt>
                <c:pt idx="130">
                  <c:v>78.4080081471518</c:v>
                </c:pt>
                <c:pt idx="131">
                  <c:v>199.618777486303</c:v>
                </c:pt>
                <c:pt idx="132">
                  <c:v>78.4080081471518</c:v>
                </c:pt>
                <c:pt idx="133">
                  <c:v>225.31764857521</c:v>
                </c:pt>
                <c:pt idx="134">
                  <c:v>261.904288650912</c:v>
                </c:pt>
                <c:pt idx="135">
                  <c:v>270.263888111754</c:v>
                </c:pt>
                <c:pt idx="136">
                  <c:v>102.638763498755</c:v>
                </c:pt>
                <c:pt idx="137">
                  <c:v>251.130504826385</c:v>
                </c:pt>
                <c:pt idx="138">
                  <c:v>78.4080081471518</c:v>
                </c:pt>
                <c:pt idx="139">
                  <c:v>298.22192538775</c:v>
                </c:pt>
                <c:pt idx="140">
                  <c:v>238.252572991365</c:v>
                </c:pt>
                <c:pt idx="141">
                  <c:v>361.453505178741</c:v>
                </c:pt>
                <c:pt idx="142">
                  <c:v>78.4080081471518</c:v>
                </c:pt>
                <c:pt idx="143">
                  <c:v>241.245797047106</c:v>
                </c:pt>
                <c:pt idx="144">
                  <c:v>127.970605653336</c:v>
                </c:pt>
                <c:pt idx="145">
                  <c:v>741.137060711069</c:v>
                </c:pt>
                <c:pt idx="146">
                  <c:v>771.525241917559</c:v>
                </c:pt>
                <c:pt idx="147">
                  <c:v>112.4664786969</c:v>
                </c:pt>
                <c:pt idx="148">
                  <c:v>919.323958390864</c:v>
                </c:pt>
                <c:pt idx="149">
                  <c:v>406.595795906206</c:v>
                </c:pt>
                <c:pt idx="150">
                  <c:v>1028.40681333045</c:v>
                </c:pt>
                <c:pt idx="151">
                  <c:v>426.789232980226</c:v>
                </c:pt>
                <c:pt idx="152">
                  <c:v>65.5300763121312</c:v>
                </c:pt>
                <c:pt idx="153">
                  <c:v>214.021817639762</c:v>
                </c:pt>
                <c:pt idx="154">
                  <c:v>249.238367573622</c:v>
                </c:pt>
                <c:pt idx="155">
                  <c:v>78.4080081471518</c:v>
                </c:pt>
                <c:pt idx="156">
                  <c:v>251.130504826385</c:v>
                </c:pt>
                <c:pt idx="157">
                  <c:v>78.4080081471518</c:v>
                </c:pt>
                <c:pt idx="158">
                  <c:v>364.715732573347</c:v>
                </c:pt>
                <c:pt idx="159">
                  <c:v>281.616711628336</c:v>
                </c:pt>
                <c:pt idx="160">
                  <c:v>303.898337146041</c:v>
                </c:pt>
                <c:pt idx="161">
                  <c:v>429.415428101641</c:v>
                </c:pt>
                <c:pt idx="162">
                  <c:v>93.9121351035878</c:v>
                </c:pt>
                <c:pt idx="163">
                  <c:v>626.074603346096</c:v>
                </c:pt>
                <c:pt idx="164">
                  <c:v>1091.96438904145</c:v>
                </c:pt>
                <c:pt idx="165">
                  <c:v>268.159740101259</c:v>
                </c:pt>
                <c:pt idx="166">
                  <c:v>142.275620211334</c:v>
                </c:pt>
                <c:pt idx="167">
                  <c:v>60.7997331802217</c:v>
                </c:pt>
                <c:pt idx="168">
                  <c:v>317.102264901061</c:v>
                </c:pt>
                <c:pt idx="169">
                  <c:v>243.447970653061</c:v>
                </c:pt>
                <c:pt idx="170">
                  <c:v>370.335151750503</c:v>
                </c:pt>
                <c:pt idx="171">
                  <c:v>97.6964096091154</c:v>
                </c:pt>
                <c:pt idx="172">
                  <c:v>213.540803543166</c:v>
                </c:pt>
                <c:pt idx="173">
                  <c:v>119.300969839303</c:v>
                </c:pt>
                <c:pt idx="174">
                  <c:v>587.082892787417</c:v>
                </c:pt>
                <c:pt idx="175">
                  <c:v>319.304438507016</c:v>
                </c:pt>
                <c:pt idx="176">
                  <c:v>168.553530992296</c:v>
                </c:pt>
                <c:pt idx="177">
                  <c:v>189.791062288158</c:v>
                </c:pt>
                <c:pt idx="178">
                  <c:v>277.253397430753</c:v>
                </c:pt>
                <c:pt idx="179">
                  <c:v>78.4080081471518</c:v>
                </c:pt>
                <c:pt idx="180">
                  <c:v>262.116299408642</c:v>
                </c:pt>
                <c:pt idx="181">
                  <c:v>78.4080081471518</c:v>
                </c:pt>
                <c:pt idx="182">
                  <c:v>304.110347903771</c:v>
                </c:pt>
                <c:pt idx="183">
                  <c:v>185.060719156249</c:v>
                </c:pt>
                <c:pt idx="184">
                  <c:v>499.11447010071</c:v>
                </c:pt>
                <c:pt idx="185">
                  <c:v>394.720925278702</c:v>
                </c:pt>
                <c:pt idx="186">
                  <c:v>180.950448730722</c:v>
                </c:pt>
                <c:pt idx="187">
                  <c:v>1314.76468465168</c:v>
                </c:pt>
                <c:pt idx="188">
                  <c:v>142.797667322255</c:v>
                </c:pt>
                <c:pt idx="189">
                  <c:v>168.398512815701</c:v>
                </c:pt>
                <c:pt idx="190">
                  <c:v>166.449382981802</c:v>
                </c:pt>
                <c:pt idx="191">
                  <c:v>283.663867057696</c:v>
                </c:pt>
                <c:pt idx="192">
                  <c:v>502.025628127799</c:v>
                </c:pt>
                <c:pt idx="193">
                  <c:v>489.188729307104</c:v>
                </c:pt>
                <c:pt idx="194">
                  <c:v>254.278747058722</c:v>
                </c:pt>
                <c:pt idx="195">
                  <c:v>243.871992168521</c:v>
                </c:pt>
                <c:pt idx="196">
                  <c:v>233.310219101725</c:v>
                </c:pt>
                <c:pt idx="197">
                  <c:v>210.025532376504</c:v>
                </c:pt>
                <c:pt idx="198">
                  <c:v>113.257529146686</c:v>
                </c:pt>
                <c:pt idx="199">
                  <c:v>551.123171104196</c:v>
                </c:pt>
                <c:pt idx="200">
                  <c:v>301.11712384803</c:v>
                </c:pt>
                <c:pt idx="201">
                  <c:v>78.4080081471518</c:v>
                </c:pt>
                <c:pt idx="202">
                  <c:v>287.872163078684</c:v>
                </c:pt>
                <c:pt idx="203">
                  <c:v>78.4080081471518</c:v>
                </c:pt>
                <c:pt idx="204">
                  <c:v>547.069893259804</c:v>
                </c:pt>
                <c:pt idx="205">
                  <c:v>174.865975023778</c:v>
                </c:pt>
                <c:pt idx="206">
                  <c:v>211.240604341751</c:v>
                </c:pt>
                <c:pt idx="207">
                  <c:v>281.983740562662</c:v>
                </c:pt>
                <c:pt idx="208">
                  <c:v>137.121255563964</c:v>
                </c:pt>
                <c:pt idx="209">
                  <c:v>415.224398705913</c:v>
                </c:pt>
                <c:pt idx="210">
                  <c:v>452.219100730267</c:v>
                </c:pt>
                <c:pt idx="211">
                  <c:v>630.675001748927</c:v>
                </c:pt>
                <c:pt idx="212">
                  <c:v>165.50331435542</c:v>
                </c:pt>
                <c:pt idx="213">
                  <c:v>180.4284016198</c:v>
                </c:pt>
                <c:pt idx="214">
                  <c:v>271.732003849057</c:v>
                </c:pt>
                <c:pt idx="215">
                  <c:v>85.2424992895553</c:v>
                </c:pt>
                <c:pt idx="216">
                  <c:v>82.5593115870052</c:v>
                </c:pt>
                <c:pt idx="217">
                  <c:v>477.933931385982</c:v>
                </c:pt>
                <c:pt idx="218">
                  <c:v>3078.42354153774</c:v>
                </c:pt>
                <c:pt idx="219">
                  <c:v>1490.96141948325</c:v>
                </c:pt>
                <c:pt idx="220">
                  <c:v>1049.49844033043</c:v>
                </c:pt>
                <c:pt idx="221">
                  <c:v>203.289066829561</c:v>
                </c:pt>
                <c:pt idx="222">
                  <c:v>218.173121079615</c:v>
                </c:pt>
                <c:pt idx="223">
                  <c:v>116.617782136753</c:v>
                </c:pt>
                <c:pt idx="224">
                  <c:v>78.4080081471518</c:v>
                </c:pt>
                <c:pt idx="225">
                  <c:v>308.473662101355</c:v>
                </c:pt>
                <c:pt idx="226">
                  <c:v>89.7608316637345</c:v>
                </c:pt>
                <c:pt idx="227">
                  <c:v>82.5593115870052</c:v>
                </c:pt>
                <c:pt idx="228">
                  <c:v>198.093669167865</c:v>
                </c:pt>
                <c:pt idx="229">
                  <c:v>172.280812916689</c:v>
                </c:pt>
                <c:pt idx="230">
                  <c:v>273.355137762956</c:v>
                </c:pt>
                <c:pt idx="231">
                  <c:v>959.236664128407</c:v>
                </c:pt>
                <c:pt idx="232">
                  <c:v>148.841108014872</c:v>
                </c:pt>
                <c:pt idx="233">
                  <c:v>691.011383079637</c:v>
                </c:pt>
                <c:pt idx="234">
                  <c:v>297.699878276828</c:v>
                </c:pt>
                <c:pt idx="235">
                  <c:v>369.234064947526</c:v>
                </c:pt>
                <c:pt idx="236">
                  <c:v>280.246621486494</c:v>
                </c:pt>
                <c:pt idx="237">
                  <c:v>157.567736410039</c:v>
                </c:pt>
                <c:pt idx="238">
                  <c:v>65.5300763121312</c:v>
                </c:pt>
                <c:pt idx="239">
                  <c:v>735.052587004126</c:v>
                </c:pt>
                <c:pt idx="240">
                  <c:v>559.972898542342</c:v>
                </c:pt>
                <c:pt idx="241">
                  <c:v>168.129509476836</c:v>
                </c:pt>
                <c:pt idx="242">
                  <c:v>199.618777486303</c:v>
                </c:pt>
                <c:pt idx="243">
                  <c:v>1785.4828390744</c:v>
                </c:pt>
                <c:pt idx="244">
                  <c:v>252.851664335745</c:v>
                </c:pt>
                <c:pt idx="245">
                  <c:v>125.13239977419</c:v>
                </c:pt>
                <c:pt idx="246">
                  <c:v>392.673769849343</c:v>
                </c:pt>
                <c:pt idx="247">
                  <c:v>354.831024794067</c:v>
                </c:pt>
                <c:pt idx="248">
                  <c:v>293.972596352435</c:v>
                </c:pt>
                <c:pt idx="249">
                  <c:v>86.555596850263</c:v>
                </c:pt>
                <c:pt idx="250">
                  <c:v>211.224644774942</c:v>
                </c:pt>
                <c:pt idx="251">
                  <c:v>4116.22890554505</c:v>
                </c:pt>
                <c:pt idx="252">
                  <c:v>327.436067643319</c:v>
                </c:pt>
                <c:pt idx="253">
                  <c:v>170.812697179386</c:v>
                </c:pt>
                <c:pt idx="254">
                  <c:v>458.278500989693</c:v>
                </c:pt>
                <c:pt idx="255">
                  <c:v>71.2064880704225</c:v>
                </c:pt>
                <c:pt idx="256">
                  <c:v>60.7997331802217</c:v>
                </c:pt>
                <c:pt idx="257">
                  <c:v>372.920313857593</c:v>
                </c:pt>
                <c:pt idx="258">
                  <c:v>411.70912753925</c:v>
                </c:pt>
                <c:pt idx="259">
                  <c:v>165.07929283996</c:v>
                </c:pt>
                <c:pt idx="260">
                  <c:v>999.470788294459</c:v>
                </c:pt>
                <c:pt idx="261">
                  <c:v>263.739433322541</c:v>
                </c:pt>
                <c:pt idx="262">
                  <c:v>375.701527155604</c:v>
                </c:pt>
                <c:pt idx="263">
                  <c:v>254.857786750778</c:v>
                </c:pt>
                <c:pt idx="264">
                  <c:v>80.3001453999156</c:v>
                </c:pt>
                <c:pt idx="265">
                  <c:v>110.20731250981</c:v>
                </c:pt>
                <c:pt idx="266">
                  <c:v>304.069314889445</c:v>
                </c:pt>
                <c:pt idx="267">
                  <c:v>675.963196772279</c:v>
                </c:pt>
                <c:pt idx="268">
                  <c:v>327.493060224453</c:v>
                </c:pt>
                <c:pt idx="269">
                  <c:v>339.155920094227</c:v>
                </c:pt>
                <c:pt idx="270">
                  <c:v>174.539979103779</c:v>
                </c:pt>
              </c:numCache>
            </c:numRef>
          </c:xVal>
          <c:yVal>
            <c:numRef>
              <c:f>'Model Data'!$J$5:$J$275</c:f>
              <c:numCache>
                <c:formatCode>\£#,##0.00</c:formatCode>
                <c:ptCount val="271"/>
                <c:pt idx="0">
                  <c:v>-1.78553006949113</c:v>
                </c:pt>
                <c:pt idx="1">
                  <c:v>-56.2080081471518</c:v>
                </c:pt>
                <c:pt idx="2">
                  <c:v>61.1359186124412</c:v>
                </c:pt>
                <c:pt idx="3">
                  <c:v>-25.599254179756</c:v>
                </c:pt>
                <c:pt idx="4">
                  <c:v>-44.8418704329855</c:v>
                </c:pt>
                <c:pt idx="5">
                  <c:v>190.432366698711</c:v>
                </c:pt>
                <c:pt idx="6">
                  <c:v>68.4608453356091</c:v>
                </c:pt>
                <c:pt idx="7">
                  <c:v>-56.2080081471518</c:v>
                </c:pt>
                <c:pt idx="8">
                  <c:v>8.72949517361457</c:v>
                </c:pt>
                <c:pt idx="9">
                  <c:v>260.27213940194</c:v>
                </c:pt>
                <c:pt idx="10">
                  <c:v>8.72949517361457</c:v>
                </c:pt>
                <c:pt idx="11">
                  <c:v>155.785129214659</c:v>
                </c:pt>
                <c:pt idx="12">
                  <c:v>-56.2080081471518</c:v>
                </c:pt>
                <c:pt idx="13">
                  <c:v>-174.016182312344</c:v>
                </c:pt>
                <c:pt idx="14">
                  <c:v>-47.7593115870052</c:v>
                </c:pt>
                <c:pt idx="15">
                  <c:v>-42.0469351862498</c:v>
                </c:pt>
                <c:pt idx="16">
                  <c:v>164.756418666965</c:v>
                </c:pt>
                <c:pt idx="17">
                  <c:v>163.57505551285</c:v>
                </c:pt>
                <c:pt idx="18">
                  <c:v>-22.3544222124557</c:v>
                </c:pt>
                <c:pt idx="19">
                  <c:v>210.671099466576</c:v>
                </c:pt>
                <c:pt idx="20">
                  <c:v>1742.92143314932</c:v>
                </c:pt>
                <c:pt idx="21">
                  <c:v>-29.5088372005646</c:v>
                </c:pt>
                <c:pt idx="22">
                  <c:v>103.547231425817</c:v>
                </c:pt>
                <c:pt idx="23">
                  <c:v>116.815767514586</c:v>
                </c:pt>
                <c:pt idx="24">
                  <c:v>96.027586238262</c:v>
                </c:pt>
                <c:pt idx="25">
                  <c:v>12.177786435105</c:v>
                </c:pt>
                <c:pt idx="26">
                  <c:v>378.14980192712</c:v>
                </c:pt>
                <c:pt idx="27">
                  <c:v>108.428731589388</c:v>
                </c:pt>
                <c:pt idx="28">
                  <c:v>97.5814942508096</c:v>
                </c:pt>
                <c:pt idx="29">
                  <c:v>155.180697786518</c:v>
                </c:pt>
                <c:pt idx="30">
                  <c:v>109.571720261208</c:v>
                </c:pt>
                <c:pt idx="31">
                  <c:v>-56.2080081471518</c:v>
                </c:pt>
                <c:pt idx="32">
                  <c:v>-53.8064880704225</c:v>
                </c:pt>
                <c:pt idx="33">
                  <c:v>-276.63193905914</c:v>
                </c:pt>
                <c:pt idx="34">
                  <c:v>172.999334632403</c:v>
                </c:pt>
                <c:pt idx="35">
                  <c:v>26.9237473134989</c:v>
                </c:pt>
                <c:pt idx="36">
                  <c:v>-197.372764980798</c:v>
                </c:pt>
                <c:pt idx="37">
                  <c:v>145.449551269278</c:v>
                </c:pt>
                <c:pt idx="38">
                  <c:v>87.2394260858301</c:v>
                </c:pt>
                <c:pt idx="39">
                  <c:v>-56.2080081471518</c:v>
                </c:pt>
                <c:pt idx="40">
                  <c:v>-143.12140168121</c:v>
                </c:pt>
                <c:pt idx="41">
                  <c:v>-369.389826479032</c:v>
                </c:pt>
                <c:pt idx="42">
                  <c:v>-275.271029091935</c:v>
                </c:pt>
                <c:pt idx="43">
                  <c:v>-302.45547581921</c:v>
                </c:pt>
                <c:pt idx="44">
                  <c:v>25.771186160506</c:v>
                </c:pt>
                <c:pt idx="45">
                  <c:v>-25.0370430797103</c:v>
                </c:pt>
                <c:pt idx="46">
                  <c:v>112.640821974539</c:v>
                </c:pt>
                <c:pt idx="47">
                  <c:v>57.7606124041727</c:v>
                </c:pt>
                <c:pt idx="48">
                  <c:v>-203.594165824902</c:v>
                </c:pt>
                <c:pt idx="49">
                  <c:v>-150.489433177069</c:v>
                </c:pt>
                <c:pt idx="50">
                  <c:v>-7.41226851965899</c:v>
                </c:pt>
                <c:pt idx="51">
                  <c:v>-53.8064880704225</c:v>
                </c:pt>
                <c:pt idx="52">
                  <c:v>-513.731633275849</c:v>
                </c:pt>
                <c:pt idx="53">
                  <c:v>-41.1844199054431</c:v>
                </c:pt>
                <c:pt idx="54">
                  <c:v>1308.97314422006</c:v>
                </c:pt>
                <c:pt idx="55">
                  <c:v>-201.334699559021</c:v>
                </c:pt>
                <c:pt idx="56">
                  <c:v>-33.2739455190026</c:v>
                </c:pt>
                <c:pt idx="57">
                  <c:v>-30.2664212896507</c:v>
                </c:pt>
                <c:pt idx="58">
                  <c:v>-115.886007929057</c:v>
                </c:pt>
                <c:pt idx="59">
                  <c:v>95.2041572261801</c:v>
                </c:pt>
                <c:pt idx="60">
                  <c:v>-436.845589322123</c:v>
                </c:pt>
                <c:pt idx="61">
                  <c:v>-55.8497331802217</c:v>
                </c:pt>
                <c:pt idx="62">
                  <c:v>-318.040953083113</c:v>
                </c:pt>
                <c:pt idx="63">
                  <c:v>-41.7300715526336</c:v>
                </c:pt>
                <c:pt idx="64">
                  <c:v>-33.363871817193</c:v>
                </c:pt>
                <c:pt idx="65">
                  <c:v>-37.4678956396662</c:v>
                </c:pt>
                <c:pt idx="66">
                  <c:v>94.8437239524283</c:v>
                </c:pt>
                <c:pt idx="67">
                  <c:v>-57.5801312668953</c:v>
                </c:pt>
                <c:pt idx="68">
                  <c:v>-230.30086294127</c:v>
                </c:pt>
                <c:pt idx="69">
                  <c:v>7.58356702981405</c:v>
                </c:pt>
                <c:pt idx="70">
                  <c:v>-77.7564586382691</c:v>
                </c:pt>
                <c:pt idx="71">
                  <c:v>358.591580919527</c:v>
                </c:pt>
                <c:pt idx="72">
                  <c:v>-411.342206137606</c:v>
                </c:pt>
                <c:pt idx="73">
                  <c:v>-15.4467550480374</c:v>
                </c:pt>
                <c:pt idx="74">
                  <c:v>-21.2592448062333</c:v>
                </c:pt>
                <c:pt idx="75">
                  <c:v>-11.3912578709762</c:v>
                </c:pt>
                <c:pt idx="76">
                  <c:v>0.916775786422164</c:v>
                </c:pt>
                <c:pt idx="77">
                  <c:v>107.073664238167</c:v>
                </c:pt>
                <c:pt idx="78">
                  <c:v>-159.025286307474</c:v>
                </c:pt>
                <c:pt idx="79">
                  <c:v>89.2858332300963</c:v>
                </c:pt>
                <c:pt idx="80">
                  <c:v>83.3031899971985</c:v>
                </c:pt>
                <c:pt idx="81">
                  <c:v>-56.2064880704225</c:v>
                </c:pt>
                <c:pt idx="82">
                  <c:v>248.66463275352</c:v>
                </c:pt>
                <c:pt idx="83">
                  <c:v>-31.1865368796598</c:v>
                </c:pt>
                <c:pt idx="84">
                  <c:v>-221.259031471797</c:v>
                </c:pt>
                <c:pt idx="85">
                  <c:v>-65.9773218833329</c:v>
                </c:pt>
                <c:pt idx="86">
                  <c:v>-75.885177564059</c:v>
                </c:pt>
                <c:pt idx="87">
                  <c:v>-168.441017411399</c:v>
                </c:pt>
                <c:pt idx="88">
                  <c:v>35.1659923142507</c:v>
                </c:pt>
                <c:pt idx="89">
                  <c:v>-16.0043343776259</c:v>
                </c:pt>
                <c:pt idx="90">
                  <c:v>410.934526171645</c:v>
                </c:pt>
                <c:pt idx="91">
                  <c:v>29.2754466784857</c:v>
                </c:pt>
                <c:pt idx="92">
                  <c:v>32.7097001299552</c:v>
                </c:pt>
                <c:pt idx="93">
                  <c:v>-101.027148520686</c:v>
                </c:pt>
                <c:pt idx="94">
                  <c:v>-27.0080081471518</c:v>
                </c:pt>
                <c:pt idx="95">
                  <c:v>-62.2473218833329</c:v>
                </c:pt>
                <c:pt idx="96">
                  <c:v>-67.5956471910019</c:v>
                </c:pt>
                <c:pt idx="97">
                  <c:v>23.4561563033752</c:v>
                </c:pt>
                <c:pt idx="98">
                  <c:v>-66.1664880704225</c:v>
                </c:pt>
                <c:pt idx="99">
                  <c:v>-317.654271894721</c:v>
                </c:pt>
                <c:pt idx="100">
                  <c:v>134.318353270401</c:v>
                </c:pt>
                <c:pt idx="101">
                  <c:v>-156.342995750694</c:v>
                </c:pt>
                <c:pt idx="102">
                  <c:v>-46.3007226293742</c:v>
                </c:pt>
                <c:pt idx="103">
                  <c:v>-67.0035579719645</c:v>
                </c:pt>
                <c:pt idx="104">
                  <c:v>-44.8418704329855</c:v>
                </c:pt>
                <c:pt idx="105">
                  <c:v>630.988813473395</c:v>
                </c:pt>
                <c:pt idx="106">
                  <c:v>1329.05453549474</c:v>
                </c:pt>
                <c:pt idx="107">
                  <c:v>48.4671481797996</c:v>
                </c:pt>
                <c:pt idx="108">
                  <c:v>70.9445577653387</c:v>
                </c:pt>
                <c:pt idx="109">
                  <c:v>-12.2101255119702</c:v>
                </c:pt>
                <c:pt idx="110">
                  <c:v>-61.101794278691</c:v>
                </c:pt>
                <c:pt idx="111">
                  <c:v>80.9326101697825</c:v>
                </c:pt>
                <c:pt idx="112">
                  <c:v>-45.114613035776</c:v>
                </c:pt>
                <c:pt idx="113">
                  <c:v>24.6181002803336</c:v>
                </c:pt>
                <c:pt idx="114">
                  <c:v>709.655982915515</c:v>
                </c:pt>
                <c:pt idx="115">
                  <c:v>-41.8458018066036</c:v>
                </c:pt>
                <c:pt idx="116">
                  <c:v>199.510195424981</c:v>
                </c:pt>
                <c:pt idx="117">
                  <c:v>-195.395066222686</c:v>
                </c:pt>
                <c:pt idx="118">
                  <c:v>47.7360661615327</c:v>
                </c:pt>
                <c:pt idx="119">
                  <c:v>-17.6225039035804</c:v>
                </c:pt>
                <c:pt idx="120">
                  <c:v>-230.377329799798</c:v>
                </c:pt>
                <c:pt idx="121">
                  <c:v>602.066129009825</c:v>
                </c:pt>
                <c:pt idx="122">
                  <c:v>-24.8850487620129</c:v>
                </c:pt>
                <c:pt idx="123">
                  <c:v>-41.3260781577412</c:v>
                </c:pt>
                <c:pt idx="124">
                  <c:v>115.105723029623</c:v>
                </c:pt>
                <c:pt idx="125">
                  <c:v>-66.2858825749233</c:v>
                </c:pt>
                <c:pt idx="126">
                  <c:v>-218.675579098645</c:v>
                </c:pt>
                <c:pt idx="127">
                  <c:v>7.24055961094877</c:v>
                </c:pt>
                <c:pt idx="128">
                  <c:v>134.853244951963</c:v>
                </c:pt>
                <c:pt idx="129">
                  <c:v>59.5697715247522</c:v>
                </c:pt>
                <c:pt idx="130">
                  <c:v>-56.2080081471518</c:v>
                </c:pt>
                <c:pt idx="131">
                  <c:v>-35.858777486303</c:v>
                </c:pt>
                <c:pt idx="132">
                  <c:v>-56.2080081471518</c:v>
                </c:pt>
                <c:pt idx="133">
                  <c:v>-40.8176485752095</c:v>
                </c:pt>
                <c:pt idx="134">
                  <c:v>10.745711349088</c:v>
                </c:pt>
                <c:pt idx="135">
                  <c:v>33.7061118882465</c:v>
                </c:pt>
                <c:pt idx="136">
                  <c:v>-64.5387634987551</c:v>
                </c:pt>
                <c:pt idx="137">
                  <c:v>-6.67050482638544</c:v>
                </c:pt>
                <c:pt idx="138">
                  <c:v>-56.2080081471518</c:v>
                </c:pt>
                <c:pt idx="139">
                  <c:v>-38.5719253877496</c:v>
                </c:pt>
                <c:pt idx="140">
                  <c:v>-31.4925729913649</c:v>
                </c:pt>
                <c:pt idx="141">
                  <c:v>-152.483505178741</c:v>
                </c:pt>
                <c:pt idx="142">
                  <c:v>-56.2080081471518</c:v>
                </c:pt>
                <c:pt idx="143">
                  <c:v>45.674202952894</c:v>
                </c:pt>
                <c:pt idx="144">
                  <c:v>116.109394346664</c:v>
                </c:pt>
                <c:pt idx="145">
                  <c:v>353.982939288931</c:v>
                </c:pt>
                <c:pt idx="146">
                  <c:v>8.59475808244122</c:v>
                </c:pt>
                <c:pt idx="147">
                  <c:v>-15.2664786968998</c:v>
                </c:pt>
                <c:pt idx="148">
                  <c:v>-434.073958390864</c:v>
                </c:pt>
                <c:pt idx="149">
                  <c:v>-56.5357959062062</c:v>
                </c:pt>
                <c:pt idx="150">
                  <c:v>-260.026813330455</c:v>
                </c:pt>
                <c:pt idx="151">
                  <c:v>183.850767019774</c:v>
                </c:pt>
                <c:pt idx="152">
                  <c:v>-52.9300763121312</c:v>
                </c:pt>
                <c:pt idx="153">
                  <c:v>92.1781823602385</c:v>
                </c:pt>
                <c:pt idx="154">
                  <c:v>-18.6783675736217</c:v>
                </c:pt>
                <c:pt idx="155">
                  <c:v>-56.2080081471518</c:v>
                </c:pt>
                <c:pt idx="156">
                  <c:v>-6.67050482638544</c:v>
                </c:pt>
                <c:pt idx="157">
                  <c:v>-56.2080081471518</c:v>
                </c:pt>
                <c:pt idx="158">
                  <c:v>-51.9157325733468</c:v>
                </c:pt>
                <c:pt idx="159">
                  <c:v>-77.4667116283361</c:v>
                </c:pt>
                <c:pt idx="160">
                  <c:v>-110.118337146041</c:v>
                </c:pt>
                <c:pt idx="161">
                  <c:v>142.964571898359</c:v>
                </c:pt>
                <c:pt idx="162">
                  <c:v>12.2878648964122</c:v>
                </c:pt>
                <c:pt idx="163">
                  <c:v>-406.414603346096</c:v>
                </c:pt>
                <c:pt idx="164">
                  <c:v>-35.3343890414449</c:v>
                </c:pt>
                <c:pt idx="165">
                  <c:v>20.3402598987406</c:v>
                </c:pt>
                <c:pt idx="166">
                  <c:v>-96.4256202113336</c:v>
                </c:pt>
                <c:pt idx="167">
                  <c:v>-56.5497331802217</c:v>
                </c:pt>
                <c:pt idx="168">
                  <c:v>-93.4022649010613</c:v>
                </c:pt>
                <c:pt idx="169">
                  <c:v>55.9520293469391</c:v>
                </c:pt>
                <c:pt idx="170">
                  <c:v>-7.83515175050337</c:v>
                </c:pt>
                <c:pt idx="171">
                  <c:v>-39.6964096091154</c:v>
                </c:pt>
                <c:pt idx="172">
                  <c:v>-77.3408035431663</c:v>
                </c:pt>
                <c:pt idx="173">
                  <c:v>7.89903016069675</c:v>
                </c:pt>
                <c:pt idx="174">
                  <c:v>-247.242892787417</c:v>
                </c:pt>
                <c:pt idx="175">
                  <c:v>-192.224438507016</c:v>
                </c:pt>
                <c:pt idx="176">
                  <c:v>38.9464690077038</c:v>
                </c:pt>
                <c:pt idx="177">
                  <c:v>-75.8710622881583</c:v>
                </c:pt>
                <c:pt idx="178">
                  <c:v>103.206602569247</c:v>
                </c:pt>
                <c:pt idx="179">
                  <c:v>-56.2080081471518</c:v>
                </c:pt>
                <c:pt idx="180">
                  <c:v>69.1437005913577</c:v>
                </c:pt>
                <c:pt idx="181">
                  <c:v>-56.2080081471518</c:v>
                </c:pt>
                <c:pt idx="182">
                  <c:v>21.8896520962288</c:v>
                </c:pt>
                <c:pt idx="183">
                  <c:v>14.5892808437512</c:v>
                </c:pt>
                <c:pt idx="184">
                  <c:v>-144.57447010071</c:v>
                </c:pt>
                <c:pt idx="185">
                  <c:v>-65.0709252787022</c:v>
                </c:pt>
                <c:pt idx="186">
                  <c:v>30.2495512692785</c:v>
                </c:pt>
                <c:pt idx="187">
                  <c:v>-489.884684651684</c:v>
                </c:pt>
                <c:pt idx="188">
                  <c:v>-44.6176673222549</c:v>
                </c:pt>
                <c:pt idx="189">
                  <c:v>33.3514871842993</c:v>
                </c:pt>
                <c:pt idx="190">
                  <c:v>-73.6993829818021</c:v>
                </c:pt>
                <c:pt idx="191">
                  <c:v>-81.5438670576955</c:v>
                </c:pt>
                <c:pt idx="192">
                  <c:v>-305.595628127799</c:v>
                </c:pt>
                <c:pt idx="193">
                  <c:v>-227.428729307104</c:v>
                </c:pt>
                <c:pt idx="194">
                  <c:v>125.471252941278</c:v>
                </c:pt>
                <c:pt idx="195">
                  <c:v>98.0280078314785</c:v>
                </c:pt>
                <c:pt idx="196">
                  <c:v>14.7897808982749</c:v>
                </c:pt>
                <c:pt idx="197">
                  <c:v>-109.825532376504</c:v>
                </c:pt>
                <c:pt idx="198">
                  <c:v>2.74247085331388</c:v>
                </c:pt>
                <c:pt idx="199">
                  <c:v>-229.333171104196</c:v>
                </c:pt>
                <c:pt idx="200">
                  <c:v>133.68287615197</c:v>
                </c:pt>
                <c:pt idx="201">
                  <c:v>-56.2080081471518</c:v>
                </c:pt>
                <c:pt idx="202">
                  <c:v>102.787836921316</c:v>
                </c:pt>
                <c:pt idx="203">
                  <c:v>-56.2080081471518</c:v>
                </c:pt>
                <c:pt idx="204">
                  <c:v>-336.829893259804</c:v>
                </c:pt>
                <c:pt idx="205">
                  <c:v>-120.615975023778</c:v>
                </c:pt>
                <c:pt idx="206">
                  <c:v>-144.590604341751</c:v>
                </c:pt>
                <c:pt idx="207">
                  <c:v>29.266259437338</c:v>
                </c:pt>
                <c:pt idx="208">
                  <c:v>-38.2212555639636</c:v>
                </c:pt>
                <c:pt idx="209">
                  <c:v>-107.544398705913</c:v>
                </c:pt>
                <c:pt idx="210">
                  <c:v>0.300899269732895</c:v>
                </c:pt>
                <c:pt idx="211">
                  <c:v>37.7249982510731</c:v>
                </c:pt>
                <c:pt idx="212">
                  <c:v>-47.1233143554202</c:v>
                </c:pt>
                <c:pt idx="213">
                  <c:v>-42.3284016198002</c:v>
                </c:pt>
                <c:pt idx="214">
                  <c:v>-78.5020038490568</c:v>
                </c:pt>
                <c:pt idx="215">
                  <c:v>-72.4424992895553</c:v>
                </c:pt>
                <c:pt idx="216">
                  <c:v>-32.1593115870052</c:v>
                </c:pt>
                <c:pt idx="217">
                  <c:v>40.0160686140177</c:v>
                </c:pt>
                <c:pt idx="218">
                  <c:v>998.056458462263</c:v>
                </c:pt>
                <c:pt idx="219">
                  <c:v>679.938580516746</c:v>
                </c:pt>
                <c:pt idx="220">
                  <c:v>1681.46155966957</c:v>
                </c:pt>
                <c:pt idx="221">
                  <c:v>120.710933170439</c:v>
                </c:pt>
                <c:pt idx="222">
                  <c:v>-25.7131210796149</c:v>
                </c:pt>
                <c:pt idx="223">
                  <c:v>-41.6177821367531</c:v>
                </c:pt>
                <c:pt idx="224">
                  <c:v>-56.2080081471518</c:v>
                </c:pt>
                <c:pt idx="225">
                  <c:v>223.536337898645</c:v>
                </c:pt>
                <c:pt idx="226">
                  <c:v>-45.3608316637344</c:v>
                </c:pt>
                <c:pt idx="227">
                  <c:v>-52.5593115870052</c:v>
                </c:pt>
                <c:pt idx="228">
                  <c:v>-27.393669167865</c:v>
                </c:pt>
                <c:pt idx="229">
                  <c:v>150.519187083311</c:v>
                </c:pt>
                <c:pt idx="230">
                  <c:v>60.3648622370445</c:v>
                </c:pt>
                <c:pt idx="231">
                  <c:v>-610.196664128407</c:v>
                </c:pt>
                <c:pt idx="232">
                  <c:v>-18.0411080148721</c:v>
                </c:pt>
                <c:pt idx="233">
                  <c:v>-6.55138307963739</c:v>
                </c:pt>
                <c:pt idx="234">
                  <c:v>-114.399878276828</c:v>
                </c:pt>
                <c:pt idx="235">
                  <c:v>-132.264064947526</c:v>
                </c:pt>
                <c:pt idx="236">
                  <c:v>-27.9466214864937</c:v>
                </c:pt>
                <c:pt idx="237">
                  <c:v>39.7322635899607</c:v>
                </c:pt>
                <c:pt idx="238">
                  <c:v>-43.0300763121312</c:v>
                </c:pt>
                <c:pt idx="239">
                  <c:v>979.197412995874</c:v>
                </c:pt>
                <c:pt idx="240">
                  <c:v>-153.412898542342</c:v>
                </c:pt>
                <c:pt idx="241">
                  <c:v>-123.009509476836</c:v>
                </c:pt>
                <c:pt idx="242">
                  <c:v>48.181222513697</c:v>
                </c:pt>
                <c:pt idx="243">
                  <c:v>-782.282839074404</c:v>
                </c:pt>
                <c:pt idx="244">
                  <c:v>51.1083356642549</c:v>
                </c:pt>
                <c:pt idx="245">
                  <c:v>402.71760022581</c:v>
                </c:pt>
                <c:pt idx="246">
                  <c:v>-202.873769849343</c:v>
                </c:pt>
                <c:pt idx="247">
                  <c:v>-46.5510247940673</c:v>
                </c:pt>
                <c:pt idx="248">
                  <c:v>-150.522596352435</c:v>
                </c:pt>
                <c:pt idx="249">
                  <c:v>-36.005596850263</c:v>
                </c:pt>
                <c:pt idx="250">
                  <c:v>196.775355225058</c:v>
                </c:pt>
                <c:pt idx="251">
                  <c:v>-2113.82890554505</c:v>
                </c:pt>
                <c:pt idx="252">
                  <c:v>241.963932356681</c:v>
                </c:pt>
                <c:pt idx="253">
                  <c:v>-6.01269717938575</c:v>
                </c:pt>
                <c:pt idx="254">
                  <c:v>-20.1785009896929</c:v>
                </c:pt>
                <c:pt idx="255">
                  <c:v>-35.8064880704225</c:v>
                </c:pt>
                <c:pt idx="256">
                  <c:v>234.200266819778</c:v>
                </c:pt>
                <c:pt idx="257">
                  <c:v>-109.620313857593</c:v>
                </c:pt>
                <c:pt idx="258">
                  <c:v>-103.02912753925</c:v>
                </c:pt>
                <c:pt idx="259">
                  <c:v>-127.87929283996</c:v>
                </c:pt>
                <c:pt idx="260">
                  <c:v>-375.740788294459</c:v>
                </c:pt>
                <c:pt idx="261">
                  <c:v>-126.389433322541</c:v>
                </c:pt>
                <c:pt idx="262">
                  <c:v>17.7184728443964</c:v>
                </c:pt>
                <c:pt idx="263">
                  <c:v>8.76221324922173</c:v>
                </c:pt>
                <c:pt idx="264">
                  <c:v>-45.4001453999156</c:v>
                </c:pt>
                <c:pt idx="265">
                  <c:v>79.0926874901898</c:v>
                </c:pt>
                <c:pt idx="266">
                  <c:v>-176.519314889445</c:v>
                </c:pt>
                <c:pt idx="267">
                  <c:v>-273.963196772279</c:v>
                </c:pt>
                <c:pt idx="268">
                  <c:v>-111.913060224453</c:v>
                </c:pt>
                <c:pt idx="269">
                  <c:v>194.844079905773</c:v>
                </c:pt>
                <c:pt idx="270">
                  <c:v>222.960020896221</c:v>
                </c:pt>
              </c:numCache>
            </c:numRef>
          </c:yVal>
          <c:smooth val="1"/>
        </c:ser>
        <c:axId val="58578274"/>
        <c:axId val="63541661"/>
      </c:scatterChart>
      <c:valAx>
        <c:axId val="585782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Predicted value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41661"/>
        <c:crosses val="autoZero"/>
        <c:crossBetween val="midCat"/>
      </c:valAx>
      <c:valAx>
        <c:axId val="63541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Residual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7827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9</xdr:col>
      <xdr:colOff>255960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160560</xdr:rowOff>
    </xdr:from>
    <xdr:to>
      <xdr:col>9</xdr:col>
      <xdr:colOff>255960</xdr:colOff>
      <xdr:row>39</xdr:row>
      <xdr:rowOff>162000</xdr:rowOff>
    </xdr:to>
    <xdr:graphicFrame>
      <xdr:nvGraphicFramePr>
        <xdr:cNvPr id="1" name="Chart 2"/>
        <xdr:cNvGraphicFramePr/>
      </xdr:nvGraphicFramePr>
      <xdr:xfrm>
        <a:off x="0" y="4381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tr">
        <f aca="false">Regression!A22</f>
        <v>Invoice Value = 52.65 + 7.20 × Lines + 0.946 × Quantity</v>
      </c>
    </row>
    <row r="11" customFormat="false" ht="15" hidden="false" customHeight="false" outlineLevel="0" collapsed="false">
      <c r="A11" s="4" t="s">
        <v>15</v>
      </c>
      <c r="B11" s="6" t="n">
        <f aca="false">Regression!B6</f>
        <v>0.801845122013013</v>
      </c>
    </row>
    <row r="12" customFormat="false" ht="15" hidden="false" customHeight="false" outlineLevel="0" collapsed="false">
      <c r="A12" s="4" t="s">
        <v>16</v>
      </c>
      <c r="B12" s="6" t="n">
        <f aca="false">Regression!B7</f>
        <v>0.800366354266841</v>
      </c>
    </row>
    <row r="13" customFormat="false" ht="15" hidden="false" customHeight="false" outlineLevel="0" collapsed="false">
      <c r="A13" s="4" t="s">
        <v>17</v>
      </c>
      <c r="B13" s="7" t="n">
        <f aca="false">Regression!B8</f>
        <v>299.027654653405</v>
      </c>
    </row>
    <row r="14" customFormat="false" ht="15" hidden="false" customHeight="false" outlineLevel="0" collapsed="false">
      <c r="A14" s="4" t="s">
        <v>18</v>
      </c>
      <c r="B14" s="8" t="n">
        <f aca="false">Regression!F17</f>
        <v>6.28982976755724E-095</v>
      </c>
    </row>
    <row r="15" customFormat="false" ht="15" hidden="false" customHeight="false" outlineLevel="0" collapsed="false">
      <c r="A15" s="4" t="s">
        <v>19</v>
      </c>
      <c r="B15" s="6" t="n">
        <f aca="false">Regression!B25</f>
        <v>0.477723095162158</v>
      </c>
    </row>
    <row r="16" customFormat="false" ht="15" hidden="false" customHeight="false" outlineLevel="0" collapsed="false">
      <c r="A16" s="4" t="s">
        <v>20</v>
      </c>
      <c r="B16" s="6" t="n">
        <f aca="false">Regression!D26</f>
        <v>0.324122026850855</v>
      </c>
    </row>
    <row r="17" customFormat="false" ht="15" hidden="false" customHeight="false" outlineLevel="0" collapsed="false">
      <c r="A17" s="4" t="s">
        <v>21</v>
      </c>
      <c r="B17" s="7" t="n">
        <f aca="false">Diagnostics!B16</f>
        <v>151.8457090548</v>
      </c>
    </row>
    <row r="19" customFormat="false" ht="15" hidden="false" customHeight="false" outlineLevel="0" collapsed="false">
      <c r="A19" s="4" t="s">
        <v>22</v>
      </c>
    </row>
    <row r="20" customFormat="false" ht="15" hidden="false" customHeight="false" outlineLevel="0" collapsed="false">
      <c r="A20" s="9" t="s">
        <v>23</v>
      </c>
    </row>
    <row r="21" customFormat="false" ht="15" hidden="false" customHeight="false" outlineLevel="0" collapsed="false">
      <c r="A21" s="9" t="s">
        <v>24</v>
      </c>
    </row>
    <row r="22" customFormat="false" ht="15" hidden="false" customHeight="false" outlineLevel="0" collapsed="false">
      <c r="A22" s="9" t="s">
        <v>25</v>
      </c>
    </row>
    <row r="23" customFormat="false" ht="15" hidden="false" customHeight="false" outlineLevel="0" collapsed="false">
      <c r="A23" s="9" t="s">
        <v>26</v>
      </c>
    </row>
    <row r="24" customFormat="false" ht="15" hidden="false" customHeight="false" outlineLevel="0" collapsed="false">
      <c r="A24" s="9" t="s">
        <v>27</v>
      </c>
    </row>
    <row r="26" customFormat="false" ht="15" hidden="false" customHeight="false" outlineLevel="0" collapsed="false">
      <c r="A26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1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30</v>
      </c>
    </row>
    <row r="4" customFormat="false" ht="15" hidden="false" customHeight="false" outlineLevel="0" collapsed="false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customFormat="false" ht="15" hidden="false" customHeight="false" outlineLevel="0" collapsed="false">
      <c r="A5" s="9" t="s">
        <v>36</v>
      </c>
      <c r="B5" s="9" t="s">
        <v>37</v>
      </c>
      <c r="C5" s="9" t="n">
        <v>6</v>
      </c>
      <c r="D5" s="10" t="n">
        <v>2.55</v>
      </c>
      <c r="E5" s="10" t="n">
        <f aca="false">C5*D5</f>
        <v>15.3</v>
      </c>
    </row>
    <row r="6" customFormat="false" ht="15" hidden="false" customHeight="false" outlineLevel="0" collapsed="false">
      <c r="A6" s="9" t="s">
        <v>36</v>
      </c>
      <c r="B6" s="9" t="s">
        <v>38</v>
      </c>
      <c r="C6" s="9" t="n">
        <v>6</v>
      </c>
      <c r="D6" s="10" t="n">
        <v>3.39</v>
      </c>
      <c r="E6" s="10" t="n">
        <f aca="false">C6*D6</f>
        <v>20.34</v>
      </c>
    </row>
    <row r="7" customFormat="false" ht="15" hidden="false" customHeight="false" outlineLevel="0" collapsed="false">
      <c r="A7" s="9" t="s">
        <v>36</v>
      </c>
      <c r="B7" s="9" t="s">
        <v>39</v>
      </c>
      <c r="C7" s="9" t="n">
        <v>8</v>
      </c>
      <c r="D7" s="10" t="n">
        <v>2.75</v>
      </c>
      <c r="E7" s="10" t="n">
        <f aca="false">C7*D7</f>
        <v>22</v>
      </c>
    </row>
    <row r="8" customFormat="false" ht="15" hidden="false" customHeight="false" outlineLevel="0" collapsed="false">
      <c r="A8" s="9" t="s">
        <v>36</v>
      </c>
      <c r="B8" s="9" t="s">
        <v>40</v>
      </c>
      <c r="C8" s="9" t="n">
        <v>6</v>
      </c>
      <c r="D8" s="10" t="n">
        <v>3.39</v>
      </c>
      <c r="E8" s="10" t="n">
        <f aca="false">C8*D8</f>
        <v>20.34</v>
      </c>
    </row>
    <row r="9" customFormat="false" ht="15" hidden="false" customHeight="false" outlineLevel="0" collapsed="false">
      <c r="A9" s="9" t="s">
        <v>36</v>
      </c>
      <c r="B9" s="9" t="s">
        <v>41</v>
      </c>
      <c r="C9" s="9" t="n">
        <v>6</v>
      </c>
      <c r="D9" s="10" t="n">
        <v>3.39</v>
      </c>
      <c r="E9" s="10" t="n">
        <f aca="false">C9*D9</f>
        <v>20.34</v>
      </c>
    </row>
    <row r="10" customFormat="false" ht="15" hidden="false" customHeight="false" outlineLevel="0" collapsed="false">
      <c r="A10" s="9" t="s">
        <v>36</v>
      </c>
      <c r="B10" s="9" t="s">
        <v>42</v>
      </c>
      <c r="C10" s="9" t="n">
        <v>2</v>
      </c>
      <c r="D10" s="10" t="n">
        <v>7.65</v>
      </c>
      <c r="E10" s="10" t="n">
        <f aca="false">C10*D10</f>
        <v>15.3</v>
      </c>
    </row>
    <row r="11" customFormat="false" ht="15" hidden="false" customHeight="false" outlineLevel="0" collapsed="false">
      <c r="A11" s="9" t="s">
        <v>36</v>
      </c>
      <c r="B11" s="9" t="s">
        <v>43</v>
      </c>
      <c r="C11" s="9" t="n">
        <v>6</v>
      </c>
      <c r="D11" s="10" t="n">
        <v>4.25</v>
      </c>
      <c r="E11" s="10" t="n">
        <f aca="false">C11*D11</f>
        <v>25.5</v>
      </c>
    </row>
    <row r="12" customFormat="false" ht="15" hidden="false" customHeight="false" outlineLevel="0" collapsed="false">
      <c r="A12" s="9" t="s">
        <v>44</v>
      </c>
      <c r="B12" s="9" t="s">
        <v>45</v>
      </c>
      <c r="C12" s="9" t="n">
        <v>6</v>
      </c>
      <c r="D12" s="10" t="n">
        <v>1.85</v>
      </c>
      <c r="E12" s="10" t="n">
        <f aca="false">C12*D12</f>
        <v>11.1</v>
      </c>
    </row>
    <row r="13" customFormat="false" ht="15" hidden="false" customHeight="false" outlineLevel="0" collapsed="false">
      <c r="A13" s="9" t="s">
        <v>44</v>
      </c>
      <c r="B13" s="9" t="s">
        <v>46</v>
      </c>
      <c r="C13" s="9" t="n">
        <v>6</v>
      </c>
      <c r="D13" s="10" t="n">
        <v>1.85</v>
      </c>
      <c r="E13" s="10" t="n">
        <f aca="false">C13*D13</f>
        <v>11.1</v>
      </c>
    </row>
    <row r="14" customFormat="false" ht="15" hidden="false" customHeight="false" outlineLevel="0" collapsed="false">
      <c r="A14" s="9" t="s">
        <v>47</v>
      </c>
      <c r="B14" s="9" t="s">
        <v>48</v>
      </c>
      <c r="C14" s="9" t="n">
        <v>4</v>
      </c>
      <c r="D14" s="10" t="n">
        <v>7.95</v>
      </c>
      <c r="E14" s="10" t="n">
        <f aca="false">C14*D14</f>
        <v>31.8</v>
      </c>
    </row>
    <row r="15" customFormat="false" ht="15" hidden="false" customHeight="false" outlineLevel="0" collapsed="false">
      <c r="A15" s="9" t="s">
        <v>47</v>
      </c>
      <c r="B15" s="9" t="s">
        <v>49</v>
      </c>
      <c r="C15" s="9" t="n">
        <v>4</v>
      </c>
      <c r="D15" s="10" t="n">
        <v>7.95</v>
      </c>
      <c r="E15" s="10" t="n">
        <f aca="false">C15*D15</f>
        <v>31.8</v>
      </c>
    </row>
    <row r="16" customFormat="false" ht="15" hidden="false" customHeight="false" outlineLevel="0" collapsed="false">
      <c r="A16" s="9" t="s">
        <v>47</v>
      </c>
      <c r="B16" s="9" t="s">
        <v>50</v>
      </c>
      <c r="C16" s="9" t="n">
        <v>3</v>
      </c>
      <c r="D16" s="10" t="n">
        <v>5.95</v>
      </c>
      <c r="E16" s="10" t="n">
        <f aca="false">C16*D16</f>
        <v>17.85</v>
      </c>
    </row>
    <row r="17" customFormat="false" ht="15" hidden="false" customHeight="false" outlineLevel="0" collapsed="false">
      <c r="A17" s="9" t="s">
        <v>47</v>
      </c>
      <c r="B17" s="9" t="s">
        <v>51</v>
      </c>
      <c r="C17" s="9" t="n">
        <v>2</v>
      </c>
      <c r="D17" s="10" t="n">
        <v>9.95</v>
      </c>
      <c r="E17" s="10" t="n">
        <f aca="false">C17*D17</f>
        <v>19.9</v>
      </c>
    </row>
    <row r="18" customFormat="false" ht="15" hidden="false" customHeight="false" outlineLevel="0" collapsed="false">
      <c r="A18" s="9" t="s">
        <v>47</v>
      </c>
      <c r="B18" s="9" t="s">
        <v>52</v>
      </c>
      <c r="C18" s="9" t="n">
        <v>3</v>
      </c>
      <c r="D18" s="10" t="n">
        <v>4.95</v>
      </c>
      <c r="E18" s="10" t="n">
        <f aca="false">C18*D18</f>
        <v>14.85</v>
      </c>
    </row>
    <row r="19" customFormat="false" ht="15" hidden="false" customHeight="false" outlineLevel="0" collapsed="false">
      <c r="A19" s="9" t="s">
        <v>47</v>
      </c>
      <c r="B19" s="9" t="s">
        <v>53</v>
      </c>
      <c r="C19" s="9" t="n">
        <v>3</v>
      </c>
      <c r="D19" s="10" t="n">
        <v>5.95</v>
      </c>
      <c r="E19" s="10" t="n">
        <f aca="false">C19*D19</f>
        <v>17.85</v>
      </c>
    </row>
    <row r="20" customFormat="false" ht="15" hidden="false" customHeight="false" outlineLevel="0" collapsed="false">
      <c r="A20" s="9" t="s">
        <v>47</v>
      </c>
      <c r="B20" s="9" t="s">
        <v>54</v>
      </c>
      <c r="C20" s="9" t="n">
        <v>6</v>
      </c>
      <c r="D20" s="10" t="n">
        <v>1.65</v>
      </c>
      <c r="E20" s="10" t="n">
        <f aca="false">C20*D20</f>
        <v>9.9</v>
      </c>
    </row>
    <row r="21" customFormat="false" ht="15" hidden="false" customHeight="false" outlineLevel="0" collapsed="false">
      <c r="A21" s="9" t="s">
        <v>47</v>
      </c>
      <c r="B21" s="9" t="s">
        <v>55</v>
      </c>
      <c r="C21" s="9" t="n">
        <v>8</v>
      </c>
      <c r="D21" s="10" t="n">
        <v>3.75</v>
      </c>
      <c r="E21" s="10" t="n">
        <f aca="false">C21*D21</f>
        <v>30</v>
      </c>
    </row>
    <row r="22" customFormat="false" ht="15" hidden="false" customHeight="false" outlineLevel="0" collapsed="false">
      <c r="A22" s="9" t="s">
        <v>47</v>
      </c>
      <c r="B22" s="9" t="s">
        <v>56</v>
      </c>
      <c r="C22" s="9" t="n">
        <v>6</v>
      </c>
      <c r="D22" s="10" t="n">
        <v>4.25</v>
      </c>
      <c r="E22" s="10" t="n">
        <f aca="false">C22*D22</f>
        <v>25.5</v>
      </c>
    </row>
    <row r="23" customFormat="false" ht="15" hidden="false" customHeight="false" outlineLevel="0" collapsed="false">
      <c r="A23" s="9" t="s">
        <v>47</v>
      </c>
      <c r="B23" s="9" t="s">
        <v>57</v>
      </c>
      <c r="C23" s="9" t="n">
        <v>6</v>
      </c>
      <c r="D23" s="10" t="n">
        <v>2.1</v>
      </c>
      <c r="E23" s="10" t="n">
        <f aca="false">C23*D23</f>
        <v>12.6</v>
      </c>
    </row>
    <row r="24" customFormat="false" ht="15" hidden="false" customHeight="false" outlineLevel="0" collapsed="false">
      <c r="A24" s="9" t="s">
        <v>47</v>
      </c>
      <c r="B24" s="9" t="s">
        <v>58</v>
      </c>
      <c r="C24" s="9" t="n">
        <v>6</v>
      </c>
      <c r="D24" s="10" t="n">
        <v>2.1</v>
      </c>
      <c r="E24" s="10" t="n">
        <f aca="false">C24*D24</f>
        <v>12.6</v>
      </c>
    </row>
    <row r="25" customFormat="false" ht="15" hidden="false" customHeight="false" outlineLevel="0" collapsed="false">
      <c r="A25" s="9" t="s">
        <v>47</v>
      </c>
      <c r="B25" s="9" t="s">
        <v>59</v>
      </c>
      <c r="C25" s="9" t="n">
        <v>32</v>
      </c>
      <c r="D25" s="10" t="n">
        <v>1.69</v>
      </c>
      <c r="E25" s="10" t="n">
        <f aca="false">C25*D25</f>
        <v>54.08</v>
      </c>
    </row>
    <row r="26" customFormat="false" ht="15" hidden="false" customHeight="false" outlineLevel="0" collapsed="false">
      <c r="A26" s="9" t="s">
        <v>60</v>
      </c>
      <c r="B26" s="9" t="s">
        <v>61</v>
      </c>
      <c r="C26" s="9" t="n">
        <v>3</v>
      </c>
      <c r="D26" s="10" t="n">
        <v>4.95</v>
      </c>
      <c r="E26" s="10" t="n">
        <f aca="false">C26*D26</f>
        <v>14.85</v>
      </c>
    </row>
    <row r="27" customFormat="false" ht="15" hidden="false" customHeight="false" outlineLevel="0" collapsed="false">
      <c r="A27" s="9" t="s">
        <v>60</v>
      </c>
      <c r="B27" s="9" t="s">
        <v>62</v>
      </c>
      <c r="C27" s="9" t="n">
        <v>3</v>
      </c>
      <c r="D27" s="10" t="n">
        <v>4.95</v>
      </c>
      <c r="E27" s="10" t="n">
        <f aca="false">C27*D27</f>
        <v>14.85</v>
      </c>
    </row>
    <row r="28" customFormat="false" ht="15" hidden="false" customHeight="false" outlineLevel="0" collapsed="false">
      <c r="A28" s="9" t="s">
        <v>60</v>
      </c>
      <c r="B28" s="9" t="s">
        <v>63</v>
      </c>
      <c r="C28" s="9" t="n">
        <v>6</v>
      </c>
      <c r="D28" s="10" t="n">
        <v>4.25</v>
      </c>
      <c r="E28" s="10" t="n">
        <f aca="false">C28*D28</f>
        <v>25.5</v>
      </c>
    </row>
    <row r="29" customFormat="false" ht="15" hidden="false" customHeight="false" outlineLevel="0" collapsed="false">
      <c r="A29" s="9" t="s">
        <v>60</v>
      </c>
      <c r="B29" s="9" t="s">
        <v>64</v>
      </c>
      <c r="C29" s="9" t="n">
        <v>3</v>
      </c>
      <c r="D29" s="10" t="n">
        <v>4.95</v>
      </c>
      <c r="E29" s="10" t="n">
        <f aca="false">C29*D29</f>
        <v>14.85</v>
      </c>
    </row>
    <row r="30" customFormat="false" ht="15" hidden="false" customHeight="false" outlineLevel="0" collapsed="false">
      <c r="A30" s="9" t="s">
        <v>65</v>
      </c>
      <c r="B30" s="9" t="s">
        <v>66</v>
      </c>
      <c r="C30" s="9" t="n">
        <v>3</v>
      </c>
      <c r="D30" s="10" t="n">
        <v>5.95</v>
      </c>
      <c r="E30" s="10" t="n">
        <f aca="false">C30*D30</f>
        <v>17.85</v>
      </c>
    </row>
    <row r="31" customFormat="false" ht="15" hidden="false" customHeight="false" outlineLevel="0" collapsed="false">
      <c r="A31" s="9" t="s">
        <v>67</v>
      </c>
      <c r="B31" s="9" t="s">
        <v>68</v>
      </c>
      <c r="C31" s="9" t="n">
        <v>24</v>
      </c>
      <c r="D31" s="10" t="n">
        <v>1.95</v>
      </c>
      <c r="E31" s="10" t="n">
        <f aca="false">C31*D31</f>
        <v>46.8</v>
      </c>
    </row>
    <row r="32" customFormat="false" ht="15" hidden="false" customHeight="false" outlineLevel="0" collapsed="false">
      <c r="A32" s="9" t="s">
        <v>67</v>
      </c>
      <c r="B32" s="9" t="s">
        <v>69</v>
      </c>
      <c r="C32" s="9" t="n">
        <v>36</v>
      </c>
      <c r="D32" s="10" t="n">
        <v>0.65</v>
      </c>
      <c r="E32" s="10" t="n">
        <f aca="false">C32*D32</f>
        <v>23.4</v>
      </c>
    </row>
    <row r="33" customFormat="false" ht="15" hidden="false" customHeight="false" outlineLevel="0" collapsed="false">
      <c r="A33" s="9" t="s">
        <v>67</v>
      </c>
      <c r="B33" s="9" t="s">
        <v>70</v>
      </c>
      <c r="C33" s="9" t="n">
        <v>24</v>
      </c>
      <c r="D33" s="10" t="n">
        <v>0.42</v>
      </c>
      <c r="E33" s="10" t="n">
        <f aca="false">C33*D33</f>
        <v>10.08</v>
      </c>
    </row>
    <row r="34" customFormat="false" ht="15" hidden="false" customHeight="false" outlineLevel="0" collapsed="false">
      <c r="A34" s="9" t="s">
        <v>67</v>
      </c>
      <c r="B34" s="9" t="s">
        <v>71</v>
      </c>
      <c r="C34" s="9" t="n">
        <v>24</v>
      </c>
      <c r="D34" s="10" t="n">
        <v>0.42</v>
      </c>
      <c r="E34" s="10" t="n">
        <f aca="false">C34*D34</f>
        <v>10.08</v>
      </c>
    </row>
    <row r="35" customFormat="false" ht="15" hidden="false" customHeight="false" outlineLevel="0" collapsed="false">
      <c r="A35" s="9" t="s">
        <v>67</v>
      </c>
      <c r="B35" s="9" t="s">
        <v>72</v>
      </c>
      <c r="C35" s="9" t="n">
        <v>24</v>
      </c>
      <c r="D35" s="10" t="n">
        <v>2.95</v>
      </c>
      <c r="E35" s="10" t="n">
        <f aca="false">C35*D35</f>
        <v>70.8</v>
      </c>
    </row>
    <row r="36" customFormat="false" ht="15" hidden="false" customHeight="false" outlineLevel="0" collapsed="false">
      <c r="A36" s="9" t="s">
        <v>67</v>
      </c>
      <c r="B36" s="9" t="s">
        <v>73</v>
      </c>
      <c r="C36" s="9" t="n">
        <v>24</v>
      </c>
      <c r="D36" s="10" t="n">
        <v>1.65</v>
      </c>
      <c r="E36" s="10" t="n">
        <f aca="false">C36*D36</f>
        <v>39.6</v>
      </c>
    </row>
    <row r="37" customFormat="false" ht="15" hidden="false" customHeight="false" outlineLevel="0" collapsed="false">
      <c r="A37" s="9" t="s">
        <v>67</v>
      </c>
      <c r="B37" s="9" t="s">
        <v>74</v>
      </c>
      <c r="C37" s="9" t="n">
        <v>20</v>
      </c>
      <c r="D37" s="10" t="n">
        <v>0.85</v>
      </c>
      <c r="E37" s="10" t="n">
        <f aca="false">C37*D37</f>
        <v>17</v>
      </c>
    </row>
    <row r="38" customFormat="false" ht="15" hidden="false" customHeight="false" outlineLevel="0" collapsed="false">
      <c r="A38" s="9" t="s">
        <v>67</v>
      </c>
      <c r="B38" s="9" t="s">
        <v>75</v>
      </c>
      <c r="C38" s="9" t="n">
        <v>24</v>
      </c>
      <c r="D38" s="10" t="n">
        <v>1.95</v>
      </c>
      <c r="E38" s="10" t="n">
        <f aca="false">C38*D38</f>
        <v>46.8</v>
      </c>
    </row>
    <row r="39" customFormat="false" ht="15" hidden="false" customHeight="false" outlineLevel="0" collapsed="false">
      <c r="A39" s="9" t="s">
        <v>67</v>
      </c>
      <c r="B39" s="9" t="s">
        <v>76</v>
      </c>
      <c r="C39" s="9" t="n">
        <v>24</v>
      </c>
      <c r="D39" s="10" t="n">
        <v>1.95</v>
      </c>
      <c r="E39" s="10" t="n">
        <f aca="false">C39*D39</f>
        <v>46.8</v>
      </c>
    </row>
    <row r="40" customFormat="false" ht="15" hidden="false" customHeight="false" outlineLevel="0" collapsed="false">
      <c r="A40" s="9" t="s">
        <v>67</v>
      </c>
      <c r="B40" s="9" t="s">
        <v>77</v>
      </c>
      <c r="C40" s="9" t="n">
        <v>12</v>
      </c>
      <c r="D40" s="10" t="n">
        <v>3.75</v>
      </c>
      <c r="E40" s="10" t="n">
        <f aca="false">C40*D40</f>
        <v>45</v>
      </c>
    </row>
    <row r="41" customFormat="false" ht="15" hidden="false" customHeight="false" outlineLevel="0" collapsed="false">
      <c r="A41" s="9" t="s">
        <v>67</v>
      </c>
      <c r="B41" s="9" t="s">
        <v>78</v>
      </c>
      <c r="C41" s="9" t="n">
        <v>18</v>
      </c>
      <c r="D41" s="10" t="n">
        <v>2.95</v>
      </c>
      <c r="E41" s="10" t="n">
        <f aca="false">C41*D41</f>
        <v>53.1</v>
      </c>
    </row>
    <row r="42" customFormat="false" ht="15" hidden="false" customHeight="false" outlineLevel="0" collapsed="false">
      <c r="A42" s="9" t="s">
        <v>67</v>
      </c>
      <c r="B42" s="9" t="s">
        <v>79</v>
      </c>
      <c r="C42" s="9" t="n">
        <v>24</v>
      </c>
      <c r="D42" s="10" t="n">
        <v>1.25</v>
      </c>
      <c r="E42" s="10" t="n">
        <f aca="false">C42*D42</f>
        <v>30</v>
      </c>
    </row>
    <row r="43" customFormat="false" ht="15" hidden="false" customHeight="false" outlineLevel="0" collapsed="false">
      <c r="A43" s="9" t="s">
        <v>67</v>
      </c>
      <c r="B43" s="9" t="s">
        <v>80</v>
      </c>
      <c r="C43" s="9" t="n">
        <v>48</v>
      </c>
      <c r="D43" s="10" t="n">
        <v>0.85</v>
      </c>
      <c r="E43" s="10" t="n">
        <f aca="false">C43*D43</f>
        <v>40.8</v>
      </c>
    </row>
    <row r="44" customFormat="false" ht="15" hidden="false" customHeight="false" outlineLevel="0" collapsed="false">
      <c r="A44" s="9" t="s">
        <v>67</v>
      </c>
      <c r="B44" s="9" t="s">
        <v>81</v>
      </c>
      <c r="C44" s="9" t="n">
        <v>24</v>
      </c>
      <c r="D44" s="10" t="n">
        <v>0.65</v>
      </c>
      <c r="E44" s="10" t="n">
        <f aca="false">C44*D44</f>
        <v>15.6</v>
      </c>
    </row>
    <row r="45" customFormat="false" ht="15" hidden="false" customHeight="false" outlineLevel="0" collapsed="false">
      <c r="A45" s="9" t="s">
        <v>67</v>
      </c>
      <c r="B45" s="9" t="s">
        <v>82</v>
      </c>
      <c r="C45" s="9" t="n">
        <v>12</v>
      </c>
      <c r="D45" s="10" t="n">
        <v>0.85</v>
      </c>
      <c r="E45" s="10" t="n">
        <f aca="false">C45*D45</f>
        <v>10.2</v>
      </c>
    </row>
    <row r="46" customFormat="false" ht="15" hidden="false" customHeight="false" outlineLevel="0" collapsed="false">
      <c r="A46" s="9" t="s">
        <v>67</v>
      </c>
      <c r="B46" s="9" t="s">
        <v>83</v>
      </c>
      <c r="C46" s="9" t="n">
        <v>24</v>
      </c>
      <c r="D46" s="10" t="n">
        <v>2.95</v>
      </c>
      <c r="E46" s="10" t="n">
        <f aca="false">C46*D46</f>
        <v>70.8</v>
      </c>
    </row>
    <row r="47" customFormat="false" ht="15" hidden="false" customHeight="false" outlineLevel="0" collapsed="false">
      <c r="A47" s="9" t="s">
        <v>67</v>
      </c>
      <c r="B47" s="9" t="s">
        <v>84</v>
      </c>
      <c r="C47" s="9" t="n">
        <v>12</v>
      </c>
      <c r="D47" s="10" t="n">
        <v>3.75</v>
      </c>
      <c r="E47" s="10" t="n">
        <f aca="false">C47*D47</f>
        <v>45</v>
      </c>
    </row>
    <row r="48" customFormat="false" ht="15" hidden="false" customHeight="false" outlineLevel="0" collapsed="false">
      <c r="A48" s="9" t="s">
        <v>67</v>
      </c>
      <c r="B48" s="9" t="s">
        <v>85</v>
      </c>
      <c r="C48" s="9" t="n">
        <v>24</v>
      </c>
      <c r="D48" s="10" t="n">
        <v>3.75</v>
      </c>
      <c r="E48" s="10" t="n">
        <f aca="false">C48*D48</f>
        <v>90</v>
      </c>
    </row>
    <row r="49" customFormat="false" ht="15" hidden="false" customHeight="false" outlineLevel="0" collapsed="false">
      <c r="A49" s="9" t="s">
        <v>67</v>
      </c>
      <c r="B49" s="9" t="s">
        <v>86</v>
      </c>
      <c r="C49" s="9" t="n">
        <v>24</v>
      </c>
      <c r="D49" s="10" t="n">
        <v>3.75</v>
      </c>
      <c r="E49" s="10" t="n">
        <f aca="false">C49*D49</f>
        <v>90</v>
      </c>
    </row>
    <row r="50" customFormat="false" ht="15" hidden="false" customHeight="false" outlineLevel="0" collapsed="false">
      <c r="A50" s="9" t="s">
        <v>87</v>
      </c>
      <c r="B50" s="9" t="s">
        <v>88</v>
      </c>
      <c r="C50" s="9" t="n">
        <v>80</v>
      </c>
      <c r="D50" s="10" t="n">
        <v>2.55</v>
      </c>
      <c r="E50" s="10" t="n">
        <f aca="false">C50*D50</f>
        <v>204</v>
      </c>
    </row>
    <row r="51" customFormat="false" ht="15" hidden="false" customHeight="false" outlineLevel="0" collapsed="false">
      <c r="A51" s="9" t="s">
        <v>89</v>
      </c>
      <c r="B51" s="9" t="s">
        <v>46</v>
      </c>
      <c r="C51" s="9" t="n">
        <v>6</v>
      </c>
      <c r="D51" s="10" t="n">
        <v>1.85</v>
      </c>
      <c r="E51" s="10" t="n">
        <f aca="false">C51*D51</f>
        <v>11.1</v>
      </c>
    </row>
    <row r="52" customFormat="false" ht="15" hidden="false" customHeight="false" outlineLevel="0" collapsed="false">
      <c r="A52" s="9" t="s">
        <v>89</v>
      </c>
      <c r="B52" s="9" t="s">
        <v>45</v>
      </c>
      <c r="C52" s="9" t="n">
        <v>6</v>
      </c>
      <c r="D52" s="10" t="n">
        <v>1.85</v>
      </c>
      <c r="E52" s="10" t="n">
        <f aca="false">C52*D52</f>
        <v>11.1</v>
      </c>
    </row>
    <row r="53" customFormat="false" ht="15" hidden="false" customHeight="false" outlineLevel="0" collapsed="false">
      <c r="A53" s="9" t="s">
        <v>90</v>
      </c>
      <c r="B53" s="9" t="s">
        <v>42</v>
      </c>
      <c r="C53" s="9" t="n">
        <v>2</v>
      </c>
      <c r="D53" s="10" t="n">
        <v>7.65</v>
      </c>
      <c r="E53" s="10" t="n">
        <f aca="false">C53*D53</f>
        <v>15.3</v>
      </c>
    </row>
    <row r="54" customFormat="false" ht="15" hidden="false" customHeight="false" outlineLevel="0" collapsed="false">
      <c r="A54" s="9" t="s">
        <v>90</v>
      </c>
      <c r="B54" s="9" t="s">
        <v>41</v>
      </c>
      <c r="C54" s="9" t="n">
        <v>6</v>
      </c>
      <c r="D54" s="10" t="n">
        <v>3.39</v>
      </c>
      <c r="E54" s="10" t="n">
        <f aca="false">C54*D54</f>
        <v>20.34</v>
      </c>
    </row>
    <row r="55" customFormat="false" ht="15" hidden="false" customHeight="false" outlineLevel="0" collapsed="false">
      <c r="A55" s="9" t="s">
        <v>90</v>
      </c>
      <c r="B55" s="9" t="s">
        <v>40</v>
      </c>
      <c r="C55" s="9" t="n">
        <v>6</v>
      </c>
      <c r="D55" s="10" t="n">
        <v>3.39</v>
      </c>
      <c r="E55" s="10" t="n">
        <f aca="false">C55*D55</f>
        <v>20.34</v>
      </c>
    </row>
    <row r="56" customFormat="false" ht="15" hidden="false" customHeight="false" outlineLevel="0" collapsed="false">
      <c r="A56" s="9" t="s">
        <v>90</v>
      </c>
      <c r="B56" s="9" t="s">
        <v>43</v>
      </c>
      <c r="C56" s="9" t="n">
        <v>6</v>
      </c>
      <c r="D56" s="10" t="n">
        <v>4.25</v>
      </c>
      <c r="E56" s="10" t="n">
        <f aca="false">C56*D56</f>
        <v>25.5</v>
      </c>
    </row>
    <row r="57" customFormat="false" ht="15" hidden="false" customHeight="false" outlineLevel="0" collapsed="false">
      <c r="A57" s="9" t="s">
        <v>90</v>
      </c>
      <c r="B57" s="9" t="s">
        <v>91</v>
      </c>
      <c r="C57" s="9" t="n">
        <v>6</v>
      </c>
      <c r="D57" s="10" t="n">
        <v>2.1</v>
      </c>
      <c r="E57" s="10" t="n">
        <f aca="false">C57*D57</f>
        <v>12.6</v>
      </c>
    </row>
    <row r="58" customFormat="false" ht="15" hidden="false" customHeight="false" outlineLevel="0" collapsed="false">
      <c r="A58" s="9" t="s">
        <v>90</v>
      </c>
      <c r="B58" s="9" t="s">
        <v>92</v>
      </c>
      <c r="C58" s="9" t="n">
        <v>4</v>
      </c>
      <c r="D58" s="10" t="n">
        <v>6.95</v>
      </c>
      <c r="E58" s="10" t="n">
        <f aca="false">C58*D58</f>
        <v>27.8</v>
      </c>
    </row>
    <row r="59" customFormat="false" ht="15" hidden="false" customHeight="false" outlineLevel="0" collapsed="false">
      <c r="A59" s="9" t="s">
        <v>90</v>
      </c>
      <c r="B59" s="9" t="s">
        <v>93</v>
      </c>
      <c r="C59" s="9" t="n">
        <v>2</v>
      </c>
      <c r="D59" s="10" t="n">
        <v>4.95</v>
      </c>
      <c r="E59" s="10" t="n">
        <f aca="false">C59*D59</f>
        <v>9.9</v>
      </c>
    </row>
    <row r="60" customFormat="false" ht="15" hidden="false" customHeight="false" outlineLevel="0" collapsed="false">
      <c r="A60" s="9" t="s">
        <v>90</v>
      </c>
      <c r="B60" s="9" t="s">
        <v>94</v>
      </c>
      <c r="C60" s="9" t="n">
        <v>6</v>
      </c>
      <c r="D60" s="10" t="n">
        <v>2.55</v>
      </c>
      <c r="E60" s="10" t="n">
        <f aca="false">C60*D60</f>
        <v>15.3</v>
      </c>
    </row>
    <row r="61" customFormat="false" ht="15" hidden="false" customHeight="false" outlineLevel="0" collapsed="false">
      <c r="A61" s="9" t="s">
        <v>90</v>
      </c>
      <c r="B61" s="9" t="s">
        <v>95</v>
      </c>
      <c r="C61" s="9" t="n">
        <v>6</v>
      </c>
      <c r="D61" s="10" t="n">
        <v>1.06</v>
      </c>
      <c r="E61" s="10" t="n">
        <f aca="false">C61*D61</f>
        <v>6.36</v>
      </c>
    </row>
    <row r="62" customFormat="false" ht="15" hidden="false" customHeight="false" outlineLevel="0" collapsed="false">
      <c r="A62" s="9" t="s">
        <v>90</v>
      </c>
      <c r="B62" s="9" t="s">
        <v>96</v>
      </c>
      <c r="C62" s="9" t="n">
        <v>6</v>
      </c>
      <c r="D62" s="10" t="n">
        <v>1.06</v>
      </c>
      <c r="E62" s="10" t="n">
        <f aca="false">C62*D62</f>
        <v>6.36</v>
      </c>
    </row>
    <row r="63" customFormat="false" ht="15" hidden="false" customHeight="false" outlineLevel="0" collapsed="false">
      <c r="A63" s="9" t="s">
        <v>90</v>
      </c>
      <c r="B63" s="9" t="s">
        <v>97</v>
      </c>
      <c r="C63" s="9" t="n">
        <v>6</v>
      </c>
      <c r="D63" s="10" t="n">
        <v>1.06</v>
      </c>
      <c r="E63" s="10" t="n">
        <f aca="false">C63*D63</f>
        <v>6.36</v>
      </c>
    </row>
    <row r="64" customFormat="false" ht="15" hidden="false" customHeight="false" outlineLevel="0" collapsed="false">
      <c r="A64" s="9" t="s">
        <v>90</v>
      </c>
      <c r="B64" s="9" t="s">
        <v>98</v>
      </c>
      <c r="C64" s="9" t="n">
        <v>6</v>
      </c>
      <c r="D64" s="10" t="n">
        <v>4.95</v>
      </c>
      <c r="E64" s="10" t="n">
        <f aca="false">C64*D64</f>
        <v>29.7</v>
      </c>
    </row>
    <row r="65" customFormat="false" ht="15" hidden="false" customHeight="false" outlineLevel="0" collapsed="false">
      <c r="A65" s="9" t="s">
        <v>90</v>
      </c>
      <c r="B65" s="9" t="s">
        <v>39</v>
      </c>
      <c r="C65" s="9" t="n">
        <v>8</v>
      </c>
      <c r="D65" s="10" t="n">
        <v>2.75</v>
      </c>
      <c r="E65" s="10" t="n">
        <f aca="false">C65*D65</f>
        <v>22</v>
      </c>
    </row>
    <row r="66" customFormat="false" ht="15" hidden="false" customHeight="false" outlineLevel="0" collapsed="false">
      <c r="A66" s="9" t="s">
        <v>90</v>
      </c>
      <c r="B66" s="9" t="s">
        <v>38</v>
      </c>
      <c r="C66" s="9" t="n">
        <v>6</v>
      </c>
      <c r="D66" s="10" t="n">
        <v>3.39</v>
      </c>
      <c r="E66" s="10" t="n">
        <f aca="false">C66*D66</f>
        <v>20.34</v>
      </c>
    </row>
    <row r="67" customFormat="false" ht="15" hidden="false" customHeight="false" outlineLevel="0" collapsed="false">
      <c r="A67" s="9" t="s">
        <v>90</v>
      </c>
      <c r="B67" s="9" t="s">
        <v>37</v>
      </c>
      <c r="C67" s="9" t="n">
        <v>6</v>
      </c>
      <c r="D67" s="10" t="n">
        <v>2.55</v>
      </c>
      <c r="E67" s="10" t="n">
        <f aca="false">C67*D67</f>
        <v>15.3</v>
      </c>
    </row>
    <row r="68" customFormat="false" ht="15" hidden="false" customHeight="false" outlineLevel="0" collapsed="false">
      <c r="A68" s="9" t="s">
        <v>90</v>
      </c>
      <c r="B68" s="9" t="s">
        <v>99</v>
      </c>
      <c r="C68" s="9" t="n">
        <v>6</v>
      </c>
      <c r="D68" s="10" t="n">
        <v>1.06</v>
      </c>
      <c r="E68" s="10" t="n">
        <f aca="false">C68*D68</f>
        <v>6.36</v>
      </c>
    </row>
    <row r="69" customFormat="false" ht="15" hidden="false" customHeight="false" outlineLevel="0" collapsed="false">
      <c r="A69" s="9" t="s">
        <v>100</v>
      </c>
      <c r="B69" s="9" t="s">
        <v>101</v>
      </c>
      <c r="C69" s="9" t="n">
        <v>32</v>
      </c>
      <c r="D69" s="10" t="n">
        <v>10.95</v>
      </c>
      <c r="E69" s="10" t="n">
        <f aca="false">C69*D69</f>
        <v>350.4</v>
      </c>
    </row>
    <row r="70" customFormat="false" ht="15" hidden="false" customHeight="false" outlineLevel="0" collapsed="false">
      <c r="A70" s="9" t="s">
        <v>102</v>
      </c>
      <c r="B70" s="9" t="s">
        <v>42</v>
      </c>
      <c r="C70" s="9" t="n">
        <v>2</v>
      </c>
      <c r="D70" s="10" t="n">
        <v>7.65</v>
      </c>
      <c r="E70" s="10" t="n">
        <f aca="false">C70*D70</f>
        <v>15.3</v>
      </c>
    </row>
    <row r="71" customFormat="false" ht="15" hidden="false" customHeight="false" outlineLevel="0" collapsed="false">
      <c r="A71" s="9" t="s">
        <v>102</v>
      </c>
      <c r="B71" s="9" t="s">
        <v>41</v>
      </c>
      <c r="C71" s="9" t="n">
        <v>6</v>
      </c>
      <c r="D71" s="10" t="n">
        <v>3.39</v>
      </c>
      <c r="E71" s="10" t="n">
        <f aca="false">C71*D71</f>
        <v>20.34</v>
      </c>
    </row>
    <row r="72" customFormat="false" ht="15" hidden="false" customHeight="false" outlineLevel="0" collapsed="false">
      <c r="A72" s="9" t="s">
        <v>102</v>
      </c>
      <c r="B72" s="9" t="s">
        <v>40</v>
      </c>
      <c r="C72" s="9" t="n">
        <v>6</v>
      </c>
      <c r="D72" s="10" t="n">
        <v>3.39</v>
      </c>
      <c r="E72" s="10" t="n">
        <f aca="false">C72*D72</f>
        <v>20.34</v>
      </c>
    </row>
    <row r="73" customFormat="false" ht="15" hidden="false" customHeight="false" outlineLevel="0" collapsed="false">
      <c r="A73" s="9" t="s">
        <v>102</v>
      </c>
      <c r="B73" s="9" t="s">
        <v>94</v>
      </c>
      <c r="C73" s="9" t="n">
        <v>6</v>
      </c>
      <c r="D73" s="10" t="n">
        <v>2.55</v>
      </c>
      <c r="E73" s="10" t="n">
        <f aca="false">C73*D73</f>
        <v>15.3</v>
      </c>
    </row>
    <row r="74" customFormat="false" ht="15" hidden="false" customHeight="false" outlineLevel="0" collapsed="false">
      <c r="A74" s="9" t="s">
        <v>102</v>
      </c>
      <c r="B74" s="9" t="s">
        <v>43</v>
      </c>
      <c r="C74" s="9" t="n">
        <v>6</v>
      </c>
      <c r="D74" s="10" t="n">
        <v>4.25</v>
      </c>
      <c r="E74" s="10" t="n">
        <f aca="false">C74*D74</f>
        <v>25.5</v>
      </c>
    </row>
    <row r="75" customFormat="false" ht="15" hidden="false" customHeight="false" outlineLevel="0" collapsed="false">
      <c r="A75" s="9" t="s">
        <v>102</v>
      </c>
      <c r="B75" s="9" t="s">
        <v>91</v>
      </c>
      <c r="C75" s="9" t="n">
        <v>6</v>
      </c>
      <c r="D75" s="10" t="n">
        <v>2.1</v>
      </c>
      <c r="E75" s="10" t="n">
        <f aca="false">C75*D75</f>
        <v>12.6</v>
      </c>
    </row>
    <row r="76" customFormat="false" ht="15" hidden="false" customHeight="false" outlineLevel="0" collapsed="false">
      <c r="A76" s="9" t="s">
        <v>102</v>
      </c>
      <c r="B76" s="9" t="s">
        <v>92</v>
      </c>
      <c r="C76" s="9" t="n">
        <v>4</v>
      </c>
      <c r="D76" s="10" t="n">
        <v>6.95</v>
      </c>
      <c r="E76" s="10" t="n">
        <f aca="false">C76*D76</f>
        <v>27.8</v>
      </c>
    </row>
    <row r="77" customFormat="false" ht="15" hidden="false" customHeight="false" outlineLevel="0" collapsed="false">
      <c r="A77" s="9" t="s">
        <v>102</v>
      </c>
      <c r="B77" s="9" t="s">
        <v>93</v>
      </c>
      <c r="C77" s="9" t="n">
        <v>2</v>
      </c>
      <c r="D77" s="10" t="n">
        <v>4.95</v>
      </c>
      <c r="E77" s="10" t="n">
        <f aca="false">C77*D77</f>
        <v>9.9</v>
      </c>
    </row>
    <row r="78" customFormat="false" ht="15" hidden="false" customHeight="false" outlineLevel="0" collapsed="false">
      <c r="A78" s="9" t="s">
        <v>102</v>
      </c>
      <c r="B78" s="9" t="s">
        <v>97</v>
      </c>
      <c r="C78" s="9" t="n">
        <v>6</v>
      </c>
      <c r="D78" s="10" t="n">
        <v>1.06</v>
      </c>
      <c r="E78" s="10" t="n">
        <f aca="false">C78*D78</f>
        <v>6.36</v>
      </c>
    </row>
    <row r="79" customFormat="false" ht="15" hidden="false" customHeight="false" outlineLevel="0" collapsed="false">
      <c r="A79" s="9" t="s">
        <v>102</v>
      </c>
      <c r="B79" s="9" t="s">
        <v>95</v>
      </c>
      <c r="C79" s="9" t="n">
        <v>6</v>
      </c>
      <c r="D79" s="10" t="n">
        <v>1.06</v>
      </c>
      <c r="E79" s="10" t="n">
        <f aca="false">C79*D79</f>
        <v>6.36</v>
      </c>
    </row>
    <row r="80" customFormat="false" ht="15" hidden="false" customHeight="false" outlineLevel="0" collapsed="false">
      <c r="A80" s="9" t="s">
        <v>102</v>
      </c>
      <c r="B80" s="9" t="s">
        <v>96</v>
      </c>
      <c r="C80" s="9" t="n">
        <v>6</v>
      </c>
      <c r="D80" s="10" t="n">
        <v>1.06</v>
      </c>
      <c r="E80" s="10" t="n">
        <f aca="false">C80*D80</f>
        <v>6.36</v>
      </c>
    </row>
    <row r="81" customFormat="false" ht="15" hidden="false" customHeight="false" outlineLevel="0" collapsed="false">
      <c r="A81" s="9" t="s">
        <v>102</v>
      </c>
      <c r="B81" s="9" t="s">
        <v>98</v>
      </c>
      <c r="C81" s="9" t="n">
        <v>6</v>
      </c>
      <c r="D81" s="10" t="n">
        <v>4.95</v>
      </c>
      <c r="E81" s="10" t="n">
        <f aca="false">C81*D81</f>
        <v>29.7</v>
      </c>
    </row>
    <row r="82" customFormat="false" ht="15" hidden="false" customHeight="false" outlineLevel="0" collapsed="false">
      <c r="A82" s="9" t="s">
        <v>102</v>
      </c>
      <c r="B82" s="9" t="s">
        <v>39</v>
      </c>
      <c r="C82" s="9" t="n">
        <v>8</v>
      </c>
      <c r="D82" s="10" t="n">
        <v>2.75</v>
      </c>
      <c r="E82" s="10" t="n">
        <f aca="false">C82*D82</f>
        <v>22</v>
      </c>
    </row>
    <row r="83" customFormat="false" ht="15" hidden="false" customHeight="false" outlineLevel="0" collapsed="false">
      <c r="A83" s="9" t="s">
        <v>102</v>
      </c>
      <c r="B83" s="9" t="s">
        <v>38</v>
      </c>
      <c r="C83" s="9" t="n">
        <v>6</v>
      </c>
      <c r="D83" s="10" t="n">
        <v>3.39</v>
      </c>
      <c r="E83" s="10" t="n">
        <f aca="false">C83*D83</f>
        <v>20.34</v>
      </c>
    </row>
    <row r="84" customFormat="false" ht="15" hidden="false" customHeight="false" outlineLevel="0" collapsed="false">
      <c r="A84" s="9" t="s">
        <v>102</v>
      </c>
      <c r="B84" s="9" t="s">
        <v>37</v>
      </c>
      <c r="C84" s="9" t="n">
        <v>6</v>
      </c>
      <c r="D84" s="10" t="n">
        <v>2.55</v>
      </c>
      <c r="E84" s="10" t="n">
        <f aca="false">C84*D84</f>
        <v>15.3</v>
      </c>
    </row>
    <row r="85" customFormat="false" ht="15" hidden="false" customHeight="false" outlineLevel="0" collapsed="false">
      <c r="A85" s="9" t="s">
        <v>102</v>
      </c>
      <c r="B85" s="9" t="s">
        <v>99</v>
      </c>
      <c r="C85" s="9" t="n">
        <v>6</v>
      </c>
      <c r="D85" s="10" t="n">
        <v>1.06</v>
      </c>
      <c r="E85" s="10" t="n">
        <f aca="false">C85*D85</f>
        <v>6.36</v>
      </c>
    </row>
    <row r="86" customFormat="false" ht="15" hidden="false" customHeight="false" outlineLevel="0" collapsed="false">
      <c r="A86" s="9" t="s">
        <v>103</v>
      </c>
      <c r="B86" s="9" t="s">
        <v>104</v>
      </c>
      <c r="C86" s="9" t="n">
        <v>64</v>
      </c>
      <c r="D86" s="10" t="n">
        <v>2.55</v>
      </c>
      <c r="E86" s="10" t="n">
        <f aca="false">C86*D86</f>
        <v>163.2</v>
      </c>
    </row>
    <row r="87" customFormat="false" ht="15" hidden="false" customHeight="false" outlineLevel="0" collapsed="false">
      <c r="A87" s="9" t="s">
        <v>103</v>
      </c>
      <c r="B87" s="9" t="s">
        <v>105</v>
      </c>
      <c r="C87" s="9" t="n">
        <v>48</v>
      </c>
      <c r="D87" s="10" t="n">
        <v>3.45</v>
      </c>
      <c r="E87" s="10" t="n">
        <f aca="false">C87*D87</f>
        <v>165.6</v>
      </c>
    </row>
    <row r="88" customFormat="false" ht="15" hidden="false" customHeight="false" outlineLevel="0" collapsed="false">
      <c r="A88" s="9" t="s">
        <v>106</v>
      </c>
      <c r="B88" s="9" t="s">
        <v>45</v>
      </c>
      <c r="C88" s="9" t="n">
        <v>6</v>
      </c>
      <c r="D88" s="10" t="n">
        <v>1.85</v>
      </c>
      <c r="E88" s="10" t="n">
        <f aca="false">C88*D88</f>
        <v>11.1</v>
      </c>
    </row>
    <row r="89" customFormat="false" ht="15" hidden="false" customHeight="false" outlineLevel="0" collapsed="false">
      <c r="A89" s="9" t="s">
        <v>106</v>
      </c>
      <c r="B89" s="9" t="s">
        <v>46</v>
      </c>
      <c r="C89" s="9" t="n">
        <v>6</v>
      </c>
      <c r="D89" s="10" t="n">
        <v>1.85</v>
      </c>
      <c r="E89" s="10" t="n">
        <f aca="false">C89*D89</f>
        <v>11.1</v>
      </c>
    </row>
    <row r="90" customFormat="false" ht="15" hidden="false" customHeight="false" outlineLevel="0" collapsed="false">
      <c r="A90" s="9" t="s">
        <v>107</v>
      </c>
      <c r="B90" s="9" t="s">
        <v>108</v>
      </c>
      <c r="C90" s="9" t="n">
        <v>10</v>
      </c>
      <c r="D90" s="10" t="n">
        <v>1.95</v>
      </c>
      <c r="E90" s="10" t="n">
        <f aca="false">C90*D90</f>
        <v>19.5</v>
      </c>
    </row>
    <row r="91" customFormat="false" ht="15" hidden="false" customHeight="false" outlineLevel="0" collapsed="false">
      <c r="A91" s="9" t="s">
        <v>107</v>
      </c>
      <c r="B91" s="9" t="s">
        <v>109</v>
      </c>
      <c r="C91" s="9" t="n">
        <v>10</v>
      </c>
      <c r="D91" s="10" t="n">
        <v>1.95</v>
      </c>
      <c r="E91" s="10" t="n">
        <f aca="false">C91*D91</f>
        <v>19.5</v>
      </c>
    </row>
    <row r="92" customFormat="false" ht="15" hidden="false" customHeight="false" outlineLevel="0" collapsed="false">
      <c r="A92" s="9" t="s">
        <v>107</v>
      </c>
      <c r="B92" s="9" t="s">
        <v>110</v>
      </c>
      <c r="C92" s="9" t="n">
        <v>96</v>
      </c>
      <c r="D92" s="10" t="n">
        <v>0.38</v>
      </c>
      <c r="E92" s="10" t="n">
        <f aca="false">C92*D92</f>
        <v>36.48</v>
      </c>
    </row>
    <row r="93" customFormat="false" ht="15" hidden="false" customHeight="false" outlineLevel="0" collapsed="false">
      <c r="A93" s="9" t="s">
        <v>107</v>
      </c>
      <c r="B93" s="9" t="s">
        <v>111</v>
      </c>
      <c r="C93" s="9" t="n">
        <v>48</v>
      </c>
      <c r="D93" s="10" t="n">
        <v>1.25</v>
      </c>
      <c r="E93" s="10" t="n">
        <f aca="false">C93*D93</f>
        <v>60</v>
      </c>
    </row>
    <row r="94" customFormat="false" ht="15" hidden="false" customHeight="false" outlineLevel="0" collapsed="false">
      <c r="A94" s="9" t="s">
        <v>107</v>
      </c>
      <c r="B94" s="9" t="s">
        <v>112</v>
      </c>
      <c r="C94" s="9" t="n">
        <v>6</v>
      </c>
      <c r="D94" s="10" t="n">
        <v>2.95</v>
      </c>
      <c r="E94" s="10" t="n">
        <f aca="false">C94*D94</f>
        <v>17.7</v>
      </c>
    </row>
    <row r="95" customFormat="false" ht="15" hidden="false" customHeight="false" outlineLevel="0" collapsed="false">
      <c r="A95" s="9" t="s">
        <v>107</v>
      </c>
      <c r="B95" s="9" t="s">
        <v>113</v>
      </c>
      <c r="C95" s="9" t="n">
        <v>24</v>
      </c>
      <c r="D95" s="10" t="n">
        <v>0.55</v>
      </c>
      <c r="E95" s="10" t="n">
        <f aca="false">C95*D95</f>
        <v>13.2</v>
      </c>
    </row>
    <row r="96" customFormat="false" ht="15" hidden="false" customHeight="false" outlineLevel="0" collapsed="false">
      <c r="A96" s="9" t="s">
        <v>107</v>
      </c>
      <c r="B96" s="9" t="s">
        <v>114</v>
      </c>
      <c r="C96" s="9" t="n">
        <v>24</v>
      </c>
      <c r="D96" s="10" t="n">
        <v>0.55</v>
      </c>
      <c r="E96" s="10" t="n">
        <f aca="false">C96*D96</f>
        <v>13.2</v>
      </c>
    </row>
    <row r="97" customFormat="false" ht="15" hidden="false" customHeight="false" outlineLevel="0" collapsed="false">
      <c r="A97" s="9" t="s">
        <v>107</v>
      </c>
      <c r="B97" s="9" t="s">
        <v>115</v>
      </c>
      <c r="C97" s="9" t="n">
        <v>24</v>
      </c>
      <c r="D97" s="10" t="n">
        <v>0.55</v>
      </c>
      <c r="E97" s="10" t="n">
        <f aca="false">C97*D97</f>
        <v>13.2</v>
      </c>
    </row>
    <row r="98" customFormat="false" ht="15" hidden="false" customHeight="false" outlineLevel="0" collapsed="false">
      <c r="A98" s="9" t="s">
        <v>107</v>
      </c>
      <c r="B98" s="9" t="s">
        <v>116</v>
      </c>
      <c r="C98" s="9" t="n">
        <v>120</v>
      </c>
      <c r="D98" s="10" t="n">
        <v>0.42</v>
      </c>
      <c r="E98" s="10" t="n">
        <f aca="false">C98*D98</f>
        <v>50.4</v>
      </c>
    </row>
    <row r="99" customFormat="false" ht="15" hidden="false" customHeight="false" outlineLevel="0" collapsed="false">
      <c r="A99" s="9" t="s">
        <v>107</v>
      </c>
      <c r="B99" s="9" t="s">
        <v>117</v>
      </c>
      <c r="C99" s="9" t="n">
        <v>10</v>
      </c>
      <c r="D99" s="10" t="n">
        <v>1.95</v>
      </c>
      <c r="E99" s="10" t="n">
        <f aca="false">C99*D99</f>
        <v>19.5</v>
      </c>
    </row>
    <row r="100" customFormat="false" ht="15" hidden="false" customHeight="false" outlineLevel="0" collapsed="false">
      <c r="A100" s="9" t="s">
        <v>107</v>
      </c>
      <c r="B100" s="9" t="s">
        <v>118</v>
      </c>
      <c r="C100" s="9" t="n">
        <v>6</v>
      </c>
      <c r="D100" s="10" t="n">
        <v>2.55</v>
      </c>
      <c r="E100" s="10" t="n">
        <f aca="false">C100*D100</f>
        <v>15.3</v>
      </c>
    </row>
    <row r="101" customFormat="false" ht="15" hidden="false" customHeight="false" outlineLevel="0" collapsed="false">
      <c r="A101" s="9" t="s">
        <v>107</v>
      </c>
      <c r="B101" s="9" t="s">
        <v>119</v>
      </c>
      <c r="C101" s="9" t="n">
        <v>10</v>
      </c>
      <c r="D101" s="10" t="n">
        <v>1.65</v>
      </c>
      <c r="E101" s="10" t="n">
        <f aca="false">C101*D101</f>
        <v>16.5</v>
      </c>
    </row>
    <row r="102" customFormat="false" ht="15" hidden="false" customHeight="false" outlineLevel="0" collapsed="false">
      <c r="A102" s="9" t="s">
        <v>107</v>
      </c>
      <c r="B102" s="9" t="s">
        <v>120</v>
      </c>
      <c r="C102" s="9" t="n">
        <v>12</v>
      </c>
      <c r="D102" s="10" t="n">
        <v>0.85</v>
      </c>
      <c r="E102" s="10" t="n">
        <f aca="false">C102*D102</f>
        <v>10.2</v>
      </c>
    </row>
    <row r="103" customFormat="false" ht="15" hidden="false" customHeight="false" outlineLevel="0" collapsed="false">
      <c r="A103" s="9" t="s">
        <v>107</v>
      </c>
      <c r="B103" s="9" t="s">
        <v>121</v>
      </c>
      <c r="C103" s="9" t="n">
        <v>6</v>
      </c>
      <c r="D103" s="10" t="n">
        <v>3.75</v>
      </c>
      <c r="E103" s="10" t="n">
        <f aca="false">C103*D103</f>
        <v>22.5</v>
      </c>
    </row>
    <row r="104" customFormat="false" ht="15" hidden="false" customHeight="false" outlineLevel="0" collapsed="false">
      <c r="A104" s="9" t="s">
        <v>107</v>
      </c>
      <c r="B104" s="9" t="s">
        <v>122</v>
      </c>
      <c r="C104" s="9" t="n">
        <v>12</v>
      </c>
      <c r="D104" s="10" t="n">
        <v>3.75</v>
      </c>
      <c r="E104" s="10" t="n">
        <f aca="false">C104*D104</f>
        <v>45</v>
      </c>
    </row>
    <row r="105" customFormat="false" ht="15" hidden="false" customHeight="false" outlineLevel="0" collapsed="false">
      <c r="A105" s="9" t="s">
        <v>107</v>
      </c>
      <c r="B105" s="9" t="s">
        <v>123</v>
      </c>
      <c r="C105" s="9" t="n">
        <v>10</v>
      </c>
      <c r="D105" s="10" t="n">
        <v>0.85</v>
      </c>
      <c r="E105" s="10" t="n">
        <f aca="false">C105*D105</f>
        <v>8.5</v>
      </c>
    </row>
    <row r="106" customFormat="false" ht="15" hidden="false" customHeight="false" outlineLevel="0" collapsed="false">
      <c r="A106" s="9" t="s">
        <v>107</v>
      </c>
      <c r="B106" s="9" t="s">
        <v>124</v>
      </c>
      <c r="C106" s="9" t="n">
        <v>10</v>
      </c>
      <c r="D106" s="10" t="n">
        <v>2.95</v>
      </c>
      <c r="E106" s="10" t="n">
        <f aca="false">C106*D106</f>
        <v>29.5</v>
      </c>
    </row>
    <row r="107" customFormat="false" ht="15" hidden="false" customHeight="false" outlineLevel="0" collapsed="false">
      <c r="A107" s="9" t="s">
        <v>107</v>
      </c>
      <c r="B107" s="9" t="s">
        <v>125</v>
      </c>
      <c r="C107" s="9" t="n">
        <v>10</v>
      </c>
      <c r="D107" s="10" t="n">
        <v>1.95</v>
      </c>
      <c r="E107" s="10" t="n">
        <f aca="false">C107*D107</f>
        <v>19.5</v>
      </c>
    </row>
    <row r="108" customFormat="false" ht="15" hidden="false" customHeight="false" outlineLevel="0" collapsed="false">
      <c r="A108" s="9" t="s">
        <v>107</v>
      </c>
      <c r="B108" s="9" t="s">
        <v>126</v>
      </c>
      <c r="C108" s="9" t="n">
        <v>6</v>
      </c>
      <c r="D108" s="10" t="n">
        <v>2.55</v>
      </c>
      <c r="E108" s="10" t="n">
        <f aca="false">C108*D108</f>
        <v>15.3</v>
      </c>
    </row>
    <row r="109" customFormat="false" ht="15" hidden="false" customHeight="false" outlineLevel="0" collapsed="false">
      <c r="A109" s="9" t="s">
        <v>127</v>
      </c>
      <c r="B109" s="9" t="s">
        <v>128</v>
      </c>
      <c r="C109" s="9" t="n">
        <v>24</v>
      </c>
      <c r="D109" s="10" t="n">
        <v>1.45</v>
      </c>
      <c r="E109" s="10" t="n">
        <f aca="false">C109*D109</f>
        <v>34.8</v>
      </c>
    </row>
    <row r="110" customFormat="false" ht="15" hidden="false" customHeight="false" outlineLevel="0" collapsed="false">
      <c r="A110" s="9" t="s">
        <v>129</v>
      </c>
      <c r="B110" s="9" t="s">
        <v>130</v>
      </c>
      <c r="C110" s="9" t="n">
        <v>1</v>
      </c>
      <c r="D110" s="10" t="n">
        <v>4.95</v>
      </c>
      <c r="E110" s="10" t="n">
        <f aca="false">C110*D110</f>
        <v>4.95</v>
      </c>
    </row>
    <row r="111" customFormat="false" ht="15" hidden="false" customHeight="false" outlineLevel="0" collapsed="false">
      <c r="A111" s="9" t="s">
        <v>129</v>
      </c>
      <c r="B111" s="9" t="s">
        <v>131</v>
      </c>
      <c r="C111" s="9" t="n">
        <v>1</v>
      </c>
      <c r="D111" s="10" t="n">
        <v>1.45</v>
      </c>
      <c r="E111" s="10" t="n">
        <f aca="false">C111*D111</f>
        <v>1.45</v>
      </c>
    </row>
    <row r="112" customFormat="false" ht="15" hidden="false" customHeight="false" outlineLevel="0" collapsed="false">
      <c r="A112" s="9" t="s">
        <v>129</v>
      </c>
      <c r="B112" s="9" t="s">
        <v>132</v>
      </c>
      <c r="C112" s="9" t="n">
        <v>3</v>
      </c>
      <c r="D112" s="10" t="n">
        <v>1.25</v>
      </c>
      <c r="E112" s="10" t="n">
        <f aca="false">C112*D112</f>
        <v>3.75</v>
      </c>
    </row>
    <row r="113" customFormat="false" ht="15" hidden="false" customHeight="false" outlineLevel="0" collapsed="false">
      <c r="A113" s="9" t="s">
        <v>129</v>
      </c>
      <c r="B113" s="9" t="s">
        <v>133</v>
      </c>
      <c r="C113" s="9" t="n">
        <v>2</v>
      </c>
      <c r="D113" s="10" t="n">
        <v>2.55</v>
      </c>
      <c r="E113" s="10" t="n">
        <f aca="false">C113*D113</f>
        <v>5.1</v>
      </c>
    </row>
    <row r="114" customFormat="false" ht="15" hidden="false" customHeight="false" outlineLevel="0" collapsed="false">
      <c r="A114" s="9" t="s">
        <v>129</v>
      </c>
      <c r="B114" s="9" t="s">
        <v>134</v>
      </c>
      <c r="C114" s="9" t="n">
        <v>2</v>
      </c>
      <c r="D114" s="10" t="n">
        <v>2.95</v>
      </c>
      <c r="E114" s="10" t="n">
        <f aca="false">C114*D114</f>
        <v>5.9</v>
      </c>
    </row>
    <row r="115" customFormat="false" ht="15" hidden="false" customHeight="false" outlineLevel="0" collapsed="false">
      <c r="A115" s="9" t="s">
        <v>129</v>
      </c>
      <c r="B115" s="9" t="s">
        <v>135</v>
      </c>
      <c r="C115" s="9" t="n">
        <v>1</v>
      </c>
      <c r="D115" s="10" t="n">
        <v>0.85</v>
      </c>
      <c r="E115" s="10" t="n">
        <f aca="false">C115*D115</f>
        <v>0.85</v>
      </c>
    </row>
    <row r="116" customFormat="false" ht="15" hidden="false" customHeight="false" outlineLevel="0" collapsed="false">
      <c r="A116" s="9" t="s">
        <v>129</v>
      </c>
      <c r="B116" s="9" t="s">
        <v>136</v>
      </c>
      <c r="C116" s="9" t="n">
        <v>2</v>
      </c>
      <c r="D116" s="10" t="n">
        <v>5.95</v>
      </c>
      <c r="E116" s="10" t="n">
        <f aca="false">C116*D116</f>
        <v>11.9</v>
      </c>
    </row>
    <row r="117" customFormat="false" ht="15" hidden="false" customHeight="false" outlineLevel="0" collapsed="false">
      <c r="A117" s="9" t="s">
        <v>129</v>
      </c>
      <c r="B117" s="9" t="s">
        <v>73</v>
      </c>
      <c r="C117" s="9" t="n">
        <v>2</v>
      </c>
      <c r="D117" s="10" t="n">
        <v>1.65</v>
      </c>
      <c r="E117" s="10" t="n">
        <f aca="false">C117*D117</f>
        <v>3.3</v>
      </c>
    </row>
    <row r="118" customFormat="false" ht="15" hidden="false" customHeight="false" outlineLevel="0" collapsed="false">
      <c r="A118" s="9" t="s">
        <v>129</v>
      </c>
      <c r="B118" s="9" t="s">
        <v>137</v>
      </c>
      <c r="C118" s="9" t="n">
        <v>4</v>
      </c>
      <c r="D118" s="10" t="n">
        <v>1.45</v>
      </c>
      <c r="E118" s="10" t="n">
        <f aca="false">C118*D118</f>
        <v>5.8</v>
      </c>
    </row>
    <row r="119" customFormat="false" ht="15" hidden="false" customHeight="false" outlineLevel="0" collapsed="false">
      <c r="A119" s="9" t="s">
        <v>129</v>
      </c>
      <c r="B119" s="9" t="s">
        <v>138</v>
      </c>
      <c r="C119" s="9" t="n">
        <v>1</v>
      </c>
      <c r="D119" s="10" t="n">
        <v>2.95</v>
      </c>
      <c r="E119" s="10" t="n">
        <f aca="false">C119*D119</f>
        <v>2.95</v>
      </c>
    </row>
    <row r="120" customFormat="false" ht="15" hidden="false" customHeight="false" outlineLevel="0" collapsed="false">
      <c r="A120" s="9" t="s">
        <v>129</v>
      </c>
      <c r="B120" s="9" t="s">
        <v>139</v>
      </c>
      <c r="C120" s="9" t="n">
        <v>1</v>
      </c>
      <c r="D120" s="10" t="n">
        <v>1.95</v>
      </c>
      <c r="E120" s="10" t="n">
        <f aca="false">C120*D120</f>
        <v>1.95</v>
      </c>
    </row>
    <row r="121" customFormat="false" ht="15" hidden="false" customHeight="false" outlineLevel="0" collapsed="false">
      <c r="A121" s="9" t="s">
        <v>129</v>
      </c>
      <c r="B121" s="9" t="s">
        <v>140</v>
      </c>
      <c r="C121" s="9" t="n">
        <v>3</v>
      </c>
      <c r="D121" s="10" t="n">
        <v>3.95</v>
      </c>
      <c r="E121" s="10" t="n">
        <f aca="false">C121*D121</f>
        <v>11.85</v>
      </c>
    </row>
    <row r="122" customFormat="false" ht="15" hidden="false" customHeight="false" outlineLevel="0" collapsed="false">
      <c r="A122" s="9" t="s">
        <v>129</v>
      </c>
      <c r="B122" s="9" t="s">
        <v>141</v>
      </c>
      <c r="C122" s="9" t="n">
        <v>36</v>
      </c>
      <c r="D122" s="10" t="n">
        <v>1.06</v>
      </c>
      <c r="E122" s="10" t="n">
        <f aca="false">C122*D122</f>
        <v>38.16</v>
      </c>
    </row>
    <row r="123" customFormat="false" ht="15" hidden="false" customHeight="false" outlineLevel="0" collapsed="false">
      <c r="A123" s="9" t="s">
        <v>129</v>
      </c>
      <c r="B123" s="9" t="s">
        <v>142</v>
      </c>
      <c r="C123" s="9" t="n">
        <v>10</v>
      </c>
      <c r="D123" s="10" t="n">
        <v>6.75</v>
      </c>
      <c r="E123" s="10" t="n">
        <f aca="false">C123*D123</f>
        <v>67.5</v>
      </c>
    </row>
    <row r="124" customFormat="false" ht="15" hidden="false" customHeight="false" outlineLevel="0" collapsed="false">
      <c r="A124" s="9" t="s">
        <v>129</v>
      </c>
      <c r="B124" s="9" t="s">
        <v>143</v>
      </c>
      <c r="C124" s="9" t="n">
        <v>6</v>
      </c>
      <c r="D124" s="10" t="n">
        <v>0.85</v>
      </c>
      <c r="E124" s="10" t="n">
        <f aca="false">C124*D124</f>
        <v>5.1</v>
      </c>
    </row>
    <row r="125" customFormat="false" ht="15" hidden="false" customHeight="false" outlineLevel="0" collapsed="false">
      <c r="A125" s="9" t="s">
        <v>129</v>
      </c>
      <c r="B125" s="9" t="s">
        <v>144</v>
      </c>
      <c r="C125" s="9" t="n">
        <v>2</v>
      </c>
      <c r="D125" s="10" t="n">
        <v>5.95</v>
      </c>
      <c r="E125" s="10" t="n">
        <f aca="false">C125*D125</f>
        <v>11.9</v>
      </c>
    </row>
    <row r="126" customFormat="false" ht="15" hidden="false" customHeight="false" outlineLevel="0" collapsed="false">
      <c r="A126" s="9" t="s">
        <v>129</v>
      </c>
      <c r="B126" s="9" t="s">
        <v>145</v>
      </c>
      <c r="C126" s="9" t="n">
        <v>1</v>
      </c>
      <c r="D126" s="10" t="n">
        <v>2.95</v>
      </c>
      <c r="E126" s="10" t="n">
        <f aca="false">C126*D126</f>
        <v>2.95</v>
      </c>
    </row>
    <row r="127" customFormat="false" ht="15" hidden="false" customHeight="false" outlineLevel="0" collapsed="false">
      <c r="A127" s="9" t="s">
        <v>129</v>
      </c>
      <c r="B127" s="9" t="s">
        <v>146</v>
      </c>
      <c r="C127" s="9" t="n">
        <v>1</v>
      </c>
      <c r="D127" s="10" t="n">
        <v>0.85</v>
      </c>
      <c r="E127" s="10" t="n">
        <f aca="false">C127*D127</f>
        <v>0.85</v>
      </c>
    </row>
    <row r="128" customFormat="false" ht="15" hidden="false" customHeight="false" outlineLevel="0" collapsed="false">
      <c r="A128" s="9" t="s">
        <v>129</v>
      </c>
      <c r="B128" s="9" t="s">
        <v>147</v>
      </c>
      <c r="C128" s="9" t="n">
        <v>1</v>
      </c>
      <c r="D128" s="10" t="n">
        <v>2.95</v>
      </c>
      <c r="E128" s="10" t="n">
        <f aca="false">C128*D128</f>
        <v>2.95</v>
      </c>
    </row>
    <row r="129" customFormat="false" ht="15" hidden="false" customHeight="false" outlineLevel="0" collapsed="false">
      <c r="A129" s="9" t="s">
        <v>129</v>
      </c>
      <c r="B129" s="9" t="s">
        <v>148</v>
      </c>
      <c r="C129" s="9" t="n">
        <v>23</v>
      </c>
      <c r="D129" s="10" t="n">
        <v>4.25</v>
      </c>
      <c r="E129" s="10" t="n">
        <f aca="false">C129*D129</f>
        <v>97.75</v>
      </c>
    </row>
    <row r="130" customFormat="false" ht="15" hidden="false" customHeight="false" outlineLevel="0" collapsed="false">
      <c r="A130" s="9" t="s">
        <v>129</v>
      </c>
      <c r="B130" s="9" t="s">
        <v>149</v>
      </c>
      <c r="C130" s="9" t="n">
        <v>5</v>
      </c>
      <c r="D130" s="10" t="n">
        <v>4.95</v>
      </c>
      <c r="E130" s="10" t="n">
        <f aca="false">C130*D130</f>
        <v>24.75</v>
      </c>
    </row>
    <row r="131" customFormat="false" ht="15" hidden="false" customHeight="false" outlineLevel="0" collapsed="false">
      <c r="A131" s="9" t="s">
        <v>129</v>
      </c>
      <c r="B131" s="9" t="s">
        <v>150</v>
      </c>
      <c r="C131" s="9" t="n">
        <v>10</v>
      </c>
      <c r="D131" s="10" t="n">
        <v>1.95</v>
      </c>
      <c r="E131" s="10" t="n">
        <f aca="false">C131*D131</f>
        <v>19.5</v>
      </c>
    </row>
    <row r="132" customFormat="false" ht="15" hidden="false" customHeight="false" outlineLevel="0" collapsed="false">
      <c r="A132" s="9" t="s">
        <v>129</v>
      </c>
      <c r="B132" s="9" t="s">
        <v>151</v>
      </c>
      <c r="C132" s="9" t="n">
        <v>2</v>
      </c>
      <c r="D132" s="10" t="n">
        <v>2.1</v>
      </c>
      <c r="E132" s="10" t="n">
        <f aca="false">C132*D132</f>
        <v>4.2</v>
      </c>
    </row>
    <row r="133" customFormat="false" ht="15" hidden="false" customHeight="false" outlineLevel="0" collapsed="false">
      <c r="A133" s="9" t="s">
        <v>129</v>
      </c>
      <c r="B133" s="9" t="s">
        <v>152</v>
      </c>
      <c r="C133" s="9" t="n">
        <v>6</v>
      </c>
      <c r="D133" s="10" t="n">
        <v>1.25</v>
      </c>
      <c r="E133" s="10" t="n">
        <f aca="false">C133*D133</f>
        <v>7.5</v>
      </c>
    </row>
    <row r="134" customFormat="false" ht="15" hidden="false" customHeight="false" outlineLevel="0" collapsed="false">
      <c r="A134" s="9" t="s">
        <v>129</v>
      </c>
      <c r="B134" s="9" t="s">
        <v>153</v>
      </c>
      <c r="C134" s="9" t="n">
        <v>24</v>
      </c>
      <c r="D134" s="10" t="n">
        <v>1.25</v>
      </c>
      <c r="E134" s="10" t="n">
        <f aca="false">C134*D134</f>
        <v>30</v>
      </c>
    </row>
    <row r="135" customFormat="false" ht="15" hidden="false" customHeight="false" outlineLevel="0" collapsed="false">
      <c r="A135" s="9" t="s">
        <v>129</v>
      </c>
      <c r="B135" s="9" t="s">
        <v>132</v>
      </c>
      <c r="C135" s="9" t="n">
        <v>1</v>
      </c>
      <c r="D135" s="10" t="n">
        <v>1.25</v>
      </c>
      <c r="E135" s="10" t="n">
        <f aca="false">C135*D135</f>
        <v>1.25</v>
      </c>
    </row>
    <row r="136" customFormat="false" ht="15" hidden="false" customHeight="false" outlineLevel="0" collapsed="false">
      <c r="A136" s="9" t="s">
        <v>129</v>
      </c>
      <c r="B136" s="9" t="s">
        <v>154</v>
      </c>
      <c r="C136" s="9" t="n">
        <v>24</v>
      </c>
      <c r="D136" s="10" t="n">
        <v>1.25</v>
      </c>
      <c r="E136" s="10" t="n">
        <f aca="false">C136*D136</f>
        <v>30</v>
      </c>
    </row>
    <row r="137" customFormat="false" ht="15" hidden="false" customHeight="false" outlineLevel="0" collapsed="false">
      <c r="A137" s="9" t="s">
        <v>129</v>
      </c>
      <c r="B137" s="9" t="s">
        <v>155</v>
      </c>
      <c r="C137" s="9" t="n">
        <v>1</v>
      </c>
      <c r="D137" s="10" t="n">
        <v>2.55</v>
      </c>
      <c r="E137" s="10" t="n">
        <f aca="false">C137*D137</f>
        <v>2.55</v>
      </c>
    </row>
    <row r="138" customFormat="false" ht="15" hidden="false" customHeight="false" outlineLevel="0" collapsed="false">
      <c r="A138" s="9" t="s">
        <v>129</v>
      </c>
      <c r="B138" s="9" t="s">
        <v>156</v>
      </c>
      <c r="C138" s="9" t="n">
        <v>10</v>
      </c>
      <c r="D138" s="10" t="n">
        <v>1.65</v>
      </c>
      <c r="E138" s="10" t="n">
        <f aca="false">C138*D138</f>
        <v>16.5</v>
      </c>
    </row>
    <row r="139" customFormat="false" ht="15" hidden="false" customHeight="false" outlineLevel="0" collapsed="false">
      <c r="A139" s="9" t="s">
        <v>129</v>
      </c>
      <c r="B139" s="9" t="s">
        <v>157</v>
      </c>
      <c r="C139" s="9" t="n">
        <v>3</v>
      </c>
      <c r="D139" s="10" t="n">
        <v>1.69</v>
      </c>
      <c r="E139" s="10" t="n">
        <f aca="false">C139*D139</f>
        <v>5.07</v>
      </c>
    </row>
    <row r="140" customFormat="false" ht="15" hidden="false" customHeight="false" outlineLevel="0" collapsed="false">
      <c r="A140" s="9" t="s">
        <v>129</v>
      </c>
      <c r="B140" s="9" t="s">
        <v>158</v>
      </c>
      <c r="C140" s="9" t="n">
        <v>1</v>
      </c>
      <c r="D140" s="10" t="n">
        <v>1.95</v>
      </c>
      <c r="E140" s="10" t="n">
        <f aca="false">C140*D140</f>
        <v>1.95</v>
      </c>
    </row>
    <row r="141" customFormat="false" ht="15" hidden="false" customHeight="false" outlineLevel="0" collapsed="false">
      <c r="A141" s="9" t="s">
        <v>129</v>
      </c>
      <c r="B141" s="9" t="s">
        <v>159</v>
      </c>
      <c r="C141" s="9" t="n">
        <v>2</v>
      </c>
      <c r="D141" s="10" t="n">
        <v>2.1</v>
      </c>
      <c r="E141" s="10" t="n">
        <f aca="false">C141*D141</f>
        <v>4.2</v>
      </c>
    </row>
    <row r="142" customFormat="false" ht="15" hidden="false" customHeight="false" outlineLevel="0" collapsed="false">
      <c r="A142" s="9" t="s">
        <v>129</v>
      </c>
      <c r="B142" s="9" t="s">
        <v>160</v>
      </c>
      <c r="C142" s="9" t="n">
        <v>1</v>
      </c>
      <c r="D142" s="10" t="n">
        <v>2.95</v>
      </c>
      <c r="E142" s="10" t="n">
        <f aca="false">C142*D142</f>
        <v>2.95</v>
      </c>
    </row>
    <row r="143" customFormat="false" ht="15" hidden="false" customHeight="false" outlineLevel="0" collapsed="false">
      <c r="A143" s="9" t="s">
        <v>129</v>
      </c>
      <c r="B143" s="9" t="s">
        <v>161</v>
      </c>
      <c r="C143" s="9" t="n">
        <v>1</v>
      </c>
      <c r="D143" s="10" t="n">
        <v>0.85</v>
      </c>
      <c r="E143" s="10" t="n">
        <f aca="false">C143*D143</f>
        <v>0.85</v>
      </c>
    </row>
    <row r="144" customFormat="false" ht="15" hidden="false" customHeight="false" outlineLevel="0" collapsed="false">
      <c r="A144" s="9" t="s">
        <v>129</v>
      </c>
      <c r="B144" s="9" t="s">
        <v>88</v>
      </c>
      <c r="C144" s="9" t="n">
        <v>4</v>
      </c>
      <c r="D144" s="10" t="n">
        <v>2.95</v>
      </c>
      <c r="E144" s="10" t="n">
        <f aca="false">C144*D144</f>
        <v>11.8</v>
      </c>
    </row>
    <row r="145" customFormat="false" ht="15" hidden="false" customHeight="false" outlineLevel="0" collapsed="false">
      <c r="A145" s="9" t="s">
        <v>162</v>
      </c>
      <c r="B145" s="9" t="s">
        <v>163</v>
      </c>
      <c r="C145" s="9" t="n">
        <v>8</v>
      </c>
      <c r="D145" s="10" t="n">
        <v>2.95</v>
      </c>
      <c r="E145" s="10" t="n">
        <f aca="false">C145*D145</f>
        <v>23.6</v>
      </c>
    </row>
    <row r="146" customFormat="false" ht="15" hidden="false" customHeight="false" outlineLevel="0" collapsed="false">
      <c r="A146" s="9" t="s">
        <v>162</v>
      </c>
      <c r="B146" s="9" t="s">
        <v>164</v>
      </c>
      <c r="C146" s="9" t="n">
        <v>4</v>
      </c>
      <c r="D146" s="10" t="n">
        <v>16.95</v>
      </c>
      <c r="E146" s="10" t="n">
        <f aca="false">C146*D146</f>
        <v>67.8</v>
      </c>
    </row>
    <row r="147" customFormat="false" ht="15" hidden="false" customHeight="false" outlineLevel="0" collapsed="false">
      <c r="A147" s="9" t="s">
        <v>162</v>
      </c>
      <c r="B147" s="9" t="s">
        <v>165</v>
      </c>
      <c r="C147" s="9" t="n">
        <v>2</v>
      </c>
      <c r="D147" s="10" t="n">
        <v>14.95</v>
      </c>
      <c r="E147" s="10" t="n">
        <f aca="false">C147*D147</f>
        <v>29.9</v>
      </c>
    </row>
    <row r="148" customFormat="false" ht="15" hidden="false" customHeight="false" outlineLevel="0" collapsed="false">
      <c r="A148" s="9" t="s">
        <v>162</v>
      </c>
      <c r="B148" s="9" t="s">
        <v>166</v>
      </c>
      <c r="C148" s="9" t="n">
        <v>2</v>
      </c>
      <c r="D148" s="10" t="n">
        <v>14.95</v>
      </c>
      <c r="E148" s="10" t="n">
        <f aca="false">C148*D148</f>
        <v>29.9</v>
      </c>
    </row>
    <row r="149" customFormat="false" ht="15" hidden="false" customHeight="false" outlineLevel="0" collapsed="false">
      <c r="A149" s="9" t="s">
        <v>162</v>
      </c>
      <c r="B149" s="9" t="s">
        <v>167</v>
      </c>
      <c r="C149" s="9" t="n">
        <v>12</v>
      </c>
      <c r="D149" s="10" t="n">
        <v>5.95</v>
      </c>
      <c r="E149" s="10" t="n">
        <f aca="false">C149*D149</f>
        <v>71.4</v>
      </c>
    </row>
    <row r="150" customFormat="false" ht="15" hidden="false" customHeight="false" outlineLevel="0" collapsed="false">
      <c r="A150" s="9" t="s">
        <v>162</v>
      </c>
      <c r="B150" s="9" t="s">
        <v>84</v>
      </c>
      <c r="C150" s="9" t="n">
        <v>4</v>
      </c>
      <c r="D150" s="10" t="n">
        <v>3.75</v>
      </c>
      <c r="E150" s="10" t="n">
        <f aca="false">C150*D150</f>
        <v>15</v>
      </c>
    </row>
    <row r="151" customFormat="false" ht="15" hidden="false" customHeight="false" outlineLevel="0" collapsed="false">
      <c r="A151" s="9" t="s">
        <v>162</v>
      </c>
      <c r="B151" s="9" t="s">
        <v>168</v>
      </c>
      <c r="C151" s="9" t="n">
        <v>50</v>
      </c>
      <c r="D151" s="10" t="n">
        <v>1.85</v>
      </c>
      <c r="E151" s="10" t="n">
        <f aca="false">C151*D151</f>
        <v>92.5</v>
      </c>
    </row>
    <row r="152" customFormat="false" ht="15" hidden="false" customHeight="false" outlineLevel="0" collapsed="false">
      <c r="A152" s="9" t="s">
        <v>162</v>
      </c>
      <c r="B152" s="9" t="s">
        <v>150</v>
      </c>
      <c r="C152" s="9" t="n">
        <v>10</v>
      </c>
      <c r="D152" s="10" t="n">
        <v>1.95</v>
      </c>
      <c r="E152" s="10" t="n">
        <f aca="false">C152*D152</f>
        <v>19.5</v>
      </c>
    </row>
    <row r="153" customFormat="false" ht="15" hidden="false" customHeight="false" outlineLevel="0" collapsed="false">
      <c r="A153" s="9" t="s">
        <v>162</v>
      </c>
      <c r="B153" s="9" t="s">
        <v>169</v>
      </c>
      <c r="C153" s="9" t="n">
        <v>12</v>
      </c>
      <c r="D153" s="10" t="n">
        <v>1.65</v>
      </c>
      <c r="E153" s="10" t="n">
        <f aca="false">C153*D153</f>
        <v>19.8</v>
      </c>
    </row>
    <row r="154" customFormat="false" ht="15" hidden="false" customHeight="false" outlineLevel="0" collapsed="false">
      <c r="A154" s="9" t="s">
        <v>162</v>
      </c>
      <c r="B154" s="9" t="s">
        <v>170</v>
      </c>
      <c r="C154" s="9" t="n">
        <v>8</v>
      </c>
      <c r="D154" s="10" t="n">
        <v>3.75</v>
      </c>
      <c r="E154" s="10" t="n">
        <f aca="false">C154*D154</f>
        <v>30</v>
      </c>
    </row>
    <row r="155" customFormat="false" ht="15" hidden="false" customHeight="false" outlineLevel="0" collapsed="false">
      <c r="A155" s="9" t="s">
        <v>162</v>
      </c>
      <c r="B155" s="9" t="s">
        <v>80</v>
      </c>
      <c r="C155" s="9" t="n">
        <v>12</v>
      </c>
      <c r="D155" s="10" t="n">
        <v>0.85</v>
      </c>
      <c r="E155" s="10" t="n">
        <f aca="false">C155*D155</f>
        <v>10.2</v>
      </c>
    </row>
    <row r="156" customFormat="false" ht="15" hidden="false" customHeight="false" outlineLevel="0" collapsed="false">
      <c r="A156" s="9" t="s">
        <v>162</v>
      </c>
      <c r="B156" s="9" t="s">
        <v>171</v>
      </c>
      <c r="C156" s="9" t="n">
        <v>10</v>
      </c>
      <c r="D156" s="10" t="n">
        <v>2.1</v>
      </c>
      <c r="E156" s="10" t="n">
        <f aca="false">C156*D156</f>
        <v>21</v>
      </c>
    </row>
    <row r="157" customFormat="false" ht="15" hidden="false" customHeight="false" outlineLevel="0" collapsed="false">
      <c r="A157" s="9" t="s">
        <v>172</v>
      </c>
      <c r="B157" s="9" t="s">
        <v>173</v>
      </c>
      <c r="C157" s="9" t="n">
        <v>8</v>
      </c>
      <c r="D157" s="10" t="n">
        <v>10.95</v>
      </c>
      <c r="E157" s="10" t="n">
        <f aca="false">C157*D157</f>
        <v>87.6</v>
      </c>
    </row>
    <row r="158" customFormat="false" ht="15" hidden="false" customHeight="false" outlineLevel="0" collapsed="false">
      <c r="A158" s="9" t="s">
        <v>172</v>
      </c>
      <c r="B158" s="9" t="s">
        <v>174</v>
      </c>
      <c r="C158" s="9" t="n">
        <v>6</v>
      </c>
      <c r="D158" s="10" t="n">
        <v>6.95</v>
      </c>
      <c r="E158" s="10" t="n">
        <f aca="false">C158*D158</f>
        <v>41.7</v>
      </c>
    </row>
    <row r="159" customFormat="false" ht="15" hidden="false" customHeight="false" outlineLevel="0" collapsed="false">
      <c r="A159" s="9" t="s">
        <v>172</v>
      </c>
      <c r="B159" s="9" t="s">
        <v>175</v>
      </c>
      <c r="C159" s="9" t="n">
        <v>3</v>
      </c>
      <c r="D159" s="10" t="n">
        <v>5.95</v>
      </c>
      <c r="E159" s="10" t="n">
        <f aca="false">C159*D159</f>
        <v>17.85</v>
      </c>
    </row>
    <row r="160" customFormat="false" ht="15" hidden="false" customHeight="false" outlineLevel="0" collapsed="false">
      <c r="A160" s="9" t="s">
        <v>172</v>
      </c>
      <c r="B160" s="9" t="s">
        <v>176</v>
      </c>
      <c r="C160" s="9" t="n">
        <v>4</v>
      </c>
      <c r="D160" s="10" t="n">
        <v>3.95</v>
      </c>
      <c r="E160" s="10" t="n">
        <f aca="false">C160*D160</f>
        <v>15.8</v>
      </c>
    </row>
    <row r="161" customFormat="false" ht="15" hidden="false" customHeight="false" outlineLevel="0" collapsed="false">
      <c r="A161" s="9" t="s">
        <v>172</v>
      </c>
      <c r="B161" s="9" t="s">
        <v>177</v>
      </c>
      <c r="C161" s="9" t="n">
        <v>2</v>
      </c>
      <c r="D161" s="10" t="n">
        <v>12.75</v>
      </c>
      <c r="E161" s="10" t="n">
        <f aca="false">C161*D161</f>
        <v>25.5</v>
      </c>
    </row>
    <row r="162" customFormat="false" ht="15" hidden="false" customHeight="false" outlineLevel="0" collapsed="false">
      <c r="A162" s="9" t="s">
        <v>172</v>
      </c>
      <c r="B162" s="9" t="s">
        <v>178</v>
      </c>
      <c r="C162" s="9" t="n">
        <v>6</v>
      </c>
      <c r="D162" s="10" t="n">
        <v>2.95</v>
      </c>
      <c r="E162" s="10" t="n">
        <f aca="false">C162*D162</f>
        <v>17.7</v>
      </c>
    </row>
    <row r="163" customFormat="false" ht="15" hidden="false" customHeight="false" outlineLevel="0" collapsed="false">
      <c r="A163" s="9" t="s">
        <v>172</v>
      </c>
      <c r="B163" s="9" t="s">
        <v>179</v>
      </c>
      <c r="C163" s="9" t="n">
        <v>40</v>
      </c>
      <c r="D163" s="10" t="n">
        <v>1.45</v>
      </c>
      <c r="E163" s="10" t="n">
        <f aca="false">C163*D163</f>
        <v>58</v>
      </c>
    </row>
    <row r="164" customFormat="false" ht="15" hidden="false" customHeight="false" outlineLevel="0" collapsed="false">
      <c r="A164" s="9" t="s">
        <v>172</v>
      </c>
      <c r="B164" s="9" t="s">
        <v>180</v>
      </c>
      <c r="C164" s="9" t="n">
        <v>12</v>
      </c>
      <c r="D164" s="10" t="n">
        <v>2.95</v>
      </c>
      <c r="E164" s="10" t="n">
        <f aca="false">C164*D164</f>
        <v>35.4</v>
      </c>
    </row>
    <row r="165" customFormat="false" ht="15" hidden="false" customHeight="false" outlineLevel="0" collapsed="false">
      <c r="A165" s="9" t="s">
        <v>172</v>
      </c>
      <c r="B165" s="9" t="s">
        <v>181</v>
      </c>
      <c r="C165" s="9" t="n">
        <v>6</v>
      </c>
      <c r="D165" s="10" t="n">
        <v>2.95</v>
      </c>
      <c r="E165" s="10" t="n">
        <f aca="false">C165*D165</f>
        <v>17.7</v>
      </c>
    </row>
    <row r="166" customFormat="false" ht="15" hidden="false" customHeight="false" outlineLevel="0" collapsed="false">
      <c r="A166" s="9" t="s">
        <v>172</v>
      </c>
      <c r="B166" s="9" t="s">
        <v>182</v>
      </c>
      <c r="C166" s="9" t="n">
        <v>12</v>
      </c>
      <c r="D166" s="10" t="n">
        <v>1.65</v>
      </c>
      <c r="E166" s="10" t="n">
        <f aca="false">C166*D166</f>
        <v>19.8</v>
      </c>
    </row>
    <row r="167" customFormat="false" ht="15" hidden="false" customHeight="false" outlineLevel="0" collapsed="false">
      <c r="A167" s="9" t="s">
        <v>172</v>
      </c>
      <c r="B167" s="9" t="s">
        <v>183</v>
      </c>
      <c r="C167" s="9" t="n">
        <v>48</v>
      </c>
      <c r="D167" s="10" t="n">
        <v>0.65</v>
      </c>
      <c r="E167" s="10" t="n">
        <f aca="false">C167*D167</f>
        <v>31.2</v>
      </c>
    </row>
    <row r="168" customFormat="false" ht="15" hidden="false" customHeight="false" outlineLevel="0" collapsed="false">
      <c r="A168" s="9" t="s">
        <v>172</v>
      </c>
      <c r="B168" s="9" t="s">
        <v>184</v>
      </c>
      <c r="C168" s="9" t="n">
        <v>3</v>
      </c>
      <c r="D168" s="10" t="n">
        <v>6.45</v>
      </c>
      <c r="E168" s="10" t="n">
        <f aca="false">C168*D168</f>
        <v>19.35</v>
      </c>
    </row>
    <row r="169" customFormat="false" ht="15" hidden="false" customHeight="false" outlineLevel="0" collapsed="false">
      <c r="A169" s="9" t="s">
        <v>172</v>
      </c>
      <c r="B169" s="9" t="s">
        <v>185</v>
      </c>
      <c r="C169" s="9" t="n">
        <v>40</v>
      </c>
      <c r="D169" s="10" t="n">
        <v>2.55</v>
      </c>
      <c r="E169" s="10" t="n">
        <f aca="false">C169*D169</f>
        <v>102</v>
      </c>
    </row>
    <row r="170" customFormat="false" ht="15" hidden="false" customHeight="false" outlineLevel="0" collapsed="false">
      <c r="A170" s="9" t="s">
        <v>186</v>
      </c>
      <c r="B170" s="9" t="s">
        <v>187</v>
      </c>
      <c r="C170" s="9" t="n">
        <v>2</v>
      </c>
      <c r="D170" s="10" t="n">
        <v>8.5</v>
      </c>
      <c r="E170" s="10" t="n">
        <f aca="false">C170*D170</f>
        <v>17</v>
      </c>
    </row>
    <row r="171" customFormat="false" ht="15" hidden="false" customHeight="false" outlineLevel="0" collapsed="false">
      <c r="A171" s="9" t="s">
        <v>186</v>
      </c>
      <c r="B171" s="9" t="s">
        <v>188</v>
      </c>
      <c r="C171" s="9" t="n">
        <v>10</v>
      </c>
      <c r="D171" s="10" t="n">
        <v>1.65</v>
      </c>
      <c r="E171" s="10" t="n">
        <f aca="false">C171*D171</f>
        <v>16.5</v>
      </c>
    </row>
    <row r="172" customFormat="false" ht="15" hidden="false" customHeight="false" outlineLevel="0" collapsed="false">
      <c r="A172" s="9" t="s">
        <v>186</v>
      </c>
      <c r="B172" s="9" t="s">
        <v>189</v>
      </c>
      <c r="C172" s="9" t="n">
        <v>10</v>
      </c>
      <c r="D172" s="10" t="n">
        <v>1.95</v>
      </c>
      <c r="E172" s="10" t="n">
        <f aca="false">C172*D172</f>
        <v>19.5</v>
      </c>
    </row>
    <row r="173" customFormat="false" ht="15" hidden="false" customHeight="false" outlineLevel="0" collapsed="false">
      <c r="A173" s="9" t="s">
        <v>186</v>
      </c>
      <c r="B173" s="9" t="s">
        <v>190</v>
      </c>
      <c r="C173" s="9" t="n">
        <v>12</v>
      </c>
      <c r="D173" s="10" t="n">
        <v>1.25</v>
      </c>
      <c r="E173" s="10" t="n">
        <f aca="false">C173*D173</f>
        <v>15</v>
      </c>
    </row>
    <row r="174" customFormat="false" ht="15" hidden="false" customHeight="false" outlineLevel="0" collapsed="false">
      <c r="A174" s="9" t="s">
        <v>186</v>
      </c>
      <c r="B174" s="9" t="s">
        <v>128</v>
      </c>
      <c r="C174" s="9" t="n">
        <v>12</v>
      </c>
      <c r="D174" s="10" t="n">
        <v>1.45</v>
      </c>
      <c r="E174" s="10" t="n">
        <f aca="false">C174*D174</f>
        <v>17.4</v>
      </c>
    </row>
    <row r="175" customFormat="false" ht="15" hidden="false" customHeight="false" outlineLevel="0" collapsed="false">
      <c r="A175" s="9" t="s">
        <v>186</v>
      </c>
      <c r="B175" s="9" t="s">
        <v>164</v>
      </c>
      <c r="C175" s="9" t="n">
        <v>1</v>
      </c>
      <c r="D175" s="10" t="n">
        <v>19.95</v>
      </c>
      <c r="E175" s="10" t="n">
        <f aca="false">C175*D175</f>
        <v>19.95</v>
      </c>
    </row>
    <row r="176" customFormat="false" ht="15" hidden="false" customHeight="false" outlineLevel="0" collapsed="false">
      <c r="A176" s="9" t="s">
        <v>186</v>
      </c>
      <c r="B176" s="9" t="s">
        <v>63</v>
      </c>
      <c r="C176" s="9" t="n">
        <v>6</v>
      </c>
      <c r="D176" s="10" t="n">
        <v>4.25</v>
      </c>
      <c r="E176" s="10" t="n">
        <f aca="false">C176*D176</f>
        <v>25.5</v>
      </c>
    </row>
    <row r="177" customFormat="false" ht="15" hidden="false" customHeight="false" outlineLevel="0" collapsed="false">
      <c r="A177" s="9" t="s">
        <v>191</v>
      </c>
      <c r="B177" s="9" t="s">
        <v>192</v>
      </c>
      <c r="C177" s="9" t="n">
        <v>36</v>
      </c>
      <c r="D177" s="10" t="n">
        <v>4.95</v>
      </c>
      <c r="E177" s="10" t="n">
        <f aca="false">C177*D177</f>
        <v>178.2</v>
      </c>
    </row>
    <row r="178" customFormat="false" ht="15" hidden="false" customHeight="false" outlineLevel="0" collapsed="false">
      <c r="A178" s="9" t="s">
        <v>191</v>
      </c>
      <c r="B178" s="9" t="s">
        <v>125</v>
      </c>
      <c r="C178" s="9" t="n">
        <v>100</v>
      </c>
      <c r="D178" s="10" t="n">
        <v>1.65</v>
      </c>
      <c r="E178" s="10" t="n">
        <f aca="false">C178*D178</f>
        <v>165</v>
      </c>
    </row>
    <row r="179" customFormat="false" ht="15" hidden="false" customHeight="false" outlineLevel="0" collapsed="false">
      <c r="A179" s="9" t="s">
        <v>191</v>
      </c>
      <c r="B179" s="9" t="s">
        <v>193</v>
      </c>
      <c r="C179" s="9" t="n">
        <v>100</v>
      </c>
      <c r="D179" s="10" t="n">
        <v>1.65</v>
      </c>
      <c r="E179" s="10" t="n">
        <f aca="false">C179*D179</f>
        <v>165</v>
      </c>
    </row>
    <row r="180" customFormat="false" ht="15" hidden="false" customHeight="false" outlineLevel="0" collapsed="false">
      <c r="A180" s="9" t="s">
        <v>194</v>
      </c>
      <c r="B180" s="9" t="s">
        <v>195</v>
      </c>
      <c r="C180" s="9" t="n">
        <v>192</v>
      </c>
      <c r="D180" s="10" t="n">
        <v>3.37</v>
      </c>
      <c r="E180" s="10" t="n">
        <f aca="false">C180*D180</f>
        <v>647.04</v>
      </c>
    </row>
    <row r="181" customFormat="false" ht="15" hidden="false" customHeight="false" outlineLevel="0" collapsed="false">
      <c r="A181" s="9" t="s">
        <v>194</v>
      </c>
      <c r="B181" s="9" t="s">
        <v>196</v>
      </c>
      <c r="C181" s="9" t="n">
        <v>192</v>
      </c>
      <c r="D181" s="10" t="n">
        <v>3.82</v>
      </c>
      <c r="E181" s="10" t="n">
        <f aca="false">C181*D181</f>
        <v>733.44</v>
      </c>
    </row>
    <row r="182" customFormat="false" ht="15" hidden="false" customHeight="false" outlineLevel="0" collapsed="false">
      <c r="A182" s="9" t="s">
        <v>194</v>
      </c>
      <c r="B182" s="9" t="s">
        <v>197</v>
      </c>
      <c r="C182" s="9" t="n">
        <v>192</v>
      </c>
      <c r="D182" s="10" t="n">
        <v>3.37</v>
      </c>
      <c r="E182" s="10" t="n">
        <f aca="false">C182*D182</f>
        <v>647.04</v>
      </c>
    </row>
    <row r="183" customFormat="false" ht="15" hidden="false" customHeight="false" outlineLevel="0" collapsed="false">
      <c r="A183" s="9" t="s">
        <v>194</v>
      </c>
      <c r="B183" s="9" t="s">
        <v>198</v>
      </c>
      <c r="C183" s="9" t="n">
        <v>432</v>
      </c>
      <c r="D183" s="10" t="n">
        <v>1.45</v>
      </c>
      <c r="E183" s="10" t="n">
        <f aca="false">C183*D183</f>
        <v>626.4</v>
      </c>
    </row>
    <row r="184" customFormat="false" ht="15" hidden="false" customHeight="false" outlineLevel="0" collapsed="false">
      <c r="A184" s="9" t="s">
        <v>194</v>
      </c>
      <c r="B184" s="9" t="s">
        <v>73</v>
      </c>
      <c r="C184" s="9" t="n">
        <v>432</v>
      </c>
      <c r="D184" s="10" t="n">
        <v>1.25</v>
      </c>
      <c r="E184" s="10" t="n">
        <f aca="false">C184*D184</f>
        <v>540</v>
      </c>
    </row>
    <row r="185" customFormat="false" ht="15" hidden="false" customHeight="false" outlineLevel="0" collapsed="false">
      <c r="A185" s="9" t="s">
        <v>199</v>
      </c>
      <c r="B185" s="9" t="s">
        <v>200</v>
      </c>
      <c r="C185" s="9" t="n">
        <v>12</v>
      </c>
      <c r="D185" s="10" t="n">
        <v>1.45</v>
      </c>
      <c r="E185" s="10" t="n">
        <f aca="false">C185*D185</f>
        <v>17.4</v>
      </c>
    </row>
    <row r="186" customFormat="false" ht="15" hidden="false" customHeight="false" outlineLevel="0" collapsed="false">
      <c r="A186" s="9" t="s">
        <v>199</v>
      </c>
      <c r="B186" s="9" t="s">
        <v>201</v>
      </c>
      <c r="C186" s="9" t="n">
        <v>4</v>
      </c>
      <c r="D186" s="10" t="n">
        <v>6.75</v>
      </c>
      <c r="E186" s="10" t="n">
        <f aca="false">C186*D186</f>
        <v>27</v>
      </c>
    </row>
    <row r="187" customFormat="false" ht="15" hidden="false" customHeight="false" outlineLevel="0" collapsed="false">
      <c r="A187" s="9" t="s">
        <v>199</v>
      </c>
      <c r="B187" s="9" t="s">
        <v>202</v>
      </c>
      <c r="C187" s="9" t="n">
        <v>12</v>
      </c>
      <c r="D187" s="10" t="n">
        <v>0.85</v>
      </c>
      <c r="E187" s="10" t="n">
        <f aca="false">C187*D187</f>
        <v>10.2</v>
      </c>
    </row>
    <row r="188" customFormat="false" ht="15" hidden="false" customHeight="false" outlineLevel="0" collapsed="false">
      <c r="A188" s="9" t="s">
        <v>199</v>
      </c>
      <c r="B188" s="9" t="s">
        <v>203</v>
      </c>
      <c r="C188" s="9" t="n">
        <v>12</v>
      </c>
      <c r="D188" s="10" t="n">
        <v>1.65</v>
      </c>
      <c r="E188" s="10" t="n">
        <f aca="false">C188*D188</f>
        <v>19.8</v>
      </c>
    </row>
    <row r="189" customFormat="false" ht="15" hidden="false" customHeight="false" outlineLevel="0" collapsed="false">
      <c r="A189" s="9" t="s">
        <v>199</v>
      </c>
      <c r="B189" s="9" t="s">
        <v>204</v>
      </c>
      <c r="C189" s="9" t="n">
        <v>12</v>
      </c>
      <c r="D189" s="10" t="n">
        <v>0.85</v>
      </c>
      <c r="E189" s="10" t="n">
        <f aca="false">C189*D189</f>
        <v>10.2</v>
      </c>
    </row>
    <row r="190" customFormat="false" ht="15" hidden="false" customHeight="false" outlineLevel="0" collapsed="false">
      <c r="A190" s="9" t="s">
        <v>199</v>
      </c>
      <c r="B190" s="9" t="s">
        <v>179</v>
      </c>
      <c r="C190" s="9" t="n">
        <v>12</v>
      </c>
      <c r="D190" s="10" t="n">
        <v>1.65</v>
      </c>
      <c r="E190" s="10" t="n">
        <f aca="false">C190*D190</f>
        <v>19.8</v>
      </c>
    </row>
    <row r="191" customFormat="false" ht="15" hidden="false" customHeight="false" outlineLevel="0" collapsed="false">
      <c r="A191" s="9" t="s">
        <v>199</v>
      </c>
      <c r="B191" s="9" t="s">
        <v>205</v>
      </c>
      <c r="C191" s="9" t="n">
        <v>12</v>
      </c>
      <c r="D191" s="10" t="n">
        <v>0.42</v>
      </c>
      <c r="E191" s="10" t="n">
        <f aca="false">C191*D191</f>
        <v>5.04</v>
      </c>
    </row>
    <row r="192" customFormat="false" ht="15" hidden="false" customHeight="false" outlineLevel="0" collapsed="false">
      <c r="A192" s="9" t="s">
        <v>199</v>
      </c>
      <c r="B192" s="9" t="s">
        <v>206</v>
      </c>
      <c r="C192" s="9" t="n">
        <v>3</v>
      </c>
      <c r="D192" s="10" t="n">
        <v>4.25</v>
      </c>
      <c r="E192" s="10" t="n">
        <f aca="false">C192*D192</f>
        <v>12.75</v>
      </c>
    </row>
    <row r="193" customFormat="false" ht="15" hidden="false" customHeight="false" outlineLevel="0" collapsed="false">
      <c r="A193" s="9" t="s">
        <v>199</v>
      </c>
      <c r="B193" s="9" t="s">
        <v>207</v>
      </c>
      <c r="C193" s="9" t="n">
        <v>6</v>
      </c>
      <c r="D193" s="10" t="n">
        <v>2.95</v>
      </c>
      <c r="E193" s="10" t="n">
        <f aca="false">C193*D193</f>
        <v>17.7</v>
      </c>
    </row>
    <row r="194" customFormat="false" ht="15" hidden="false" customHeight="false" outlineLevel="0" collapsed="false">
      <c r="A194" s="9" t="s">
        <v>199</v>
      </c>
      <c r="B194" s="9" t="s">
        <v>208</v>
      </c>
      <c r="C194" s="9" t="n">
        <v>3</v>
      </c>
      <c r="D194" s="10" t="n">
        <v>4.95</v>
      </c>
      <c r="E194" s="10" t="n">
        <f aca="false">C194*D194</f>
        <v>14.85</v>
      </c>
    </row>
    <row r="195" customFormat="false" ht="15" hidden="false" customHeight="false" outlineLevel="0" collapsed="false">
      <c r="A195" s="9" t="s">
        <v>199</v>
      </c>
      <c r="B195" s="9" t="s">
        <v>142</v>
      </c>
      <c r="C195" s="9" t="n">
        <v>2</v>
      </c>
      <c r="D195" s="10" t="n">
        <v>7.95</v>
      </c>
      <c r="E195" s="10" t="n">
        <f aca="false">C195*D195</f>
        <v>15.9</v>
      </c>
    </row>
    <row r="196" customFormat="false" ht="15" hidden="false" customHeight="false" outlineLevel="0" collapsed="false">
      <c r="A196" s="9" t="s">
        <v>199</v>
      </c>
      <c r="B196" s="9" t="s">
        <v>50</v>
      </c>
      <c r="C196" s="9" t="n">
        <v>3</v>
      </c>
      <c r="D196" s="10" t="n">
        <v>5.95</v>
      </c>
      <c r="E196" s="10" t="n">
        <f aca="false">C196*D196</f>
        <v>17.85</v>
      </c>
    </row>
    <row r="197" customFormat="false" ht="15" hidden="false" customHeight="false" outlineLevel="0" collapsed="false">
      <c r="A197" s="9" t="s">
        <v>199</v>
      </c>
      <c r="B197" s="9" t="s">
        <v>53</v>
      </c>
      <c r="C197" s="9" t="n">
        <v>3</v>
      </c>
      <c r="D197" s="10" t="n">
        <v>5.95</v>
      </c>
      <c r="E197" s="10" t="n">
        <f aca="false">C197*D197</f>
        <v>17.85</v>
      </c>
    </row>
    <row r="198" customFormat="false" ht="15" hidden="false" customHeight="false" outlineLevel="0" collapsed="false">
      <c r="A198" s="9" t="s">
        <v>199</v>
      </c>
      <c r="B198" s="9" t="s">
        <v>182</v>
      </c>
      <c r="C198" s="9" t="n">
        <v>12</v>
      </c>
      <c r="D198" s="10" t="n">
        <v>1.65</v>
      </c>
      <c r="E198" s="10" t="n">
        <f aca="false">C198*D198</f>
        <v>19.8</v>
      </c>
    </row>
    <row r="199" customFormat="false" ht="15" hidden="false" customHeight="false" outlineLevel="0" collapsed="false">
      <c r="A199" s="9" t="s">
        <v>209</v>
      </c>
      <c r="B199" s="9" t="s">
        <v>84</v>
      </c>
      <c r="C199" s="9" t="n">
        <v>4</v>
      </c>
      <c r="D199" s="10" t="n">
        <v>3.75</v>
      </c>
      <c r="E199" s="10" t="n">
        <f aca="false">C199*D199</f>
        <v>15</v>
      </c>
    </row>
    <row r="200" customFormat="false" ht="15" hidden="false" customHeight="false" outlineLevel="0" collapsed="false">
      <c r="A200" s="9" t="s">
        <v>209</v>
      </c>
      <c r="B200" s="9" t="s">
        <v>210</v>
      </c>
      <c r="C200" s="9" t="n">
        <v>24</v>
      </c>
      <c r="D200" s="10" t="n">
        <v>0.85</v>
      </c>
      <c r="E200" s="10" t="n">
        <f aca="false">C200*D200</f>
        <v>20.4</v>
      </c>
    </row>
    <row r="201" customFormat="false" ht="15" hidden="false" customHeight="false" outlineLevel="0" collapsed="false">
      <c r="A201" s="9" t="s">
        <v>209</v>
      </c>
      <c r="B201" s="9" t="s">
        <v>211</v>
      </c>
      <c r="C201" s="9" t="n">
        <v>24</v>
      </c>
      <c r="D201" s="10" t="n">
        <v>1.65</v>
      </c>
      <c r="E201" s="10" t="n">
        <f aca="false">C201*D201</f>
        <v>39.6</v>
      </c>
    </row>
    <row r="202" customFormat="false" ht="15" hidden="false" customHeight="false" outlineLevel="0" collapsed="false">
      <c r="A202" s="9" t="s">
        <v>209</v>
      </c>
      <c r="B202" s="9" t="s">
        <v>212</v>
      </c>
      <c r="C202" s="9" t="n">
        <v>2</v>
      </c>
      <c r="D202" s="10" t="n">
        <v>8.5</v>
      </c>
      <c r="E202" s="10" t="n">
        <f aca="false">C202*D202</f>
        <v>17</v>
      </c>
    </row>
    <row r="203" customFormat="false" ht="15" hidden="false" customHeight="false" outlineLevel="0" collapsed="false">
      <c r="A203" s="9" t="s">
        <v>209</v>
      </c>
      <c r="B203" s="9" t="s">
        <v>213</v>
      </c>
      <c r="C203" s="9" t="n">
        <v>2</v>
      </c>
      <c r="D203" s="10" t="n">
        <v>8.5</v>
      </c>
      <c r="E203" s="10" t="n">
        <f aca="false">C203*D203</f>
        <v>17</v>
      </c>
    </row>
    <row r="204" customFormat="false" ht="15" hidden="false" customHeight="false" outlineLevel="0" collapsed="false">
      <c r="A204" s="9" t="s">
        <v>209</v>
      </c>
      <c r="B204" s="9" t="s">
        <v>85</v>
      </c>
      <c r="C204" s="9" t="n">
        <v>4</v>
      </c>
      <c r="D204" s="10" t="n">
        <v>3.75</v>
      </c>
      <c r="E204" s="10" t="n">
        <f aca="false">C204*D204</f>
        <v>15</v>
      </c>
    </row>
    <row r="205" customFormat="false" ht="15" hidden="false" customHeight="false" outlineLevel="0" collapsed="false">
      <c r="A205" s="9" t="s">
        <v>209</v>
      </c>
      <c r="B205" s="9" t="s">
        <v>214</v>
      </c>
      <c r="C205" s="9" t="n">
        <v>2</v>
      </c>
      <c r="D205" s="10" t="n">
        <v>8.5</v>
      </c>
      <c r="E205" s="10" t="n">
        <f aca="false">C205*D205</f>
        <v>17</v>
      </c>
    </row>
    <row r="206" customFormat="false" ht="15" hidden="false" customHeight="false" outlineLevel="0" collapsed="false">
      <c r="A206" s="9" t="s">
        <v>209</v>
      </c>
      <c r="B206" s="9" t="s">
        <v>215</v>
      </c>
      <c r="C206" s="9" t="n">
        <v>6</v>
      </c>
      <c r="D206" s="10" t="n">
        <v>8.5</v>
      </c>
      <c r="E206" s="10" t="n">
        <f aca="false">C206*D206</f>
        <v>51</v>
      </c>
    </row>
    <row r="207" customFormat="false" ht="15" hidden="false" customHeight="false" outlineLevel="0" collapsed="false">
      <c r="A207" s="9" t="s">
        <v>209</v>
      </c>
      <c r="B207" s="9" t="s">
        <v>216</v>
      </c>
      <c r="C207" s="9" t="n">
        <v>6</v>
      </c>
      <c r="D207" s="10" t="n">
        <v>5.95</v>
      </c>
      <c r="E207" s="10" t="n">
        <f aca="false">C207*D207</f>
        <v>35.7</v>
      </c>
    </row>
    <row r="208" customFormat="false" ht="15" hidden="false" customHeight="false" outlineLevel="0" collapsed="false">
      <c r="A208" s="9" t="s">
        <v>209</v>
      </c>
      <c r="B208" s="9" t="s">
        <v>217</v>
      </c>
      <c r="C208" s="9" t="n">
        <v>4</v>
      </c>
      <c r="D208" s="10" t="n">
        <v>6.35</v>
      </c>
      <c r="E208" s="10" t="n">
        <f aca="false">C208*D208</f>
        <v>25.4</v>
      </c>
    </row>
    <row r="209" customFormat="false" ht="15" hidden="false" customHeight="false" outlineLevel="0" collapsed="false">
      <c r="A209" s="9" t="s">
        <v>209</v>
      </c>
      <c r="B209" s="9" t="s">
        <v>218</v>
      </c>
      <c r="C209" s="9" t="n">
        <v>6</v>
      </c>
      <c r="D209" s="10" t="n">
        <v>5.45</v>
      </c>
      <c r="E209" s="10" t="n">
        <f aca="false">C209*D209</f>
        <v>32.7</v>
      </c>
    </row>
    <row r="210" customFormat="false" ht="15" hidden="false" customHeight="false" outlineLevel="0" collapsed="false">
      <c r="A210" s="9" t="s">
        <v>209</v>
      </c>
      <c r="B210" s="9" t="s">
        <v>79</v>
      </c>
      <c r="C210" s="9" t="n">
        <v>12</v>
      </c>
      <c r="D210" s="10" t="n">
        <v>1.25</v>
      </c>
      <c r="E210" s="10" t="n">
        <f aca="false">C210*D210</f>
        <v>15</v>
      </c>
    </row>
    <row r="211" customFormat="false" ht="15" hidden="false" customHeight="false" outlineLevel="0" collapsed="false">
      <c r="A211" s="9" t="s">
        <v>209</v>
      </c>
      <c r="B211" s="9" t="s">
        <v>219</v>
      </c>
      <c r="C211" s="9" t="n">
        <v>8</v>
      </c>
      <c r="D211" s="10" t="n">
        <v>4.95</v>
      </c>
      <c r="E211" s="10" t="n">
        <f aca="false">C211*D211</f>
        <v>39.6</v>
      </c>
    </row>
    <row r="212" customFormat="false" ht="15" hidden="false" customHeight="false" outlineLevel="0" collapsed="false">
      <c r="A212" s="9" t="s">
        <v>209</v>
      </c>
      <c r="B212" s="9" t="s">
        <v>220</v>
      </c>
      <c r="C212" s="9" t="n">
        <v>3</v>
      </c>
      <c r="D212" s="10" t="n">
        <v>5.95</v>
      </c>
      <c r="E212" s="10" t="n">
        <f aca="false">C212*D212</f>
        <v>17.85</v>
      </c>
    </row>
    <row r="213" customFormat="false" ht="15" hidden="false" customHeight="false" outlineLevel="0" collapsed="false">
      <c r="A213" s="9" t="s">
        <v>221</v>
      </c>
      <c r="B213" s="9" t="s">
        <v>222</v>
      </c>
      <c r="C213" s="9" t="n">
        <v>48</v>
      </c>
      <c r="D213" s="10" t="n">
        <v>0.65</v>
      </c>
      <c r="E213" s="10" t="n">
        <f aca="false">C213*D213</f>
        <v>31.2</v>
      </c>
    </row>
    <row r="214" customFormat="false" ht="15" hidden="false" customHeight="false" outlineLevel="0" collapsed="false">
      <c r="A214" s="9" t="s">
        <v>221</v>
      </c>
      <c r="B214" s="9" t="s">
        <v>223</v>
      </c>
      <c r="C214" s="9" t="n">
        <v>144</v>
      </c>
      <c r="D214" s="10" t="n">
        <v>0.32</v>
      </c>
      <c r="E214" s="10" t="n">
        <f aca="false">C214*D214</f>
        <v>46.08</v>
      </c>
    </row>
    <row r="215" customFormat="false" ht="15" hidden="false" customHeight="false" outlineLevel="0" collapsed="false">
      <c r="A215" s="9" t="s">
        <v>221</v>
      </c>
      <c r="B215" s="9" t="s">
        <v>224</v>
      </c>
      <c r="C215" s="9" t="n">
        <v>40</v>
      </c>
      <c r="D215" s="10" t="n">
        <v>4.95</v>
      </c>
      <c r="E215" s="10" t="n">
        <f aca="false">C215*D215</f>
        <v>198</v>
      </c>
    </row>
    <row r="216" customFormat="false" ht="15" hidden="false" customHeight="false" outlineLevel="0" collapsed="false">
      <c r="A216" s="9" t="s">
        <v>221</v>
      </c>
      <c r="B216" s="9" t="s">
        <v>225</v>
      </c>
      <c r="C216" s="9" t="n">
        <v>24</v>
      </c>
      <c r="D216" s="10" t="n">
        <v>4.25</v>
      </c>
      <c r="E216" s="10" t="n">
        <f aca="false">C216*D216</f>
        <v>102</v>
      </c>
    </row>
    <row r="217" customFormat="false" ht="15" hidden="false" customHeight="false" outlineLevel="0" collapsed="false">
      <c r="A217" s="9" t="s">
        <v>221</v>
      </c>
      <c r="B217" s="9" t="s">
        <v>226</v>
      </c>
      <c r="C217" s="9" t="n">
        <v>144</v>
      </c>
      <c r="D217" s="10" t="n">
        <v>0.64</v>
      </c>
      <c r="E217" s="10" t="n">
        <f aca="false">C217*D217</f>
        <v>92.16</v>
      </c>
    </row>
    <row r="218" customFormat="false" ht="15" hidden="false" customHeight="false" outlineLevel="0" collapsed="false">
      <c r="A218" s="9" t="s">
        <v>221</v>
      </c>
      <c r="B218" s="9" t="s">
        <v>227</v>
      </c>
      <c r="C218" s="9" t="n">
        <v>24</v>
      </c>
      <c r="D218" s="10" t="n">
        <v>3.75</v>
      </c>
      <c r="E218" s="10" t="n">
        <f aca="false">C218*D218</f>
        <v>90</v>
      </c>
    </row>
    <row r="219" customFormat="false" ht="15" hidden="false" customHeight="false" outlineLevel="0" collapsed="false">
      <c r="A219" s="9" t="s">
        <v>221</v>
      </c>
      <c r="B219" s="9" t="s">
        <v>228</v>
      </c>
      <c r="C219" s="9" t="n">
        <v>48</v>
      </c>
      <c r="D219" s="10" t="n">
        <v>1.48</v>
      </c>
      <c r="E219" s="10" t="n">
        <f aca="false">C219*D219</f>
        <v>71.04</v>
      </c>
    </row>
    <row r="220" customFormat="false" ht="15" hidden="false" customHeight="false" outlineLevel="0" collapsed="false">
      <c r="A220" s="9" t="s">
        <v>221</v>
      </c>
      <c r="B220" s="9" t="s">
        <v>200</v>
      </c>
      <c r="C220" s="9" t="n">
        <v>96</v>
      </c>
      <c r="D220" s="10" t="n">
        <v>1.25</v>
      </c>
      <c r="E220" s="10" t="n">
        <f aca="false">C220*D220</f>
        <v>120</v>
      </c>
    </row>
    <row r="221" customFormat="false" ht="15" hidden="false" customHeight="false" outlineLevel="0" collapsed="false">
      <c r="A221" s="9" t="s">
        <v>221</v>
      </c>
      <c r="B221" s="9" t="s">
        <v>193</v>
      </c>
      <c r="C221" s="9" t="n">
        <v>100</v>
      </c>
      <c r="D221" s="10" t="n">
        <v>1.65</v>
      </c>
      <c r="E221" s="10" t="n">
        <f aca="false">C221*D221</f>
        <v>165</v>
      </c>
    </row>
    <row r="222" customFormat="false" ht="15" hidden="false" customHeight="false" outlineLevel="0" collapsed="false">
      <c r="A222" s="9" t="s">
        <v>221</v>
      </c>
      <c r="B222" s="9" t="s">
        <v>120</v>
      </c>
      <c r="C222" s="9" t="n">
        <v>96</v>
      </c>
      <c r="D222" s="10" t="n">
        <v>0.64</v>
      </c>
      <c r="E222" s="10" t="n">
        <f aca="false">C222*D222</f>
        <v>61.44</v>
      </c>
    </row>
    <row r="223" customFormat="false" ht="15" hidden="false" customHeight="false" outlineLevel="0" collapsed="false">
      <c r="A223" s="9" t="s">
        <v>221</v>
      </c>
      <c r="B223" s="9" t="s">
        <v>40</v>
      </c>
      <c r="C223" s="9" t="n">
        <v>24</v>
      </c>
      <c r="D223" s="10" t="n">
        <v>3.39</v>
      </c>
      <c r="E223" s="10" t="n">
        <f aca="false">C223*D223</f>
        <v>81.36</v>
      </c>
    </row>
    <row r="224" customFormat="false" ht="15" hidden="false" customHeight="false" outlineLevel="0" collapsed="false">
      <c r="A224" s="9" t="s">
        <v>221</v>
      </c>
      <c r="B224" s="9" t="s">
        <v>229</v>
      </c>
      <c r="C224" s="9" t="n">
        <v>96</v>
      </c>
      <c r="D224" s="10" t="n">
        <v>0.64</v>
      </c>
      <c r="E224" s="10" t="n">
        <f aca="false">C224*D224</f>
        <v>61.44</v>
      </c>
    </row>
    <row r="225" customFormat="false" ht="15" hidden="false" customHeight="false" outlineLevel="0" collapsed="false">
      <c r="A225" s="9" t="s">
        <v>221</v>
      </c>
      <c r="B225" s="9" t="s">
        <v>215</v>
      </c>
      <c r="C225" s="9" t="n">
        <v>2</v>
      </c>
      <c r="D225" s="10" t="n">
        <v>8.5</v>
      </c>
      <c r="E225" s="10" t="n">
        <f aca="false">C225*D225</f>
        <v>17</v>
      </c>
    </row>
    <row r="226" customFormat="false" ht="15" hidden="false" customHeight="false" outlineLevel="0" collapsed="false">
      <c r="A226" s="9" t="s">
        <v>221</v>
      </c>
      <c r="B226" s="9" t="s">
        <v>230</v>
      </c>
      <c r="C226" s="9" t="n">
        <v>50</v>
      </c>
      <c r="D226" s="10" t="n">
        <v>1.45</v>
      </c>
      <c r="E226" s="10" t="n">
        <f aca="false">C226*D226</f>
        <v>72.5</v>
      </c>
    </row>
    <row r="227" customFormat="false" ht="15" hidden="false" customHeight="false" outlineLevel="0" collapsed="false">
      <c r="A227" s="9" t="s">
        <v>221</v>
      </c>
      <c r="B227" s="9" t="s">
        <v>231</v>
      </c>
      <c r="C227" s="9" t="n">
        <v>100</v>
      </c>
      <c r="D227" s="10" t="n">
        <v>0.72</v>
      </c>
      <c r="E227" s="10" t="n">
        <f aca="false">C227*D227</f>
        <v>72</v>
      </c>
    </row>
    <row r="228" customFormat="false" ht="15" hidden="false" customHeight="false" outlineLevel="0" collapsed="false">
      <c r="A228" s="9" t="s">
        <v>221</v>
      </c>
      <c r="B228" s="9" t="s">
        <v>37</v>
      </c>
      <c r="C228" s="9" t="n">
        <v>64</v>
      </c>
      <c r="D228" s="10" t="n">
        <v>2.55</v>
      </c>
      <c r="E228" s="10" t="n">
        <f aca="false">C228*D228</f>
        <v>163.2</v>
      </c>
    </row>
    <row r="229" customFormat="false" ht="15" hidden="false" customHeight="false" outlineLevel="0" collapsed="false">
      <c r="A229" s="9" t="s">
        <v>221</v>
      </c>
      <c r="B229" s="9" t="s">
        <v>232</v>
      </c>
      <c r="C229" s="9" t="n">
        <v>288</v>
      </c>
      <c r="D229" s="10" t="n">
        <v>0.1</v>
      </c>
      <c r="E229" s="10" t="n">
        <f aca="false">C229*D229</f>
        <v>28.8</v>
      </c>
    </row>
    <row r="230" customFormat="false" ht="15" hidden="false" customHeight="false" outlineLevel="0" collapsed="false">
      <c r="A230" s="9" t="s">
        <v>221</v>
      </c>
      <c r="B230" s="9" t="s">
        <v>233</v>
      </c>
      <c r="C230" s="9" t="n">
        <v>40</v>
      </c>
      <c r="D230" s="10" t="n">
        <v>2.55</v>
      </c>
      <c r="E230" s="10" t="n">
        <f aca="false">C230*D230</f>
        <v>102</v>
      </c>
    </row>
    <row r="231" customFormat="false" ht="15" hidden="false" customHeight="false" outlineLevel="0" collapsed="false">
      <c r="A231" s="9" t="s">
        <v>221</v>
      </c>
      <c r="B231" s="9" t="s">
        <v>234</v>
      </c>
      <c r="C231" s="9" t="n">
        <v>8</v>
      </c>
      <c r="D231" s="10" t="n">
        <v>8.5</v>
      </c>
      <c r="E231" s="10" t="n">
        <f aca="false">C231*D231</f>
        <v>68</v>
      </c>
    </row>
    <row r="232" customFormat="false" ht="15" hidden="false" customHeight="false" outlineLevel="0" collapsed="false">
      <c r="A232" s="9" t="s">
        <v>221</v>
      </c>
      <c r="B232" s="9" t="s">
        <v>235</v>
      </c>
      <c r="C232" s="9" t="n">
        <v>48</v>
      </c>
      <c r="D232" s="10" t="n">
        <v>0.72</v>
      </c>
      <c r="E232" s="10" t="n">
        <f aca="false">C232*D232</f>
        <v>34.56</v>
      </c>
    </row>
    <row r="233" customFormat="false" ht="15" hidden="false" customHeight="false" outlineLevel="0" collapsed="false">
      <c r="A233" s="9" t="s">
        <v>221</v>
      </c>
      <c r="B233" s="9" t="s">
        <v>236</v>
      </c>
      <c r="C233" s="9" t="n">
        <v>48</v>
      </c>
      <c r="D233" s="10" t="n">
        <v>0.72</v>
      </c>
      <c r="E233" s="10" t="n">
        <f aca="false">C233*D233</f>
        <v>34.56</v>
      </c>
    </row>
    <row r="234" customFormat="false" ht="15" hidden="false" customHeight="false" outlineLevel="0" collapsed="false">
      <c r="A234" s="9" t="s">
        <v>221</v>
      </c>
      <c r="B234" s="9" t="s">
        <v>128</v>
      </c>
      <c r="C234" s="9" t="n">
        <v>12</v>
      </c>
      <c r="D234" s="10" t="n">
        <v>1.45</v>
      </c>
      <c r="E234" s="10" t="n">
        <f aca="false">C234*D234</f>
        <v>17.4</v>
      </c>
    </row>
    <row r="235" customFormat="false" ht="15" hidden="false" customHeight="false" outlineLevel="0" collapsed="false">
      <c r="A235" s="9" t="s">
        <v>221</v>
      </c>
      <c r="B235" s="9" t="s">
        <v>63</v>
      </c>
      <c r="C235" s="9" t="n">
        <v>12</v>
      </c>
      <c r="D235" s="10" t="n">
        <v>3.75</v>
      </c>
      <c r="E235" s="10" t="n">
        <f aca="false">C235*D235</f>
        <v>45</v>
      </c>
    </row>
    <row r="236" customFormat="false" ht="15" hidden="false" customHeight="false" outlineLevel="0" collapsed="false">
      <c r="A236" s="9" t="s">
        <v>221</v>
      </c>
      <c r="B236" s="9" t="s">
        <v>130</v>
      </c>
      <c r="C236" s="9" t="n">
        <v>12</v>
      </c>
      <c r="D236" s="10" t="n">
        <v>4.25</v>
      </c>
      <c r="E236" s="10" t="n">
        <f aca="false">C236*D236</f>
        <v>51</v>
      </c>
    </row>
    <row r="237" customFormat="false" ht="15" hidden="false" customHeight="false" outlineLevel="0" collapsed="false">
      <c r="A237" s="9" t="s">
        <v>237</v>
      </c>
      <c r="B237" s="9" t="s">
        <v>238</v>
      </c>
      <c r="C237" s="9" t="n">
        <v>24</v>
      </c>
      <c r="D237" s="10" t="n">
        <v>0.65</v>
      </c>
      <c r="E237" s="10" t="n">
        <f aca="false">C237*D237</f>
        <v>15.6</v>
      </c>
    </row>
    <row r="238" customFormat="false" ht="15" hidden="false" customHeight="false" outlineLevel="0" collapsed="false">
      <c r="A238" s="9" t="s">
        <v>237</v>
      </c>
      <c r="B238" s="9" t="s">
        <v>59</v>
      </c>
      <c r="C238" s="9" t="n">
        <v>16</v>
      </c>
      <c r="D238" s="10" t="n">
        <v>1.69</v>
      </c>
      <c r="E238" s="10" t="n">
        <f aca="false">C238*D238</f>
        <v>27.04</v>
      </c>
    </row>
    <row r="239" customFormat="false" ht="15" hidden="false" customHeight="false" outlineLevel="0" collapsed="false">
      <c r="A239" s="9" t="s">
        <v>237</v>
      </c>
      <c r="B239" s="9" t="s">
        <v>239</v>
      </c>
      <c r="C239" s="9" t="n">
        <v>4</v>
      </c>
      <c r="D239" s="10" t="n">
        <v>5.95</v>
      </c>
      <c r="E239" s="10" t="n">
        <f aca="false">C239*D239</f>
        <v>23.8</v>
      </c>
    </row>
    <row r="240" customFormat="false" ht="15" hidden="false" customHeight="false" outlineLevel="0" collapsed="false">
      <c r="A240" s="9" t="s">
        <v>237</v>
      </c>
      <c r="B240" s="9" t="s">
        <v>240</v>
      </c>
      <c r="C240" s="9" t="n">
        <v>12</v>
      </c>
      <c r="D240" s="10" t="n">
        <v>1.25</v>
      </c>
      <c r="E240" s="10" t="n">
        <f aca="false">C240*D240</f>
        <v>15</v>
      </c>
    </row>
    <row r="241" customFormat="false" ht="15" hidden="false" customHeight="false" outlineLevel="0" collapsed="false">
      <c r="A241" s="9" t="s">
        <v>237</v>
      </c>
      <c r="B241" s="9" t="s">
        <v>241</v>
      </c>
      <c r="C241" s="9" t="n">
        <v>12</v>
      </c>
      <c r="D241" s="10" t="n">
        <v>1.25</v>
      </c>
      <c r="E241" s="10" t="n">
        <f aca="false">C241*D241</f>
        <v>15</v>
      </c>
    </row>
    <row r="242" customFormat="false" ht="15" hidden="false" customHeight="false" outlineLevel="0" collapsed="false">
      <c r="A242" s="9" t="s">
        <v>237</v>
      </c>
      <c r="B242" s="9" t="s">
        <v>242</v>
      </c>
      <c r="C242" s="9" t="n">
        <v>12</v>
      </c>
      <c r="D242" s="10" t="n">
        <v>1.25</v>
      </c>
      <c r="E242" s="10" t="n">
        <f aca="false">C242*D242</f>
        <v>15</v>
      </c>
    </row>
    <row r="243" customFormat="false" ht="15" hidden="false" customHeight="false" outlineLevel="0" collapsed="false">
      <c r="A243" s="9" t="s">
        <v>237</v>
      </c>
      <c r="B243" s="9" t="s">
        <v>243</v>
      </c>
      <c r="C243" s="9" t="n">
        <v>12</v>
      </c>
      <c r="D243" s="10" t="n">
        <v>1.25</v>
      </c>
      <c r="E243" s="10" t="n">
        <f aca="false">C243*D243</f>
        <v>15</v>
      </c>
    </row>
    <row r="244" customFormat="false" ht="15" hidden="false" customHeight="false" outlineLevel="0" collapsed="false">
      <c r="A244" s="9" t="s">
        <v>237</v>
      </c>
      <c r="B244" s="9" t="s">
        <v>244</v>
      </c>
      <c r="C244" s="9" t="n">
        <v>4</v>
      </c>
      <c r="D244" s="10" t="n">
        <v>3.75</v>
      </c>
      <c r="E244" s="10" t="n">
        <f aca="false">C244*D244</f>
        <v>15</v>
      </c>
    </row>
    <row r="245" customFormat="false" ht="15" hidden="false" customHeight="false" outlineLevel="0" collapsed="false">
      <c r="A245" s="9" t="s">
        <v>237</v>
      </c>
      <c r="B245" s="9" t="s">
        <v>245</v>
      </c>
      <c r="C245" s="9" t="n">
        <v>6</v>
      </c>
      <c r="D245" s="10" t="n">
        <v>1.95</v>
      </c>
      <c r="E245" s="10" t="n">
        <f aca="false">C245*D245</f>
        <v>11.7</v>
      </c>
    </row>
    <row r="246" customFormat="false" ht="15" hidden="false" customHeight="false" outlineLevel="0" collapsed="false">
      <c r="A246" s="9" t="s">
        <v>237</v>
      </c>
      <c r="B246" s="9" t="s">
        <v>246</v>
      </c>
      <c r="C246" s="9" t="n">
        <v>1</v>
      </c>
      <c r="D246" s="10" t="n">
        <v>165</v>
      </c>
      <c r="E246" s="10" t="n">
        <f aca="false">C246*D246</f>
        <v>165</v>
      </c>
    </row>
    <row r="247" customFormat="false" ht="15" hidden="false" customHeight="false" outlineLevel="0" collapsed="false">
      <c r="A247" s="9" t="s">
        <v>247</v>
      </c>
      <c r="B247" s="9" t="s">
        <v>248</v>
      </c>
      <c r="C247" s="9" t="n">
        <v>8</v>
      </c>
      <c r="D247" s="10" t="n">
        <v>9.95</v>
      </c>
      <c r="E247" s="10" t="n">
        <f aca="false">C247*D247</f>
        <v>79.6</v>
      </c>
    </row>
    <row r="248" customFormat="false" ht="15" hidden="false" customHeight="false" outlineLevel="0" collapsed="false">
      <c r="A248" s="9" t="s">
        <v>249</v>
      </c>
      <c r="B248" s="9" t="s">
        <v>250</v>
      </c>
      <c r="C248" s="9" t="n">
        <v>48</v>
      </c>
      <c r="D248" s="10" t="n">
        <v>1.25</v>
      </c>
      <c r="E248" s="10" t="n">
        <f aca="false">C248*D248</f>
        <v>60</v>
      </c>
    </row>
    <row r="249" customFormat="false" ht="15" hidden="false" customHeight="false" outlineLevel="0" collapsed="false">
      <c r="A249" s="9" t="s">
        <v>249</v>
      </c>
      <c r="B249" s="9" t="s">
        <v>251</v>
      </c>
      <c r="C249" s="9" t="n">
        <v>20</v>
      </c>
      <c r="D249" s="10" t="n">
        <v>1.65</v>
      </c>
      <c r="E249" s="10" t="n">
        <f aca="false">C249*D249</f>
        <v>33</v>
      </c>
    </row>
    <row r="250" customFormat="false" ht="15" hidden="false" customHeight="false" outlineLevel="0" collapsed="false">
      <c r="A250" s="9" t="s">
        <v>249</v>
      </c>
      <c r="B250" s="9" t="s">
        <v>37</v>
      </c>
      <c r="C250" s="9" t="n">
        <v>32</v>
      </c>
      <c r="D250" s="10" t="n">
        <v>2.55</v>
      </c>
      <c r="E250" s="10" t="n">
        <f aca="false">C250*D250</f>
        <v>81.6</v>
      </c>
    </row>
    <row r="251" customFormat="false" ht="15" hidden="false" customHeight="false" outlineLevel="0" collapsed="false">
      <c r="A251" s="9" t="s">
        <v>249</v>
      </c>
      <c r="B251" s="9" t="s">
        <v>252</v>
      </c>
      <c r="C251" s="9" t="n">
        <v>12</v>
      </c>
      <c r="D251" s="10" t="n">
        <v>2.1</v>
      </c>
      <c r="E251" s="10" t="n">
        <f aca="false">C251*D251</f>
        <v>25.2</v>
      </c>
    </row>
    <row r="252" customFormat="false" ht="15" hidden="false" customHeight="false" outlineLevel="0" collapsed="false">
      <c r="A252" s="9" t="s">
        <v>249</v>
      </c>
      <c r="B252" s="9" t="s">
        <v>253</v>
      </c>
      <c r="C252" s="9" t="n">
        <v>12</v>
      </c>
      <c r="D252" s="10" t="n">
        <v>3.75</v>
      </c>
      <c r="E252" s="10" t="n">
        <f aca="false">C252*D252</f>
        <v>45</v>
      </c>
    </row>
    <row r="253" customFormat="false" ht="15" hidden="false" customHeight="false" outlineLevel="0" collapsed="false">
      <c r="A253" s="9" t="s">
        <v>249</v>
      </c>
      <c r="B253" s="9" t="s">
        <v>254</v>
      </c>
      <c r="C253" s="9" t="n">
        <v>96</v>
      </c>
      <c r="D253" s="10" t="n">
        <v>1.85</v>
      </c>
      <c r="E253" s="10" t="n">
        <f aca="false">C253*D253</f>
        <v>177.6</v>
      </c>
    </row>
    <row r="254" customFormat="false" ht="15" hidden="false" customHeight="false" outlineLevel="0" collapsed="false">
      <c r="A254" s="9" t="s">
        <v>249</v>
      </c>
      <c r="B254" s="9" t="s">
        <v>46</v>
      </c>
      <c r="C254" s="9" t="n">
        <v>96</v>
      </c>
      <c r="D254" s="10" t="n">
        <v>1.85</v>
      </c>
      <c r="E254" s="10" t="n">
        <f aca="false">C254*D254</f>
        <v>177.6</v>
      </c>
    </row>
    <row r="255" customFormat="false" ht="15" hidden="false" customHeight="false" outlineLevel="0" collapsed="false">
      <c r="A255" s="9" t="s">
        <v>249</v>
      </c>
      <c r="B255" s="9" t="s">
        <v>255</v>
      </c>
      <c r="C255" s="9" t="n">
        <v>96</v>
      </c>
      <c r="D255" s="10" t="n">
        <v>1.85</v>
      </c>
      <c r="E255" s="10" t="n">
        <f aca="false">C255*D255</f>
        <v>177.6</v>
      </c>
    </row>
    <row r="256" customFormat="false" ht="15" hidden="false" customHeight="false" outlineLevel="0" collapsed="false">
      <c r="A256" s="9" t="s">
        <v>249</v>
      </c>
      <c r="B256" s="9" t="s">
        <v>45</v>
      </c>
      <c r="C256" s="9" t="n">
        <v>96</v>
      </c>
      <c r="D256" s="10" t="n">
        <v>1.85</v>
      </c>
      <c r="E256" s="10" t="n">
        <f aca="false">C256*D256</f>
        <v>177.6</v>
      </c>
    </row>
    <row r="257" customFormat="false" ht="15" hidden="false" customHeight="false" outlineLevel="0" collapsed="false">
      <c r="A257" s="9" t="s">
        <v>249</v>
      </c>
      <c r="B257" s="9" t="s">
        <v>256</v>
      </c>
      <c r="C257" s="9" t="n">
        <v>24</v>
      </c>
      <c r="D257" s="10" t="n">
        <v>0.42</v>
      </c>
      <c r="E257" s="10" t="n">
        <f aca="false">C257*D257</f>
        <v>10.08</v>
      </c>
    </row>
    <row r="258" customFormat="false" ht="15" hidden="false" customHeight="false" outlineLevel="0" collapsed="false">
      <c r="A258" s="9" t="s">
        <v>249</v>
      </c>
      <c r="B258" s="9" t="s">
        <v>225</v>
      </c>
      <c r="C258" s="9" t="n">
        <v>12</v>
      </c>
      <c r="D258" s="10" t="n">
        <v>4.95</v>
      </c>
      <c r="E258" s="10" t="n">
        <f aca="false">C258*D258</f>
        <v>59.4</v>
      </c>
    </row>
    <row r="259" customFormat="false" ht="15" hidden="false" customHeight="false" outlineLevel="0" collapsed="false">
      <c r="A259" s="9" t="s">
        <v>257</v>
      </c>
      <c r="B259" s="9" t="s">
        <v>254</v>
      </c>
      <c r="C259" s="9" t="n">
        <v>48</v>
      </c>
      <c r="D259" s="10" t="n">
        <v>2.1</v>
      </c>
      <c r="E259" s="10" t="n">
        <f aca="false">C259*D259</f>
        <v>100.8</v>
      </c>
    </row>
    <row r="260" customFormat="false" ht="15" hidden="false" customHeight="false" outlineLevel="0" collapsed="false">
      <c r="A260" s="9" t="s">
        <v>257</v>
      </c>
      <c r="B260" s="9" t="s">
        <v>85</v>
      </c>
      <c r="C260" s="9" t="n">
        <v>8</v>
      </c>
      <c r="D260" s="10" t="n">
        <v>3.75</v>
      </c>
      <c r="E260" s="10" t="n">
        <f aca="false">C260*D260</f>
        <v>30</v>
      </c>
    </row>
    <row r="261" customFormat="false" ht="15" hidden="false" customHeight="false" outlineLevel="0" collapsed="false">
      <c r="A261" s="9" t="s">
        <v>257</v>
      </c>
      <c r="B261" s="9" t="s">
        <v>258</v>
      </c>
      <c r="C261" s="9" t="n">
        <v>48</v>
      </c>
      <c r="D261" s="10" t="n">
        <v>2.1</v>
      </c>
      <c r="E261" s="10" t="n">
        <f aca="false">C261*D261</f>
        <v>100.8</v>
      </c>
    </row>
    <row r="262" customFormat="false" ht="15" hidden="false" customHeight="false" outlineLevel="0" collapsed="false">
      <c r="A262" s="9" t="s">
        <v>257</v>
      </c>
      <c r="B262" s="9" t="s">
        <v>105</v>
      </c>
      <c r="C262" s="9" t="n">
        <v>8</v>
      </c>
      <c r="D262" s="10" t="n">
        <v>3.95</v>
      </c>
      <c r="E262" s="10" t="n">
        <f aca="false">C262*D262</f>
        <v>31.6</v>
      </c>
    </row>
    <row r="263" customFormat="false" ht="15" hidden="false" customHeight="false" outlineLevel="0" collapsed="false">
      <c r="A263" s="9" t="s">
        <v>257</v>
      </c>
      <c r="B263" s="9" t="s">
        <v>84</v>
      </c>
      <c r="C263" s="9" t="n">
        <v>8</v>
      </c>
      <c r="D263" s="10" t="n">
        <v>3.75</v>
      </c>
      <c r="E263" s="10" t="n">
        <f aca="false">C263*D263</f>
        <v>30</v>
      </c>
    </row>
    <row r="264" customFormat="false" ht="15" hidden="false" customHeight="false" outlineLevel="0" collapsed="false">
      <c r="A264" s="9" t="s">
        <v>257</v>
      </c>
      <c r="B264" s="9" t="s">
        <v>259</v>
      </c>
      <c r="C264" s="9" t="n">
        <v>8</v>
      </c>
      <c r="D264" s="10" t="n">
        <v>3.75</v>
      </c>
      <c r="E264" s="10" t="n">
        <f aca="false">C264*D264</f>
        <v>30</v>
      </c>
    </row>
    <row r="265" customFormat="false" ht="15" hidden="false" customHeight="false" outlineLevel="0" collapsed="false">
      <c r="A265" s="9" t="s">
        <v>257</v>
      </c>
      <c r="B265" s="9" t="s">
        <v>260</v>
      </c>
      <c r="C265" s="9" t="n">
        <v>4</v>
      </c>
      <c r="D265" s="10" t="n">
        <v>3.75</v>
      </c>
      <c r="E265" s="10" t="n">
        <f aca="false">C265*D265</f>
        <v>15</v>
      </c>
    </row>
    <row r="266" customFormat="false" ht="15" hidden="false" customHeight="false" outlineLevel="0" collapsed="false">
      <c r="A266" s="9" t="s">
        <v>257</v>
      </c>
      <c r="B266" s="9" t="s">
        <v>261</v>
      </c>
      <c r="C266" s="9" t="n">
        <v>8</v>
      </c>
      <c r="D266" s="10" t="n">
        <v>3.95</v>
      </c>
      <c r="E266" s="10" t="n">
        <f aca="false">C266*D266</f>
        <v>31.6</v>
      </c>
    </row>
    <row r="267" customFormat="false" ht="15" hidden="false" customHeight="false" outlineLevel="0" collapsed="false">
      <c r="A267" s="9" t="s">
        <v>257</v>
      </c>
      <c r="B267" s="9" t="s">
        <v>262</v>
      </c>
      <c r="C267" s="9" t="n">
        <v>8</v>
      </c>
      <c r="D267" s="10" t="n">
        <v>3.45</v>
      </c>
      <c r="E267" s="10" t="n">
        <f aca="false">C267*D267</f>
        <v>27.6</v>
      </c>
    </row>
    <row r="268" customFormat="false" ht="15" hidden="false" customHeight="false" outlineLevel="0" collapsed="false">
      <c r="A268" s="9" t="s">
        <v>257</v>
      </c>
      <c r="B268" s="9" t="s">
        <v>116</v>
      </c>
      <c r="C268" s="9" t="n">
        <v>24</v>
      </c>
      <c r="D268" s="10" t="n">
        <v>0.55</v>
      </c>
      <c r="E268" s="10" t="n">
        <f aca="false">C268*D268</f>
        <v>13.2</v>
      </c>
    </row>
    <row r="269" customFormat="false" ht="15" hidden="false" customHeight="false" outlineLevel="0" collapsed="false">
      <c r="A269" s="9" t="s">
        <v>257</v>
      </c>
      <c r="B269" s="9" t="s">
        <v>113</v>
      </c>
      <c r="C269" s="9" t="n">
        <v>24</v>
      </c>
      <c r="D269" s="10" t="n">
        <v>0.55</v>
      </c>
      <c r="E269" s="10" t="n">
        <f aca="false">C269*D269</f>
        <v>13.2</v>
      </c>
    </row>
    <row r="270" customFormat="false" ht="15" hidden="false" customHeight="false" outlineLevel="0" collapsed="false">
      <c r="A270" s="9" t="s">
        <v>257</v>
      </c>
      <c r="B270" s="9" t="s">
        <v>114</v>
      </c>
      <c r="C270" s="9" t="n">
        <v>24</v>
      </c>
      <c r="D270" s="10" t="n">
        <v>0.55</v>
      </c>
      <c r="E270" s="10" t="n">
        <f aca="false">C270*D270</f>
        <v>13.2</v>
      </c>
    </row>
    <row r="271" customFormat="false" ht="15" hidden="false" customHeight="false" outlineLevel="0" collapsed="false">
      <c r="A271" s="9" t="s">
        <v>257</v>
      </c>
      <c r="B271" s="9" t="s">
        <v>59</v>
      </c>
      <c r="C271" s="9" t="n">
        <v>32</v>
      </c>
      <c r="D271" s="10" t="n">
        <v>1.69</v>
      </c>
      <c r="E271" s="10" t="n">
        <f aca="false">C271*D271</f>
        <v>54.08</v>
      </c>
    </row>
    <row r="272" customFormat="false" ht="15" hidden="false" customHeight="false" outlineLevel="0" collapsed="false">
      <c r="A272" s="9" t="s">
        <v>257</v>
      </c>
      <c r="B272" s="9" t="s">
        <v>263</v>
      </c>
      <c r="C272" s="9" t="n">
        <v>8</v>
      </c>
      <c r="D272" s="10" t="n">
        <v>2.1</v>
      </c>
      <c r="E272" s="10" t="n">
        <f aca="false">C272*D272</f>
        <v>16.8</v>
      </c>
    </row>
    <row r="273" customFormat="false" ht="15" hidden="false" customHeight="false" outlineLevel="0" collapsed="false">
      <c r="A273" s="9" t="s">
        <v>264</v>
      </c>
      <c r="B273" s="9" t="s">
        <v>43</v>
      </c>
      <c r="C273" s="9" t="n">
        <v>6</v>
      </c>
      <c r="D273" s="10" t="n">
        <v>4.25</v>
      </c>
      <c r="E273" s="10" t="n">
        <f aca="false">C273*D273</f>
        <v>25.5</v>
      </c>
    </row>
    <row r="274" customFormat="false" ht="15" hidden="false" customHeight="false" outlineLevel="0" collapsed="false">
      <c r="A274" s="9" t="s">
        <v>264</v>
      </c>
      <c r="B274" s="9" t="s">
        <v>265</v>
      </c>
      <c r="C274" s="9" t="n">
        <v>2</v>
      </c>
      <c r="D274" s="10" t="n">
        <v>35.75</v>
      </c>
      <c r="E274" s="10" t="n">
        <f aca="false">C274*D274</f>
        <v>71.5</v>
      </c>
    </row>
    <row r="275" customFormat="false" ht="15" hidden="false" customHeight="false" outlineLevel="0" collapsed="false">
      <c r="A275" s="9" t="s">
        <v>264</v>
      </c>
      <c r="B275" s="9" t="s">
        <v>42</v>
      </c>
      <c r="C275" s="9" t="n">
        <v>2</v>
      </c>
      <c r="D275" s="10" t="n">
        <v>7.65</v>
      </c>
      <c r="E275" s="10" t="n">
        <f aca="false">C275*D275</f>
        <v>15.3</v>
      </c>
    </row>
    <row r="276" customFormat="false" ht="15" hidden="false" customHeight="false" outlineLevel="0" collapsed="false">
      <c r="A276" s="9" t="s">
        <v>264</v>
      </c>
      <c r="B276" s="9" t="s">
        <v>41</v>
      </c>
      <c r="C276" s="9" t="n">
        <v>6</v>
      </c>
      <c r="D276" s="10" t="n">
        <v>3.39</v>
      </c>
      <c r="E276" s="10" t="n">
        <f aca="false">C276*D276</f>
        <v>20.34</v>
      </c>
    </row>
    <row r="277" customFormat="false" ht="15" hidden="false" customHeight="false" outlineLevel="0" collapsed="false">
      <c r="A277" s="9" t="s">
        <v>264</v>
      </c>
      <c r="B277" s="9" t="s">
        <v>40</v>
      </c>
      <c r="C277" s="9" t="n">
        <v>6</v>
      </c>
      <c r="D277" s="10" t="n">
        <v>3.39</v>
      </c>
      <c r="E277" s="10" t="n">
        <f aca="false">C277*D277</f>
        <v>20.34</v>
      </c>
    </row>
    <row r="278" customFormat="false" ht="15" hidden="false" customHeight="false" outlineLevel="0" collapsed="false">
      <c r="A278" s="9" t="s">
        <v>264</v>
      </c>
      <c r="B278" s="9" t="s">
        <v>94</v>
      </c>
      <c r="C278" s="9" t="n">
        <v>12</v>
      </c>
      <c r="D278" s="10" t="n">
        <v>2.55</v>
      </c>
      <c r="E278" s="10" t="n">
        <f aca="false">C278*D278</f>
        <v>30.6</v>
      </c>
    </row>
    <row r="279" customFormat="false" ht="15" hidden="false" customHeight="false" outlineLevel="0" collapsed="false">
      <c r="A279" s="9" t="s">
        <v>264</v>
      </c>
      <c r="B279" s="9" t="s">
        <v>91</v>
      </c>
      <c r="C279" s="9" t="n">
        <v>6</v>
      </c>
      <c r="D279" s="10" t="n">
        <v>2.1</v>
      </c>
      <c r="E279" s="10" t="n">
        <f aca="false">C279*D279</f>
        <v>12.6</v>
      </c>
    </row>
    <row r="280" customFormat="false" ht="15" hidden="false" customHeight="false" outlineLevel="0" collapsed="false">
      <c r="A280" s="9" t="s">
        <v>264</v>
      </c>
      <c r="B280" s="9" t="s">
        <v>93</v>
      </c>
      <c r="C280" s="9" t="n">
        <v>2</v>
      </c>
      <c r="D280" s="10" t="n">
        <v>4.95</v>
      </c>
      <c r="E280" s="10" t="n">
        <f aca="false">C280*D280</f>
        <v>9.9</v>
      </c>
    </row>
    <row r="281" customFormat="false" ht="15" hidden="false" customHeight="false" outlineLevel="0" collapsed="false">
      <c r="A281" s="9" t="s">
        <v>264</v>
      </c>
      <c r="B281" s="9" t="s">
        <v>92</v>
      </c>
      <c r="C281" s="9" t="n">
        <v>4</v>
      </c>
      <c r="D281" s="10" t="n">
        <v>6.95</v>
      </c>
      <c r="E281" s="10" t="n">
        <f aca="false">C281*D281</f>
        <v>27.8</v>
      </c>
    </row>
    <row r="282" customFormat="false" ht="15" hidden="false" customHeight="false" outlineLevel="0" collapsed="false">
      <c r="A282" s="9" t="s">
        <v>264</v>
      </c>
      <c r="B282" s="9" t="s">
        <v>95</v>
      </c>
      <c r="C282" s="9" t="n">
        <v>6</v>
      </c>
      <c r="D282" s="10" t="n">
        <v>1.06</v>
      </c>
      <c r="E282" s="10" t="n">
        <f aca="false">C282*D282</f>
        <v>6.36</v>
      </c>
    </row>
    <row r="283" customFormat="false" ht="15" hidden="false" customHeight="false" outlineLevel="0" collapsed="false">
      <c r="A283" s="9" t="s">
        <v>264</v>
      </c>
      <c r="B283" s="9" t="s">
        <v>96</v>
      </c>
      <c r="C283" s="9" t="n">
        <v>6</v>
      </c>
      <c r="D283" s="10" t="n">
        <v>1.06</v>
      </c>
      <c r="E283" s="10" t="n">
        <f aca="false">C283*D283</f>
        <v>6.36</v>
      </c>
    </row>
    <row r="284" customFormat="false" ht="15" hidden="false" customHeight="false" outlineLevel="0" collapsed="false">
      <c r="A284" s="9" t="s">
        <v>264</v>
      </c>
      <c r="B284" s="9" t="s">
        <v>97</v>
      </c>
      <c r="C284" s="9" t="n">
        <v>6</v>
      </c>
      <c r="D284" s="10" t="n">
        <v>1.06</v>
      </c>
      <c r="E284" s="10" t="n">
        <f aca="false">C284*D284</f>
        <v>6.36</v>
      </c>
    </row>
    <row r="285" customFormat="false" ht="15" hidden="false" customHeight="false" outlineLevel="0" collapsed="false">
      <c r="A285" s="9" t="s">
        <v>264</v>
      </c>
      <c r="B285" s="9" t="s">
        <v>98</v>
      </c>
      <c r="C285" s="9" t="n">
        <v>6</v>
      </c>
      <c r="D285" s="10" t="n">
        <v>4.95</v>
      </c>
      <c r="E285" s="10" t="n">
        <f aca="false">C285*D285</f>
        <v>29.7</v>
      </c>
    </row>
    <row r="286" customFormat="false" ht="15" hidden="false" customHeight="false" outlineLevel="0" collapsed="false">
      <c r="A286" s="9" t="s">
        <v>264</v>
      </c>
      <c r="B286" s="9" t="s">
        <v>136</v>
      </c>
      <c r="C286" s="9" t="n">
        <v>6</v>
      </c>
      <c r="D286" s="10" t="n">
        <v>4.95</v>
      </c>
      <c r="E286" s="10" t="n">
        <f aca="false">C286*D286</f>
        <v>29.7</v>
      </c>
    </row>
    <row r="287" customFormat="false" ht="15" hidden="false" customHeight="false" outlineLevel="0" collapsed="false">
      <c r="A287" s="9" t="s">
        <v>264</v>
      </c>
      <c r="B287" s="9" t="s">
        <v>39</v>
      </c>
      <c r="C287" s="9" t="n">
        <v>8</v>
      </c>
      <c r="D287" s="10" t="n">
        <v>2.75</v>
      </c>
      <c r="E287" s="10" t="n">
        <f aca="false">C287*D287</f>
        <v>22</v>
      </c>
    </row>
    <row r="288" customFormat="false" ht="15" hidden="false" customHeight="false" outlineLevel="0" collapsed="false">
      <c r="A288" s="9" t="s">
        <v>264</v>
      </c>
      <c r="B288" s="9" t="s">
        <v>38</v>
      </c>
      <c r="C288" s="9" t="n">
        <v>6</v>
      </c>
      <c r="D288" s="10" t="n">
        <v>3.39</v>
      </c>
      <c r="E288" s="10" t="n">
        <f aca="false">C288*D288</f>
        <v>20.34</v>
      </c>
    </row>
    <row r="289" customFormat="false" ht="15" hidden="false" customHeight="false" outlineLevel="0" collapsed="false">
      <c r="A289" s="9" t="s">
        <v>264</v>
      </c>
      <c r="B289" s="9" t="s">
        <v>37</v>
      </c>
      <c r="C289" s="9" t="n">
        <v>6</v>
      </c>
      <c r="D289" s="10" t="n">
        <v>2.55</v>
      </c>
      <c r="E289" s="10" t="n">
        <f aca="false">C289*D289</f>
        <v>15.3</v>
      </c>
    </row>
    <row r="290" customFormat="false" ht="15" hidden="false" customHeight="false" outlineLevel="0" collapsed="false">
      <c r="A290" s="9" t="s">
        <v>264</v>
      </c>
      <c r="B290" s="9" t="s">
        <v>99</v>
      </c>
      <c r="C290" s="9" t="n">
        <v>6</v>
      </c>
      <c r="D290" s="10" t="n">
        <v>1.06</v>
      </c>
      <c r="E290" s="10" t="n">
        <f aca="false">C290*D290</f>
        <v>6.36</v>
      </c>
    </row>
    <row r="291" customFormat="false" ht="15" hidden="false" customHeight="false" outlineLevel="0" collapsed="false">
      <c r="A291" s="9" t="s">
        <v>266</v>
      </c>
      <c r="B291" s="9" t="s">
        <v>218</v>
      </c>
      <c r="C291" s="9" t="n">
        <v>48</v>
      </c>
      <c r="D291" s="10" t="n">
        <v>4.65</v>
      </c>
      <c r="E291" s="10" t="n">
        <f aca="false">C291*D291</f>
        <v>223.2</v>
      </c>
    </row>
    <row r="292" customFormat="false" ht="15" hidden="false" customHeight="false" outlineLevel="0" collapsed="false">
      <c r="A292" s="9" t="s">
        <v>266</v>
      </c>
      <c r="B292" s="9" t="s">
        <v>267</v>
      </c>
      <c r="C292" s="9" t="n">
        <v>12</v>
      </c>
      <c r="D292" s="10" t="n">
        <v>4.65</v>
      </c>
      <c r="E292" s="10" t="n">
        <f aca="false">C292*D292</f>
        <v>55.8</v>
      </c>
    </row>
    <row r="293" customFormat="false" ht="15" hidden="false" customHeight="false" outlineLevel="0" collapsed="false">
      <c r="A293" s="9" t="s">
        <v>268</v>
      </c>
      <c r="B293" s="9" t="s">
        <v>269</v>
      </c>
      <c r="C293" s="9" t="n">
        <v>4</v>
      </c>
      <c r="D293" s="10" t="n">
        <v>3.75</v>
      </c>
      <c r="E293" s="10" t="n">
        <f aca="false">C293*D293</f>
        <v>15</v>
      </c>
    </row>
    <row r="294" customFormat="false" ht="15" hidden="false" customHeight="false" outlineLevel="0" collapsed="false">
      <c r="A294" s="9" t="s">
        <v>268</v>
      </c>
      <c r="B294" s="9" t="s">
        <v>270</v>
      </c>
      <c r="C294" s="9" t="n">
        <v>9</v>
      </c>
      <c r="D294" s="10" t="n">
        <v>4.95</v>
      </c>
      <c r="E294" s="10" t="n">
        <f aca="false">C294*D294</f>
        <v>44.55</v>
      </c>
    </row>
    <row r="295" customFormat="false" ht="15" hidden="false" customHeight="false" outlineLevel="0" collapsed="false">
      <c r="A295" s="9" t="s">
        <v>268</v>
      </c>
      <c r="B295" s="9" t="s">
        <v>271</v>
      </c>
      <c r="C295" s="9" t="n">
        <v>8</v>
      </c>
      <c r="D295" s="10" t="n">
        <v>4.65</v>
      </c>
      <c r="E295" s="10" t="n">
        <f aca="false">C295*D295</f>
        <v>37.2</v>
      </c>
    </row>
    <row r="296" customFormat="false" ht="15" hidden="false" customHeight="false" outlineLevel="0" collapsed="false">
      <c r="A296" s="9" t="s">
        <v>268</v>
      </c>
      <c r="B296" s="9" t="s">
        <v>105</v>
      </c>
      <c r="C296" s="9" t="n">
        <v>4</v>
      </c>
      <c r="D296" s="10" t="n">
        <v>3.95</v>
      </c>
      <c r="E296" s="10" t="n">
        <f aca="false">C296*D296</f>
        <v>15.8</v>
      </c>
    </row>
    <row r="297" customFormat="false" ht="15" hidden="false" customHeight="false" outlineLevel="0" collapsed="false">
      <c r="A297" s="9" t="s">
        <v>268</v>
      </c>
      <c r="B297" s="9" t="s">
        <v>272</v>
      </c>
      <c r="C297" s="9" t="n">
        <v>9</v>
      </c>
      <c r="D297" s="10" t="n">
        <v>4.95</v>
      </c>
      <c r="E297" s="10" t="n">
        <f aca="false">C297*D297</f>
        <v>44.55</v>
      </c>
    </row>
    <row r="298" customFormat="false" ht="15" hidden="false" customHeight="false" outlineLevel="0" collapsed="false">
      <c r="A298" s="9" t="s">
        <v>268</v>
      </c>
      <c r="B298" s="9" t="s">
        <v>273</v>
      </c>
      <c r="C298" s="9" t="n">
        <v>6</v>
      </c>
      <c r="D298" s="10" t="n">
        <v>3.35</v>
      </c>
      <c r="E298" s="10" t="n">
        <f aca="false">C298*D298</f>
        <v>20.1</v>
      </c>
    </row>
    <row r="299" customFormat="false" ht="15" hidden="false" customHeight="false" outlineLevel="0" collapsed="false">
      <c r="A299" s="9" t="s">
        <v>268</v>
      </c>
      <c r="B299" s="9" t="s">
        <v>274</v>
      </c>
      <c r="C299" s="9" t="n">
        <v>12</v>
      </c>
      <c r="D299" s="10" t="n">
        <v>1.65</v>
      </c>
      <c r="E299" s="10" t="n">
        <f aca="false">C299*D299</f>
        <v>19.8</v>
      </c>
    </row>
    <row r="300" customFormat="false" ht="15" hidden="false" customHeight="false" outlineLevel="0" collapsed="false">
      <c r="A300" s="9" t="s">
        <v>268</v>
      </c>
      <c r="B300" s="9" t="s">
        <v>275</v>
      </c>
      <c r="C300" s="9" t="n">
        <v>12</v>
      </c>
      <c r="D300" s="10" t="n">
        <v>1.25</v>
      </c>
      <c r="E300" s="10" t="n">
        <f aca="false">C300*D300</f>
        <v>15</v>
      </c>
    </row>
    <row r="301" customFormat="false" ht="15" hidden="false" customHeight="false" outlineLevel="0" collapsed="false">
      <c r="A301" s="9" t="s">
        <v>268</v>
      </c>
      <c r="B301" s="9" t="s">
        <v>42</v>
      </c>
      <c r="C301" s="9" t="n">
        <v>6</v>
      </c>
      <c r="D301" s="10" t="n">
        <v>8.5</v>
      </c>
      <c r="E301" s="10" t="n">
        <f aca="false">C301*D301</f>
        <v>51</v>
      </c>
    </row>
    <row r="302" customFormat="false" ht="15" hidden="false" customHeight="false" outlineLevel="0" collapsed="false">
      <c r="A302" s="9" t="s">
        <v>268</v>
      </c>
      <c r="B302" s="9" t="s">
        <v>254</v>
      </c>
      <c r="C302" s="9" t="n">
        <v>12</v>
      </c>
      <c r="D302" s="10" t="n">
        <v>2.1</v>
      </c>
      <c r="E302" s="10" t="n">
        <f aca="false">C302*D302</f>
        <v>25.2</v>
      </c>
    </row>
    <row r="303" customFormat="false" ht="15" hidden="false" customHeight="false" outlineLevel="0" collapsed="false">
      <c r="A303" s="9" t="s">
        <v>268</v>
      </c>
      <c r="B303" s="9" t="s">
        <v>46</v>
      </c>
      <c r="C303" s="9" t="n">
        <v>12</v>
      </c>
      <c r="D303" s="10" t="n">
        <v>2.1</v>
      </c>
      <c r="E303" s="10" t="n">
        <f aca="false">C303*D303</f>
        <v>25.2</v>
      </c>
    </row>
    <row r="304" customFormat="false" ht="15" hidden="false" customHeight="false" outlineLevel="0" collapsed="false">
      <c r="A304" s="9" t="s">
        <v>268</v>
      </c>
      <c r="B304" s="9" t="s">
        <v>276</v>
      </c>
      <c r="C304" s="9" t="n">
        <v>2</v>
      </c>
      <c r="D304" s="10" t="n">
        <v>7.95</v>
      </c>
      <c r="E304" s="10" t="n">
        <f aca="false">C304*D304</f>
        <v>15.9</v>
      </c>
    </row>
    <row r="305" customFormat="false" ht="15" hidden="false" customHeight="false" outlineLevel="0" collapsed="false">
      <c r="A305" s="9" t="s">
        <v>268</v>
      </c>
      <c r="B305" s="9" t="s">
        <v>155</v>
      </c>
      <c r="C305" s="9" t="n">
        <v>8</v>
      </c>
      <c r="D305" s="10" t="n">
        <v>2.55</v>
      </c>
      <c r="E305" s="10" t="n">
        <f aca="false">C305*D305</f>
        <v>20.4</v>
      </c>
    </row>
    <row r="306" customFormat="false" ht="15" hidden="false" customHeight="false" outlineLevel="0" collapsed="false">
      <c r="A306" s="9" t="s">
        <v>268</v>
      </c>
      <c r="B306" s="9" t="s">
        <v>277</v>
      </c>
      <c r="C306" s="9" t="n">
        <v>4</v>
      </c>
      <c r="D306" s="10" t="n">
        <v>6.75</v>
      </c>
      <c r="E306" s="10" t="n">
        <f aca="false">C306*D306</f>
        <v>27</v>
      </c>
    </row>
    <row r="307" customFormat="false" ht="15" hidden="false" customHeight="false" outlineLevel="0" collapsed="false">
      <c r="A307" s="9" t="s">
        <v>268</v>
      </c>
      <c r="B307" s="9" t="s">
        <v>278</v>
      </c>
      <c r="C307" s="9" t="n">
        <v>6</v>
      </c>
      <c r="D307" s="10" t="n">
        <v>2.95</v>
      </c>
      <c r="E307" s="10" t="n">
        <f aca="false">C307*D307</f>
        <v>17.7</v>
      </c>
    </row>
    <row r="308" customFormat="false" ht="15" hidden="false" customHeight="false" outlineLevel="0" collapsed="false">
      <c r="A308" s="9" t="s">
        <v>268</v>
      </c>
      <c r="B308" s="9" t="s">
        <v>279</v>
      </c>
      <c r="C308" s="9" t="n">
        <v>24</v>
      </c>
      <c r="D308" s="10" t="n">
        <v>0.29</v>
      </c>
      <c r="E308" s="10" t="n">
        <f aca="false">C308*D308</f>
        <v>6.96</v>
      </c>
    </row>
    <row r="309" customFormat="false" ht="15" hidden="false" customHeight="false" outlineLevel="0" collapsed="false">
      <c r="A309" s="9" t="s">
        <v>268</v>
      </c>
      <c r="B309" s="9" t="s">
        <v>255</v>
      </c>
      <c r="C309" s="9" t="n">
        <v>12</v>
      </c>
      <c r="D309" s="10" t="n">
        <v>2.1</v>
      </c>
      <c r="E309" s="10" t="n">
        <f aca="false">C309*D309</f>
        <v>25.2</v>
      </c>
    </row>
    <row r="310" customFormat="false" ht="15" hidden="false" customHeight="false" outlineLevel="0" collapsed="false">
      <c r="A310" s="9" t="s">
        <v>280</v>
      </c>
      <c r="B310" s="9" t="s">
        <v>45</v>
      </c>
      <c r="C310" s="9" t="n">
        <v>6</v>
      </c>
      <c r="D310" s="10" t="n">
        <v>1.85</v>
      </c>
      <c r="E310" s="10" t="n">
        <f aca="false">C310*D310</f>
        <v>11.1</v>
      </c>
    </row>
    <row r="311" customFormat="false" ht="15" hidden="false" customHeight="false" outlineLevel="0" collapsed="false">
      <c r="A311" s="9" t="s">
        <v>280</v>
      </c>
      <c r="B311" s="9" t="s">
        <v>46</v>
      </c>
      <c r="C311" s="9" t="n">
        <v>6</v>
      </c>
      <c r="D311" s="10" t="n">
        <v>1.85</v>
      </c>
      <c r="E311" s="10" t="n">
        <f aca="false">C311*D311</f>
        <v>11.1</v>
      </c>
    </row>
    <row r="312" customFormat="false" ht="15" hidden="false" customHeight="false" outlineLevel="0" collapsed="false">
      <c r="A312" s="9" t="s">
        <v>281</v>
      </c>
      <c r="B312" s="9" t="s">
        <v>200</v>
      </c>
      <c r="C312" s="9" t="n">
        <v>12</v>
      </c>
      <c r="D312" s="10" t="n">
        <v>1.45</v>
      </c>
      <c r="E312" s="10" t="n">
        <f aca="false">C312*D312</f>
        <v>17.4</v>
      </c>
    </row>
    <row r="313" customFormat="false" ht="15" hidden="false" customHeight="false" outlineLevel="0" collapsed="false">
      <c r="A313" s="9" t="s">
        <v>282</v>
      </c>
      <c r="B313" s="9" t="s">
        <v>188</v>
      </c>
      <c r="C313" s="9" t="n">
        <v>1</v>
      </c>
      <c r="D313" s="10" t="n">
        <v>1.65</v>
      </c>
      <c r="E313" s="10" t="n">
        <f aca="false">C313*D313</f>
        <v>1.65</v>
      </c>
    </row>
    <row r="314" customFormat="false" ht="15" hidden="false" customHeight="false" outlineLevel="0" collapsed="false">
      <c r="A314" s="9" t="s">
        <v>282</v>
      </c>
      <c r="B314" s="9" t="s">
        <v>37</v>
      </c>
      <c r="C314" s="9" t="n">
        <v>4</v>
      </c>
      <c r="D314" s="10" t="n">
        <v>2.95</v>
      </c>
      <c r="E314" s="10" t="n">
        <f aca="false">C314*D314</f>
        <v>11.8</v>
      </c>
    </row>
    <row r="315" customFormat="false" ht="15" hidden="false" customHeight="false" outlineLevel="0" collapsed="false">
      <c r="A315" s="9" t="s">
        <v>282</v>
      </c>
      <c r="B315" s="9" t="s">
        <v>283</v>
      </c>
      <c r="C315" s="9" t="n">
        <v>9</v>
      </c>
      <c r="D315" s="10" t="n">
        <v>0.85</v>
      </c>
      <c r="E315" s="10" t="n">
        <f aca="false">C315*D315</f>
        <v>7.65</v>
      </c>
    </row>
    <row r="316" customFormat="false" ht="15" hidden="false" customHeight="false" outlineLevel="0" collapsed="false">
      <c r="A316" s="9" t="s">
        <v>282</v>
      </c>
      <c r="B316" s="9" t="s">
        <v>284</v>
      </c>
      <c r="C316" s="9" t="n">
        <v>2</v>
      </c>
      <c r="D316" s="10" t="n">
        <v>2.55</v>
      </c>
      <c r="E316" s="10" t="n">
        <f aca="false">C316*D316</f>
        <v>5.1</v>
      </c>
    </row>
    <row r="317" customFormat="false" ht="15" hidden="false" customHeight="false" outlineLevel="0" collapsed="false">
      <c r="A317" s="9" t="s">
        <v>282</v>
      </c>
      <c r="B317" s="9" t="s">
        <v>285</v>
      </c>
      <c r="C317" s="9" t="n">
        <v>1</v>
      </c>
      <c r="D317" s="10" t="n">
        <v>1.25</v>
      </c>
      <c r="E317" s="10" t="n">
        <f aca="false">C317*D317</f>
        <v>1.25</v>
      </c>
    </row>
    <row r="318" customFormat="false" ht="15" hidden="false" customHeight="false" outlineLevel="0" collapsed="false">
      <c r="A318" s="9" t="s">
        <v>282</v>
      </c>
      <c r="B318" s="9" t="s">
        <v>286</v>
      </c>
      <c r="C318" s="9" t="n">
        <v>1</v>
      </c>
      <c r="D318" s="10" t="n">
        <v>5.95</v>
      </c>
      <c r="E318" s="10" t="n">
        <f aca="false">C318*D318</f>
        <v>5.95</v>
      </c>
    </row>
    <row r="319" customFormat="false" ht="15" hidden="false" customHeight="false" outlineLevel="0" collapsed="false">
      <c r="A319" s="9" t="s">
        <v>282</v>
      </c>
      <c r="B319" s="9" t="s">
        <v>287</v>
      </c>
      <c r="C319" s="9" t="n">
        <v>3</v>
      </c>
      <c r="D319" s="10" t="n">
        <v>1.25</v>
      </c>
      <c r="E319" s="10" t="n">
        <f aca="false">C319*D319</f>
        <v>3.75</v>
      </c>
    </row>
    <row r="320" customFormat="false" ht="15" hidden="false" customHeight="false" outlineLevel="0" collapsed="false">
      <c r="A320" s="9" t="s">
        <v>282</v>
      </c>
      <c r="B320" s="9" t="s">
        <v>288</v>
      </c>
      <c r="C320" s="9" t="n">
        <v>2</v>
      </c>
      <c r="D320" s="10" t="n">
        <v>2.95</v>
      </c>
      <c r="E320" s="10" t="n">
        <f aca="false">C320*D320</f>
        <v>5.9</v>
      </c>
    </row>
    <row r="321" customFormat="false" ht="15" hidden="false" customHeight="false" outlineLevel="0" collapsed="false">
      <c r="A321" s="9" t="s">
        <v>282</v>
      </c>
      <c r="B321" s="9" t="s">
        <v>289</v>
      </c>
      <c r="C321" s="9" t="n">
        <v>2</v>
      </c>
      <c r="D321" s="10" t="n">
        <v>1.65</v>
      </c>
      <c r="E321" s="10" t="n">
        <f aca="false">C321*D321</f>
        <v>3.3</v>
      </c>
    </row>
    <row r="322" customFormat="false" ht="15" hidden="false" customHeight="false" outlineLevel="0" collapsed="false">
      <c r="A322" s="9" t="s">
        <v>282</v>
      </c>
      <c r="B322" s="9" t="s">
        <v>290</v>
      </c>
      <c r="C322" s="9" t="n">
        <v>1</v>
      </c>
      <c r="D322" s="10" t="n">
        <v>1.25</v>
      </c>
      <c r="E322" s="10" t="n">
        <f aca="false">C322*D322</f>
        <v>1.25</v>
      </c>
    </row>
    <row r="323" customFormat="false" ht="15" hidden="false" customHeight="false" outlineLevel="0" collapsed="false">
      <c r="A323" s="9" t="s">
        <v>282</v>
      </c>
      <c r="B323" s="9" t="s">
        <v>291</v>
      </c>
      <c r="C323" s="9" t="n">
        <v>1</v>
      </c>
      <c r="D323" s="10" t="n">
        <v>1.25</v>
      </c>
      <c r="E323" s="10" t="n">
        <f aca="false">C323*D323</f>
        <v>1.25</v>
      </c>
    </row>
    <row r="324" customFormat="false" ht="15" hidden="false" customHeight="false" outlineLevel="0" collapsed="false">
      <c r="A324" s="9" t="s">
        <v>282</v>
      </c>
      <c r="B324" s="9" t="s">
        <v>292</v>
      </c>
      <c r="C324" s="9" t="n">
        <v>2</v>
      </c>
      <c r="D324" s="10" t="n">
        <v>1.25</v>
      </c>
      <c r="E324" s="10" t="n">
        <f aca="false">C324*D324</f>
        <v>2.5</v>
      </c>
    </row>
    <row r="325" customFormat="false" ht="15" hidden="false" customHeight="false" outlineLevel="0" collapsed="false">
      <c r="A325" s="9" t="s">
        <v>282</v>
      </c>
      <c r="B325" s="9" t="s">
        <v>293</v>
      </c>
      <c r="C325" s="9" t="n">
        <v>3</v>
      </c>
      <c r="D325" s="10" t="n">
        <v>2.95</v>
      </c>
      <c r="E325" s="10" t="n">
        <f aca="false">C325*D325</f>
        <v>8.85</v>
      </c>
    </row>
    <row r="326" customFormat="false" ht="15" hidden="false" customHeight="false" outlineLevel="0" collapsed="false">
      <c r="A326" s="9" t="s">
        <v>282</v>
      </c>
      <c r="B326" s="9" t="s">
        <v>294</v>
      </c>
      <c r="C326" s="9" t="n">
        <v>2</v>
      </c>
      <c r="D326" s="10" t="n">
        <v>2.95</v>
      </c>
      <c r="E326" s="10" t="n">
        <f aca="false">C326*D326</f>
        <v>5.9</v>
      </c>
    </row>
    <row r="327" customFormat="false" ht="15" hidden="false" customHeight="false" outlineLevel="0" collapsed="false">
      <c r="A327" s="9" t="s">
        <v>282</v>
      </c>
      <c r="B327" s="9" t="s">
        <v>93</v>
      </c>
      <c r="C327" s="9" t="n">
        <v>1</v>
      </c>
      <c r="D327" s="10" t="n">
        <v>5.95</v>
      </c>
      <c r="E327" s="10" t="n">
        <f aca="false">C327*D327</f>
        <v>5.95</v>
      </c>
    </row>
    <row r="328" customFormat="false" ht="15" hidden="false" customHeight="false" outlineLevel="0" collapsed="false">
      <c r="A328" s="9" t="s">
        <v>282</v>
      </c>
      <c r="B328" s="9" t="s">
        <v>295</v>
      </c>
      <c r="C328" s="9" t="n">
        <v>1</v>
      </c>
      <c r="D328" s="10" t="n">
        <v>2.95</v>
      </c>
      <c r="E328" s="10" t="n">
        <f aca="false">C328*D328</f>
        <v>2.95</v>
      </c>
    </row>
    <row r="329" customFormat="false" ht="15" hidden="false" customHeight="false" outlineLevel="0" collapsed="false">
      <c r="A329" s="9" t="s">
        <v>282</v>
      </c>
      <c r="B329" s="9" t="s">
        <v>119</v>
      </c>
      <c r="C329" s="9" t="n">
        <v>1</v>
      </c>
      <c r="D329" s="10" t="n">
        <v>1.65</v>
      </c>
      <c r="E329" s="10" t="n">
        <f aca="false">C329*D329</f>
        <v>1.65</v>
      </c>
    </row>
    <row r="330" customFormat="false" ht="15" hidden="false" customHeight="false" outlineLevel="0" collapsed="false">
      <c r="A330" s="9" t="s">
        <v>282</v>
      </c>
      <c r="B330" s="9" t="s">
        <v>296</v>
      </c>
      <c r="C330" s="9" t="n">
        <v>2</v>
      </c>
      <c r="D330" s="10" t="n">
        <v>1.65</v>
      </c>
      <c r="E330" s="10" t="n">
        <f aca="false">C330*D330</f>
        <v>3.3</v>
      </c>
    </row>
    <row r="331" customFormat="false" ht="15" hidden="false" customHeight="false" outlineLevel="0" collapsed="false">
      <c r="A331" s="9" t="s">
        <v>282</v>
      </c>
      <c r="B331" s="9" t="s">
        <v>297</v>
      </c>
      <c r="C331" s="9" t="n">
        <v>1</v>
      </c>
      <c r="D331" s="10" t="n">
        <v>1.65</v>
      </c>
      <c r="E331" s="10" t="n">
        <f aca="false">C331*D331</f>
        <v>1.65</v>
      </c>
    </row>
    <row r="332" customFormat="false" ht="15" hidden="false" customHeight="false" outlineLevel="0" collapsed="false">
      <c r="A332" s="9" t="s">
        <v>282</v>
      </c>
      <c r="B332" s="9" t="s">
        <v>298</v>
      </c>
      <c r="C332" s="9" t="n">
        <v>1</v>
      </c>
      <c r="D332" s="10" t="n">
        <v>1.65</v>
      </c>
      <c r="E332" s="10" t="n">
        <f aca="false">C332*D332</f>
        <v>1.65</v>
      </c>
    </row>
    <row r="333" customFormat="false" ht="15" hidden="false" customHeight="false" outlineLevel="0" collapsed="false">
      <c r="A333" s="9" t="s">
        <v>282</v>
      </c>
      <c r="B333" s="9" t="s">
        <v>299</v>
      </c>
      <c r="C333" s="9" t="n">
        <v>5</v>
      </c>
      <c r="D333" s="10" t="n">
        <v>2.55</v>
      </c>
      <c r="E333" s="10" t="n">
        <f aca="false">C333*D333</f>
        <v>12.75</v>
      </c>
    </row>
    <row r="334" customFormat="false" ht="15" hidden="false" customHeight="false" outlineLevel="0" collapsed="false">
      <c r="A334" s="9" t="s">
        <v>282</v>
      </c>
      <c r="B334" s="9" t="s">
        <v>300</v>
      </c>
      <c r="C334" s="9" t="n">
        <v>3</v>
      </c>
      <c r="D334" s="10" t="n">
        <v>2.95</v>
      </c>
      <c r="E334" s="10" t="n">
        <f aca="false">C334*D334</f>
        <v>8.85</v>
      </c>
    </row>
    <row r="335" customFormat="false" ht="15" hidden="false" customHeight="false" outlineLevel="0" collapsed="false">
      <c r="A335" s="9" t="s">
        <v>282</v>
      </c>
      <c r="B335" s="9" t="s">
        <v>301</v>
      </c>
      <c r="C335" s="9" t="n">
        <v>3</v>
      </c>
      <c r="D335" s="10" t="n">
        <v>2.95</v>
      </c>
      <c r="E335" s="10" t="n">
        <f aca="false">C335*D335</f>
        <v>8.85</v>
      </c>
    </row>
    <row r="336" customFormat="false" ht="15" hidden="false" customHeight="false" outlineLevel="0" collapsed="false">
      <c r="A336" s="9" t="s">
        <v>282</v>
      </c>
      <c r="B336" s="9" t="s">
        <v>302</v>
      </c>
      <c r="C336" s="9" t="n">
        <v>9</v>
      </c>
      <c r="D336" s="10" t="n">
        <v>2.55</v>
      </c>
      <c r="E336" s="10" t="n">
        <f aca="false">C336*D336</f>
        <v>22.95</v>
      </c>
    </row>
    <row r="337" customFormat="false" ht="15" hidden="false" customHeight="false" outlineLevel="0" collapsed="false">
      <c r="A337" s="9" t="s">
        <v>282</v>
      </c>
      <c r="B337" s="9" t="s">
        <v>303</v>
      </c>
      <c r="C337" s="9" t="n">
        <v>1</v>
      </c>
      <c r="D337" s="10" t="n">
        <v>16.95</v>
      </c>
      <c r="E337" s="10" t="n">
        <f aca="false">C337*D337</f>
        <v>16.95</v>
      </c>
    </row>
    <row r="338" customFormat="false" ht="15" hidden="false" customHeight="false" outlineLevel="0" collapsed="false">
      <c r="A338" s="9" t="s">
        <v>282</v>
      </c>
      <c r="B338" s="9" t="s">
        <v>124</v>
      </c>
      <c r="C338" s="9" t="n">
        <v>4</v>
      </c>
      <c r="D338" s="10" t="n">
        <v>2.95</v>
      </c>
      <c r="E338" s="10" t="n">
        <f aca="false">C338*D338</f>
        <v>11.8</v>
      </c>
    </row>
    <row r="339" customFormat="false" ht="15" hidden="false" customHeight="false" outlineLevel="0" collapsed="false">
      <c r="A339" s="9" t="s">
        <v>282</v>
      </c>
      <c r="B339" s="9" t="s">
        <v>304</v>
      </c>
      <c r="C339" s="9" t="n">
        <v>1</v>
      </c>
      <c r="D339" s="10" t="n">
        <v>10.65</v>
      </c>
      <c r="E339" s="10" t="n">
        <f aca="false">C339*D339</f>
        <v>10.65</v>
      </c>
    </row>
    <row r="340" customFormat="false" ht="15" hidden="false" customHeight="false" outlineLevel="0" collapsed="false">
      <c r="A340" s="9" t="s">
        <v>282</v>
      </c>
      <c r="B340" s="9" t="s">
        <v>227</v>
      </c>
      <c r="C340" s="9" t="n">
        <v>1</v>
      </c>
      <c r="D340" s="10" t="n">
        <v>4.25</v>
      </c>
      <c r="E340" s="10" t="n">
        <f aca="false">C340*D340</f>
        <v>4.25</v>
      </c>
    </row>
    <row r="341" customFormat="false" ht="15" hidden="false" customHeight="false" outlineLevel="0" collapsed="false">
      <c r="A341" s="9" t="s">
        <v>282</v>
      </c>
      <c r="B341" s="9" t="s">
        <v>174</v>
      </c>
      <c r="C341" s="9" t="n">
        <v>2</v>
      </c>
      <c r="D341" s="10" t="n">
        <v>6.95</v>
      </c>
      <c r="E341" s="10" t="n">
        <f aca="false">C341*D341</f>
        <v>13.9</v>
      </c>
    </row>
    <row r="342" customFormat="false" ht="15" hidden="false" customHeight="false" outlineLevel="0" collapsed="false">
      <c r="A342" s="9" t="s">
        <v>282</v>
      </c>
      <c r="B342" s="9" t="s">
        <v>239</v>
      </c>
      <c r="C342" s="9" t="n">
        <v>2</v>
      </c>
      <c r="D342" s="10" t="n">
        <v>5.95</v>
      </c>
      <c r="E342" s="10" t="n">
        <f aca="false">C342*D342</f>
        <v>11.9</v>
      </c>
    </row>
    <row r="343" customFormat="false" ht="15" hidden="false" customHeight="false" outlineLevel="0" collapsed="false">
      <c r="A343" s="9" t="s">
        <v>282</v>
      </c>
      <c r="B343" s="9" t="s">
        <v>305</v>
      </c>
      <c r="C343" s="9" t="n">
        <v>1</v>
      </c>
      <c r="D343" s="10" t="n">
        <v>7.95</v>
      </c>
      <c r="E343" s="10" t="n">
        <f aca="false">C343*D343</f>
        <v>7.95</v>
      </c>
    </row>
    <row r="344" customFormat="false" ht="15" hidden="false" customHeight="false" outlineLevel="0" collapsed="false">
      <c r="A344" s="9" t="s">
        <v>282</v>
      </c>
      <c r="B344" s="9" t="s">
        <v>306</v>
      </c>
      <c r="C344" s="9" t="n">
        <v>1</v>
      </c>
      <c r="D344" s="10" t="n">
        <v>2.95</v>
      </c>
      <c r="E344" s="10" t="n">
        <f aca="false">C344*D344</f>
        <v>2.95</v>
      </c>
    </row>
    <row r="345" customFormat="false" ht="15" hidden="false" customHeight="false" outlineLevel="0" collapsed="false">
      <c r="A345" s="9" t="s">
        <v>282</v>
      </c>
      <c r="B345" s="9" t="s">
        <v>307</v>
      </c>
      <c r="C345" s="9" t="n">
        <v>1</v>
      </c>
      <c r="D345" s="10" t="n">
        <v>0.55</v>
      </c>
      <c r="E345" s="10" t="n">
        <f aca="false">C345*D345</f>
        <v>0.55</v>
      </c>
    </row>
    <row r="346" customFormat="false" ht="15" hidden="false" customHeight="false" outlineLevel="0" collapsed="false">
      <c r="A346" s="9" t="s">
        <v>282</v>
      </c>
      <c r="B346" s="9" t="s">
        <v>308</v>
      </c>
      <c r="C346" s="9" t="n">
        <v>1</v>
      </c>
      <c r="D346" s="10" t="n">
        <v>0.85</v>
      </c>
      <c r="E346" s="10" t="n">
        <f aca="false">C346*D346</f>
        <v>0.85</v>
      </c>
    </row>
    <row r="347" customFormat="false" ht="15" hidden="false" customHeight="false" outlineLevel="0" collapsed="false">
      <c r="A347" s="9" t="s">
        <v>282</v>
      </c>
      <c r="B347" s="9" t="s">
        <v>309</v>
      </c>
      <c r="C347" s="9" t="n">
        <v>1</v>
      </c>
      <c r="D347" s="10" t="n">
        <v>2.55</v>
      </c>
      <c r="E347" s="10" t="n">
        <f aca="false">C347*D347</f>
        <v>2.55</v>
      </c>
    </row>
    <row r="348" customFormat="false" ht="15" hidden="false" customHeight="false" outlineLevel="0" collapsed="false">
      <c r="A348" s="9" t="s">
        <v>282</v>
      </c>
      <c r="B348" s="9" t="s">
        <v>310</v>
      </c>
      <c r="C348" s="9" t="n">
        <v>1</v>
      </c>
      <c r="D348" s="10" t="n">
        <v>1.25</v>
      </c>
      <c r="E348" s="10" t="n">
        <f aca="false">C348*D348</f>
        <v>1.25</v>
      </c>
    </row>
    <row r="349" customFormat="false" ht="15" hidden="false" customHeight="false" outlineLevel="0" collapsed="false">
      <c r="A349" s="9" t="s">
        <v>282</v>
      </c>
      <c r="B349" s="9" t="s">
        <v>311</v>
      </c>
      <c r="C349" s="9" t="n">
        <v>2</v>
      </c>
      <c r="D349" s="10" t="n">
        <v>1.25</v>
      </c>
      <c r="E349" s="10" t="n">
        <f aca="false">C349*D349</f>
        <v>2.5</v>
      </c>
    </row>
    <row r="350" customFormat="false" ht="15" hidden="false" customHeight="false" outlineLevel="0" collapsed="false">
      <c r="A350" s="9" t="s">
        <v>282</v>
      </c>
      <c r="B350" s="9" t="s">
        <v>312</v>
      </c>
      <c r="C350" s="9" t="n">
        <v>1</v>
      </c>
      <c r="D350" s="10" t="n">
        <v>2.95</v>
      </c>
      <c r="E350" s="10" t="n">
        <f aca="false">C350*D350</f>
        <v>2.95</v>
      </c>
    </row>
    <row r="351" customFormat="false" ht="15" hidden="false" customHeight="false" outlineLevel="0" collapsed="false">
      <c r="A351" s="9" t="s">
        <v>282</v>
      </c>
      <c r="B351" s="9" t="s">
        <v>313</v>
      </c>
      <c r="C351" s="9" t="n">
        <v>1</v>
      </c>
      <c r="D351" s="10" t="n">
        <v>3.35</v>
      </c>
      <c r="E351" s="10" t="n">
        <f aca="false">C351*D351</f>
        <v>3.35</v>
      </c>
    </row>
    <row r="352" customFormat="false" ht="15" hidden="false" customHeight="false" outlineLevel="0" collapsed="false">
      <c r="A352" s="9" t="s">
        <v>282</v>
      </c>
      <c r="B352" s="9" t="s">
        <v>314</v>
      </c>
      <c r="C352" s="9" t="n">
        <v>1</v>
      </c>
      <c r="D352" s="10" t="n">
        <v>1.45</v>
      </c>
      <c r="E352" s="10" t="n">
        <f aca="false">C352*D352</f>
        <v>1.45</v>
      </c>
    </row>
    <row r="353" customFormat="false" ht="15" hidden="false" customHeight="false" outlineLevel="0" collapsed="false">
      <c r="A353" s="9" t="s">
        <v>282</v>
      </c>
      <c r="B353" s="9" t="s">
        <v>315</v>
      </c>
      <c r="C353" s="9" t="n">
        <v>2</v>
      </c>
      <c r="D353" s="10" t="n">
        <v>1.25</v>
      </c>
      <c r="E353" s="10" t="n">
        <f aca="false">C353*D353</f>
        <v>2.5</v>
      </c>
    </row>
    <row r="354" customFormat="false" ht="15" hidden="false" customHeight="false" outlineLevel="0" collapsed="false">
      <c r="A354" s="9" t="s">
        <v>282</v>
      </c>
      <c r="B354" s="9" t="s">
        <v>316</v>
      </c>
      <c r="C354" s="9" t="n">
        <v>1</v>
      </c>
      <c r="D354" s="10" t="n">
        <v>1.65</v>
      </c>
      <c r="E354" s="10" t="n">
        <f aca="false">C354*D354</f>
        <v>1.65</v>
      </c>
    </row>
    <row r="355" customFormat="false" ht="15" hidden="false" customHeight="false" outlineLevel="0" collapsed="false">
      <c r="A355" s="9" t="s">
        <v>282</v>
      </c>
      <c r="B355" s="9" t="s">
        <v>128</v>
      </c>
      <c r="C355" s="9" t="n">
        <v>4</v>
      </c>
      <c r="D355" s="10" t="n">
        <v>1.45</v>
      </c>
      <c r="E355" s="10" t="n">
        <f aca="false">C355*D355</f>
        <v>5.8</v>
      </c>
    </row>
    <row r="356" customFormat="false" ht="15" hidden="false" customHeight="false" outlineLevel="0" collapsed="false">
      <c r="A356" s="9" t="s">
        <v>282</v>
      </c>
      <c r="B356" s="9" t="s">
        <v>317</v>
      </c>
      <c r="C356" s="9" t="n">
        <v>1</v>
      </c>
      <c r="D356" s="10" t="n">
        <v>1.25</v>
      </c>
      <c r="E356" s="10" t="n">
        <f aca="false">C356*D356</f>
        <v>1.25</v>
      </c>
    </row>
    <row r="357" customFormat="false" ht="15" hidden="false" customHeight="false" outlineLevel="0" collapsed="false">
      <c r="A357" s="9" t="s">
        <v>282</v>
      </c>
      <c r="B357" s="9" t="s">
        <v>318</v>
      </c>
      <c r="C357" s="9" t="n">
        <v>1</v>
      </c>
      <c r="D357" s="10" t="n">
        <v>4.95</v>
      </c>
      <c r="E357" s="10" t="n">
        <f aca="false">C357*D357</f>
        <v>4.95</v>
      </c>
    </row>
    <row r="358" customFormat="false" ht="15" hidden="false" customHeight="false" outlineLevel="0" collapsed="false">
      <c r="A358" s="9" t="s">
        <v>282</v>
      </c>
      <c r="B358" s="9" t="s">
        <v>319</v>
      </c>
      <c r="C358" s="9" t="n">
        <v>2</v>
      </c>
      <c r="D358" s="10" t="n">
        <v>3.75</v>
      </c>
      <c r="E358" s="10" t="n">
        <f aca="false">C358*D358</f>
        <v>7.5</v>
      </c>
    </row>
    <row r="359" customFormat="false" ht="15" hidden="false" customHeight="false" outlineLevel="0" collapsed="false">
      <c r="A359" s="9" t="s">
        <v>282</v>
      </c>
      <c r="B359" s="9" t="s">
        <v>320</v>
      </c>
      <c r="C359" s="9" t="n">
        <v>2</v>
      </c>
      <c r="D359" s="10" t="n">
        <v>1.25</v>
      </c>
      <c r="E359" s="10" t="n">
        <f aca="false">C359*D359</f>
        <v>2.5</v>
      </c>
    </row>
    <row r="360" customFormat="false" ht="15" hidden="false" customHeight="false" outlineLevel="0" collapsed="false">
      <c r="A360" s="9" t="s">
        <v>282</v>
      </c>
      <c r="B360" s="9" t="s">
        <v>321</v>
      </c>
      <c r="C360" s="9" t="n">
        <v>2</v>
      </c>
      <c r="D360" s="10" t="n">
        <v>9.95</v>
      </c>
      <c r="E360" s="10" t="n">
        <f aca="false">C360*D360</f>
        <v>19.9</v>
      </c>
    </row>
    <row r="361" customFormat="false" ht="15" hidden="false" customHeight="false" outlineLevel="0" collapsed="false">
      <c r="A361" s="9" t="s">
        <v>282</v>
      </c>
      <c r="B361" s="9" t="s">
        <v>322</v>
      </c>
      <c r="C361" s="9" t="n">
        <v>1</v>
      </c>
      <c r="D361" s="10" t="n">
        <v>1.25</v>
      </c>
      <c r="E361" s="10" t="n">
        <f aca="false">C361*D361</f>
        <v>1.25</v>
      </c>
    </row>
    <row r="362" customFormat="false" ht="15" hidden="false" customHeight="false" outlineLevel="0" collapsed="false">
      <c r="A362" s="9" t="s">
        <v>282</v>
      </c>
      <c r="B362" s="9" t="s">
        <v>323</v>
      </c>
      <c r="C362" s="9" t="n">
        <v>1</v>
      </c>
      <c r="D362" s="10" t="n">
        <v>5.95</v>
      </c>
      <c r="E362" s="10" t="n">
        <f aca="false">C362*D362</f>
        <v>5.95</v>
      </c>
    </row>
    <row r="363" customFormat="false" ht="15" hidden="false" customHeight="false" outlineLevel="0" collapsed="false">
      <c r="A363" s="9" t="s">
        <v>282</v>
      </c>
      <c r="B363" s="9" t="s">
        <v>324</v>
      </c>
      <c r="C363" s="9" t="n">
        <v>1</v>
      </c>
      <c r="D363" s="10" t="n">
        <v>4.25</v>
      </c>
      <c r="E363" s="10" t="n">
        <f aca="false">C363*D363</f>
        <v>4.25</v>
      </c>
    </row>
    <row r="364" customFormat="false" ht="15" hidden="false" customHeight="false" outlineLevel="0" collapsed="false">
      <c r="A364" s="9" t="s">
        <v>282</v>
      </c>
      <c r="B364" s="9" t="s">
        <v>325</v>
      </c>
      <c r="C364" s="9" t="n">
        <v>3</v>
      </c>
      <c r="D364" s="10" t="n">
        <v>4.95</v>
      </c>
      <c r="E364" s="10" t="n">
        <f aca="false">C364*D364</f>
        <v>14.85</v>
      </c>
    </row>
    <row r="365" customFormat="false" ht="15" hidden="false" customHeight="false" outlineLevel="0" collapsed="false">
      <c r="A365" s="9" t="s">
        <v>282</v>
      </c>
      <c r="B365" s="9" t="s">
        <v>326</v>
      </c>
      <c r="C365" s="9" t="n">
        <v>1</v>
      </c>
      <c r="D365" s="10" t="n">
        <v>2.55</v>
      </c>
      <c r="E365" s="10" t="n">
        <f aca="false">C365*D365</f>
        <v>2.55</v>
      </c>
    </row>
    <row r="366" customFormat="false" ht="15" hidden="false" customHeight="false" outlineLevel="0" collapsed="false">
      <c r="A366" s="9" t="s">
        <v>282</v>
      </c>
      <c r="B366" s="9" t="s">
        <v>327</v>
      </c>
      <c r="C366" s="9" t="n">
        <v>1</v>
      </c>
      <c r="D366" s="10" t="n">
        <v>2.95</v>
      </c>
      <c r="E366" s="10" t="n">
        <f aca="false">C366*D366</f>
        <v>2.95</v>
      </c>
    </row>
    <row r="367" customFormat="false" ht="15" hidden="false" customHeight="false" outlineLevel="0" collapsed="false">
      <c r="A367" s="9" t="s">
        <v>282</v>
      </c>
      <c r="B367" s="9" t="s">
        <v>157</v>
      </c>
      <c r="C367" s="9" t="n">
        <v>2</v>
      </c>
      <c r="D367" s="10" t="n">
        <v>1.69</v>
      </c>
      <c r="E367" s="10" t="n">
        <f aca="false">C367*D367</f>
        <v>3.38</v>
      </c>
    </row>
    <row r="368" customFormat="false" ht="15" hidden="false" customHeight="false" outlineLevel="0" collapsed="false">
      <c r="A368" s="9" t="s">
        <v>282</v>
      </c>
      <c r="B368" s="9" t="s">
        <v>328</v>
      </c>
      <c r="C368" s="9" t="n">
        <v>1</v>
      </c>
      <c r="D368" s="10" t="n">
        <v>7.95</v>
      </c>
      <c r="E368" s="10" t="n">
        <f aca="false">C368*D368</f>
        <v>7.95</v>
      </c>
    </row>
    <row r="369" customFormat="false" ht="15" hidden="false" customHeight="false" outlineLevel="0" collapsed="false">
      <c r="A369" s="9" t="s">
        <v>282</v>
      </c>
      <c r="B369" s="9" t="s">
        <v>329</v>
      </c>
      <c r="C369" s="9" t="n">
        <v>1</v>
      </c>
      <c r="D369" s="10" t="n">
        <v>0.55</v>
      </c>
      <c r="E369" s="10" t="n">
        <f aca="false">C369*D369</f>
        <v>0.55</v>
      </c>
    </row>
    <row r="370" customFormat="false" ht="15" hidden="false" customHeight="false" outlineLevel="0" collapsed="false">
      <c r="A370" s="9" t="s">
        <v>282</v>
      </c>
      <c r="B370" s="9" t="s">
        <v>113</v>
      </c>
      <c r="C370" s="9" t="n">
        <v>3</v>
      </c>
      <c r="D370" s="10" t="n">
        <v>0.55</v>
      </c>
      <c r="E370" s="10" t="n">
        <f aca="false">C370*D370</f>
        <v>1.65</v>
      </c>
    </row>
    <row r="371" customFormat="false" ht="15" hidden="false" customHeight="false" outlineLevel="0" collapsed="false">
      <c r="A371" s="9" t="s">
        <v>282</v>
      </c>
      <c r="B371" s="9" t="s">
        <v>330</v>
      </c>
      <c r="C371" s="9" t="n">
        <v>2</v>
      </c>
      <c r="D371" s="10" t="n">
        <v>0.55</v>
      </c>
      <c r="E371" s="10" t="n">
        <f aca="false">C371*D371</f>
        <v>1.1</v>
      </c>
    </row>
    <row r="372" customFormat="false" ht="15" hidden="false" customHeight="false" outlineLevel="0" collapsed="false">
      <c r="A372" s="9" t="s">
        <v>282</v>
      </c>
      <c r="B372" s="9" t="s">
        <v>331</v>
      </c>
      <c r="C372" s="9" t="n">
        <v>4</v>
      </c>
      <c r="D372" s="10" t="n">
        <v>2.95</v>
      </c>
      <c r="E372" s="10" t="n">
        <f aca="false">C372*D372</f>
        <v>11.8</v>
      </c>
    </row>
    <row r="373" customFormat="false" ht="15" hidden="false" customHeight="false" outlineLevel="0" collapsed="false">
      <c r="A373" s="9" t="s">
        <v>282</v>
      </c>
      <c r="B373" s="9" t="s">
        <v>332</v>
      </c>
      <c r="C373" s="9" t="n">
        <v>2</v>
      </c>
      <c r="D373" s="10" t="n">
        <v>2.1</v>
      </c>
      <c r="E373" s="10" t="n">
        <f aca="false">C373*D373</f>
        <v>4.2</v>
      </c>
    </row>
    <row r="374" customFormat="false" ht="15" hidden="false" customHeight="false" outlineLevel="0" collapsed="false">
      <c r="A374" s="9" t="s">
        <v>282</v>
      </c>
      <c r="B374" s="9" t="s">
        <v>333</v>
      </c>
      <c r="C374" s="9" t="n">
        <v>1</v>
      </c>
      <c r="D374" s="10" t="n">
        <v>2.1</v>
      </c>
      <c r="E374" s="10" t="n">
        <f aca="false">C374*D374</f>
        <v>2.1</v>
      </c>
    </row>
    <row r="375" customFormat="false" ht="15" hidden="false" customHeight="false" outlineLevel="0" collapsed="false">
      <c r="A375" s="9" t="s">
        <v>282</v>
      </c>
      <c r="B375" s="9" t="s">
        <v>334</v>
      </c>
      <c r="C375" s="9" t="n">
        <v>1</v>
      </c>
      <c r="D375" s="10" t="n">
        <v>1.25</v>
      </c>
      <c r="E375" s="10" t="n">
        <f aca="false">C375*D375</f>
        <v>1.25</v>
      </c>
    </row>
    <row r="376" customFormat="false" ht="15" hidden="false" customHeight="false" outlineLevel="0" collapsed="false">
      <c r="A376" s="9" t="s">
        <v>282</v>
      </c>
      <c r="B376" s="9" t="s">
        <v>335</v>
      </c>
      <c r="C376" s="9" t="n">
        <v>1</v>
      </c>
      <c r="D376" s="10" t="n">
        <v>9.95</v>
      </c>
      <c r="E376" s="10" t="n">
        <f aca="false">C376*D376</f>
        <v>9.95</v>
      </c>
    </row>
    <row r="377" customFormat="false" ht="15" hidden="false" customHeight="false" outlineLevel="0" collapsed="false">
      <c r="A377" s="9" t="s">
        <v>336</v>
      </c>
      <c r="B377" s="9" t="s">
        <v>337</v>
      </c>
      <c r="C377" s="9" t="n">
        <v>36</v>
      </c>
      <c r="D377" s="10" t="n">
        <v>4.25</v>
      </c>
      <c r="E377" s="10" t="n">
        <f aca="false">C377*D377</f>
        <v>153</v>
      </c>
    </row>
    <row r="378" customFormat="false" ht="15" hidden="false" customHeight="false" outlineLevel="0" collapsed="false">
      <c r="A378" s="9" t="s">
        <v>336</v>
      </c>
      <c r="B378" s="9" t="s">
        <v>233</v>
      </c>
      <c r="C378" s="9" t="n">
        <v>40</v>
      </c>
      <c r="D378" s="10" t="n">
        <v>2.55</v>
      </c>
      <c r="E378" s="10" t="n">
        <f aca="false">C378*D378</f>
        <v>102</v>
      </c>
    </row>
    <row r="379" customFormat="false" ht="15" hidden="false" customHeight="false" outlineLevel="0" collapsed="false">
      <c r="A379" s="9" t="s">
        <v>336</v>
      </c>
      <c r="B379" s="9" t="s">
        <v>88</v>
      </c>
      <c r="C379" s="9" t="n">
        <v>40</v>
      </c>
      <c r="D379" s="10" t="n">
        <v>2.55</v>
      </c>
      <c r="E379" s="10" t="n">
        <f aca="false">C379*D379</f>
        <v>102</v>
      </c>
    </row>
    <row r="380" customFormat="false" ht="15" hidden="false" customHeight="false" outlineLevel="0" collapsed="false">
      <c r="A380" s="9" t="s">
        <v>338</v>
      </c>
      <c r="B380" s="9" t="s">
        <v>258</v>
      </c>
      <c r="C380" s="9" t="n">
        <v>96</v>
      </c>
      <c r="D380" s="10" t="n">
        <v>1.85</v>
      </c>
      <c r="E380" s="10" t="n">
        <f aca="false">C380*D380</f>
        <v>177.6</v>
      </c>
    </row>
    <row r="381" customFormat="false" ht="15" hidden="false" customHeight="false" outlineLevel="0" collapsed="false">
      <c r="A381" s="9" t="s">
        <v>339</v>
      </c>
      <c r="B381" s="9" t="s">
        <v>340</v>
      </c>
      <c r="C381" s="9" t="n">
        <v>12</v>
      </c>
      <c r="D381" s="10" t="n">
        <v>0.85</v>
      </c>
      <c r="E381" s="10" t="n">
        <f aca="false">C381*D381</f>
        <v>10.2</v>
      </c>
    </row>
    <row r="382" customFormat="false" ht="15" hidden="false" customHeight="false" outlineLevel="0" collapsed="false">
      <c r="A382" s="9" t="s">
        <v>339</v>
      </c>
      <c r="B382" s="9" t="s">
        <v>341</v>
      </c>
      <c r="C382" s="9" t="n">
        <v>24</v>
      </c>
      <c r="D382" s="10" t="n">
        <v>1.65</v>
      </c>
      <c r="E382" s="10" t="n">
        <f aca="false">C382*D382</f>
        <v>39.6</v>
      </c>
    </row>
    <row r="383" customFormat="false" ht="15" hidden="false" customHeight="false" outlineLevel="0" collapsed="false">
      <c r="A383" s="9" t="s">
        <v>339</v>
      </c>
      <c r="B383" s="9" t="s">
        <v>342</v>
      </c>
      <c r="C383" s="9" t="n">
        <v>10</v>
      </c>
      <c r="D383" s="10" t="n">
        <v>1.65</v>
      </c>
      <c r="E383" s="10" t="n">
        <f aca="false">C383*D383</f>
        <v>16.5</v>
      </c>
    </row>
    <row r="384" customFormat="false" ht="15" hidden="false" customHeight="false" outlineLevel="0" collapsed="false">
      <c r="A384" s="9" t="s">
        <v>339</v>
      </c>
      <c r="B384" s="9" t="s">
        <v>343</v>
      </c>
      <c r="C384" s="9" t="n">
        <v>10</v>
      </c>
      <c r="D384" s="10" t="n">
        <v>1.65</v>
      </c>
      <c r="E384" s="10" t="n">
        <f aca="false">C384*D384</f>
        <v>16.5</v>
      </c>
    </row>
    <row r="385" customFormat="false" ht="15" hidden="false" customHeight="false" outlineLevel="0" collapsed="false">
      <c r="A385" s="9" t="s">
        <v>339</v>
      </c>
      <c r="B385" s="9" t="s">
        <v>344</v>
      </c>
      <c r="C385" s="9" t="n">
        <v>10</v>
      </c>
      <c r="D385" s="10" t="n">
        <v>1.65</v>
      </c>
      <c r="E385" s="10" t="n">
        <f aca="false">C385*D385</f>
        <v>16.5</v>
      </c>
    </row>
    <row r="386" customFormat="false" ht="15" hidden="false" customHeight="false" outlineLevel="0" collapsed="false">
      <c r="A386" s="9" t="s">
        <v>339</v>
      </c>
      <c r="B386" s="9" t="s">
        <v>115</v>
      </c>
      <c r="C386" s="9" t="n">
        <v>24</v>
      </c>
      <c r="D386" s="10" t="n">
        <v>0.55</v>
      </c>
      <c r="E386" s="10" t="n">
        <f aca="false">C386*D386</f>
        <v>13.2</v>
      </c>
    </row>
    <row r="387" customFormat="false" ht="15" hidden="false" customHeight="false" outlineLevel="0" collapsed="false">
      <c r="A387" s="9" t="s">
        <v>339</v>
      </c>
      <c r="B387" s="9" t="s">
        <v>345</v>
      </c>
      <c r="C387" s="9" t="n">
        <v>24</v>
      </c>
      <c r="D387" s="10" t="n">
        <v>0.55</v>
      </c>
      <c r="E387" s="10" t="n">
        <f aca="false">C387*D387</f>
        <v>13.2</v>
      </c>
    </row>
    <row r="388" customFormat="false" ht="15" hidden="false" customHeight="false" outlineLevel="0" collapsed="false">
      <c r="A388" s="9" t="s">
        <v>339</v>
      </c>
      <c r="B388" s="9" t="s">
        <v>116</v>
      </c>
      <c r="C388" s="9" t="n">
        <v>24</v>
      </c>
      <c r="D388" s="10" t="n">
        <v>0.55</v>
      </c>
      <c r="E388" s="10" t="n">
        <f aca="false">C388*D388</f>
        <v>13.2</v>
      </c>
    </row>
    <row r="389" customFormat="false" ht="15" hidden="false" customHeight="false" outlineLevel="0" collapsed="false">
      <c r="A389" s="9" t="s">
        <v>339</v>
      </c>
      <c r="B389" s="9" t="s">
        <v>346</v>
      </c>
      <c r="C389" s="9" t="n">
        <v>24</v>
      </c>
      <c r="D389" s="10" t="n">
        <v>0.55</v>
      </c>
      <c r="E389" s="10" t="n">
        <f aca="false">C389*D389</f>
        <v>13.2</v>
      </c>
    </row>
    <row r="390" customFormat="false" ht="15" hidden="false" customHeight="false" outlineLevel="0" collapsed="false">
      <c r="A390" s="9" t="s">
        <v>339</v>
      </c>
      <c r="B390" s="9" t="s">
        <v>347</v>
      </c>
      <c r="C390" s="9" t="n">
        <v>24</v>
      </c>
      <c r="D390" s="10" t="n">
        <v>0.55</v>
      </c>
      <c r="E390" s="10" t="n">
        <f aca="false">C390*D390</f>
        <v>13.2</v>
      </c>
    </row>
    <row r="391" customFormat="false" ht="15" hidden="false" customHeight="false" outlineLevel="0" collapsed="false">
      <c r="A391" s="9" t="s">
        <v>339</v>
      </c>
      <c r="B391" s="9" t="s">
        <v>348</v>
      </c>
      <c r="C391" s="9" t="n">
        <v>12</v>
      </c>
      <c r="D391" s="10" t="n">
        <v>2.1</v>
      </c>
      <c r="E391" s="10" t="n">
        <f aca="false">C391*D391</f>
        <v>25.2</v>
      </c>
    </row>
    <row r="392" customFormat="false" ht="15" hidden="false" customHeight="false" outlineLevel="0" collapsed="false">
      <c r="A392" s="9" t="s">
        <v>339</v>
      </c>
      <c r="B392" s="9" t="s">
        <v>349</v>
      </c>
      <c r="C392" s="9" t="n">
        <v>12</v>
      </c>
      <c r="D392" s="10" t="n">
        <v>1.25</v>
      </c>
      <c r="E392" s="10" t="n">
        <f aca="false">C392*D392</f>
        <v>15</v>
      </c>
    </row>
    <row r="393" customFormat="false" ht="15" hidden="false" customHeight="false" outlineLevel="0" collapsed="false">
      <c r="A393" s="9" t="s">
        <v>339</v>
      </c>
      <c r="B393" s="9" t="s">
        <v>350</v>
      </c>
      <c r="C393" s="9" t="n">
        <v>12</v>
      </c>
      <c r="D393" s="10" t="n">
        <v>1.25</v>
      </c>
      <c r="E393" s="10" t="n">
        <f aca="false">C393*D393</f>
        <v>15</v>
      </c>
    </row>
    <row r="394" customFormat="false" ht="15" hidden="false" customHeight="false" outlineLevel="0" collapsed="false">
      <c r="A394" s="9" t="s">
        <v>339</v>
      </c>
      <c r="B394" s="9" t="s">
        <v>351</v>
      </c>
      <c r="C394" s="9" t="n">
        <v>12</v>
      </c>
      <c r="D394" s="10" t="n">
        <v>0.85</v>
      </c>
      <c r="E394" s="10" t="n">
        <f aca="false">C394*D394</f>
        <v>10.2</v>
      </c>
    </row>
    <row r="395" customFormat="false" ht="15" hidden="false" customHeight="false" outlineLevel="0" collapsed="false">
      <c r="A395" s="9" t="s">
        <v>339</v>
      </c>
      <c r="B395" s="9" t="s">
        <v>352</v>
      </c>
      <c r="C395" s="9" t="n">
        <v>24</v>
      </c>
      <c r="D395" s="10" t="n">
        <v>1.25</v>
      </c>
      <c r="E395" s="10" t="n">
        <f aca="false">C395*D395</f>
        <v>30</v>
      </c>
    </row>
    <row r="396" customFormat="false" ht="15" hidden="false" customHeight="false" outlineLevel="0" collapsed="false">
      <c r="A396" s="9" t="s">
        <v>339</v>
      </c>
      <c r="B396" s="9" t="s">
        <v>353</v>
      </c>
      <c r="C396" s="9" t="n">
        <v>12</v>
      </c>
      <c r="D396" s="10" t="n">
        <v>1.25</v>
      </c>
      <c r="E396" s="10" t="n">
        <f aca="false">C396*D396</f>
        <v>15</v>
      </c>
    </row>
    <row r="397" customFormat="false" ht="15" hidden="false" customHeight="false" outlineLevel="0" collapsed="false">
      <c r="A397" s="9" t="s">
        <v>339</v>
      </c>
      <c r="B397" s="9" t="s">
        <v>153</v>
      </c>
      <c r="C397" s="9" t="n">
        <v>12</v>
      </c>
      <c r="D397" s="10" t="n">
        <v>1.25</v>
      </c>
      <c r="E397" s="10" t="n">
        <f aca="false">C397*D397</f>
        <v>15</v>
      </c>
    </row>
    <row r="398" customFormat="false" ht="15" hidden="false" customHeight="false" outlineLevel="0" collapsed="false">
      <c r="A398" s="9" t="s">
        <v>339</v>
      </c>
      <c r="B398" s="9" t="s">
        <v>354</v>
      </c>
      <c r="C398" s="9" t="n">
        <v>12</v>
      </c>
      <c r="D398" s="10" t="n">
        <v>0.85</v>
      </c>
      <c r="E398" s="10" t="n">
        <f aca="false">C398*D398</f>
        <v>10.2</v>
      </c>
    </row>
    <row r="399" customFormat="false" ht="15" hidden="false" customHeight="false" outlineLevel="0" collapsed="false">
      <c r="A399" s="9" t="s">
        <v>339</v>
      </c>
      <c r="B399" s="9" t="s">
        <v>355</v>
      </c>
      <c r="C399" s="9" t="n">
        <v>12</v>
      </c>
      <c r="D399" s="10" t="n">
        <v>1.25</v>
      </c>
      <c r="E399" s="10" t="n">
        <f aca="false">C399*D399</f>
        <v>15</v>
      </c>
    </row>
    <row r="400" customFormat="false" ht="15" hidden="false" customHeight="false" outlineLevel="0" collapsed="false">
      <c r="A400" s="9" t="s">
        <v>339</v>
      </c>
      <c r="B400" s="9" t="s">
        <v>356</v>
      </c>
      <c r="C400" s="9" t="n">
        <v>12</v>
      </c>
      <c r="D400" s="10" t="n">
        <v>1.25</v>
      </c>
      <c r="E400" s="10" t="n">
        <f aca="false">C400*D400</f>
        <v>15</v>
      </c>
    </row>
    <row r="401" customFormat="false" ht="15" hidden="false" customHeight="false" outlineLevel="0" collapsed="false">
      <c r="A401" s="9" t="s">
        <v>339</v>
      </c>
      <c r="B401" s="9" t="s">
        <v>179</v>
      </c>
      <c r="C401" s="9" t="n">
        <v>12</v>
      </c>
      <c r="D401" s="10" t="n">
        <v>1.65</v>
      </c>
      <c r="E401" s="10" t="n">
        <f aca="false">C401*D401</f>
        <v>19.8</v>
      </c>
    </row>
    <row r="402" customFormat="false" ht="15" hidden="false" customHeight="false" outlineLevel="0" collapsed="false">
      <c r="A402" s="9" t="s">
        <v>339</v>
      </c>
      <c r="B402" s="9" t="s">
        <v>357</v>
      </c>
      <c r="C402" s="9" t="n">
        <v>12</v>
      </c>
      <c r="D402" s="10" t="n">
        <v>1.25</v>
      </c>
      <c r="E402" s="10" t="n">
        <f aca="false">C402*D402</f>
        <v>15</v>
      </c>
    </row>
    <row r="403" customFormat="false" ht="15" hidden="false" customHeight="false" outlineLevel="0" collapsed="false">
      <c r="A403" s="9" t="s">
        <v>339</v>
      </c>
      <c r="B403" s="9" t="s">
        <v>358</v>
      </c>
      <c r="C403" s="9" t="n">
        <v>12</v>
      </c>
      <c r="D403" s="10" t="n">
        <v>1.25</v>
      </c>
      <c r="E403" s="10" t="n">
        <f aca="false">C403*D403</f>
        <v>15</v>
      </c>
    </row>
    <row r="404" customFormat="false" ht="15" hidden="false" customHeight="false" outlineLevel="0" collapsed="false">
      <c r="A404" s="9" t="s">
        <v>339</v>
      </c>
      <c r="B404" s="9" t="s">
        <v>359</v>
      </c>
      <c r="C404" s="9" t="n">
        <v>12</v>
      </c>
      <c r="D404" s="10" t="n">
        <v>1.25</v>
      </c>
      <c r="E404" s="10" t="n">
        <f aca="false">C404*D404</f>
        <v>15</v>
      </c>
    </row>
    <row r="405" customFormat="false" ht="15" hidden="false" customHeight="false" outlineLevel="0" collapsed="false">
      <c r="A405" s="9" t="s">
        <v>339</v>
      </c>
      <c r="B405" s="9" t="s">
        <v>360</v>
      </c>
      <c r="C405" s="9" t="n">
        <v>12</v>
      </c>
      <c r="D405" s="10" t="n">
        <v>1.25</v>
      </c>
      <c r="E405" s="10" t="n">
        <f aca="false">C405*D405</f>
        <v>15</v>
      </c>
    </row>
    <row r="406" customFormat="false" ht="15" hidden="false" customHeight="false" outlineLevel="0" collapsed="false">
      <c r="A406" s="9" t="s">
        <v>339</v>
      </c>
      <c r="B406" s="9" t="s">
        <v>361</v>
      </c>
      <c r="C406" s="9" t="n">
        <v>12</v>
      </c>
      <c r="D406" s="10" t="n">
        <v>1.25</v>
      </c>
      <c r="E406" s="10" t="n">
        <f aca="false">C406*D406</f>
        <v>15</v>
      </c>
    </row>
    <row r="407" customFormat="false" ht="15" hidden="false" customHeight="false" outlineLevel="0" collapsed="false">
      <c r="A407" s="9" t="s">
        <v>339</v>
      </c>
      <c r="B407" s="9" t="s">
        <v>315</v>
      </c>
      <c r="C407" s="9" t="n">
        <v>12</v>
      </c>
      <c r="D407" s="10" t="n">
        <v>1.25</v>
      </c>
      <c r="E407" s="10" t="n">
        <f aca="false">C407*D407</f>
        <v>15</v>
      </c>
    </row>
    <row r="408" customFormat="false" ht="15" hidden="false" customHeight="false" outlineLevel="0" collapsed="false">
      <c r="A408" s="9" t="s">
        <v>339</v>
      </c>
      <c r="B408" s="9" t="s">
        <v>231</v>
      </c>
      <c r="C408" s="9" t="n">
        <v>36</v>
      </c>
      <c r="D408" s="10" t="n">
        <v>0.85</v>
      </c>
      <c r="E408" s="10" t="n">
        <f aca="false">C408*D408</f>
        <v>30.6</v>
      </c>
    </row>
    <row r="409" customFormat="false" ht="15" hidden="false" customHeight="false" outlineLevel="0" collapsed="false">
      <c r="A409" s="9" t="s">
        <v>362</v>
      </c>
      <c r="B409" s="9" t="s">
        <v>363</v>
      </c>
      <c r="C409" s="9" t="n">
        <v>128</v>
      </c>
      <c r="D409" s="10" t="n">
        <v>2.55</v>
      </c>
      <c r="E409" s="10" t="n">
        <f aca="false">C409*D409</f>
        <v>326.4</v>
      </c>
    </row>
    <row r="410" customFormat="false" ht="15" hidden="false" customHeight="false" outlineLevel="0" collapsed="false">
      <c r="A410" s="9" t="s">
        <v>364</v>
      </c>
      <c r="B410" s="9" t="s">
        <v>92</v>
      </c>
      <c r="C410" s="9" t="n">
        <v>4</v>
      </c>
      <c r="D410" s="10" t="n">
        <v>6.95</v>
      </c>
      <c r="E410" s="10" t="n">
        <f aca="false">C410*D410</f>
        <v>27.8</v>
      </c>
    </row>
    <row r="411" customFormat="false" ht="15" hidden="false" customHeight="false" outlineLevel="0" collapsed="false">
      <c r="A411" s="9" t="s">
        <v>364</v>
      </c>
      <c r="B411" s="9" t="s">
        <v>43</v>
      </c>
      <c r="C411" s="9" t="n">
        <v>6</v>
      </c>
      <c r="D411" s="10" t="n">
        <v>4.25</v>
      </c>
      <c r="E411" s="10" t="n">
        <f aca="false">C411*D411</f>
        <v>25.5</v>
      </c>
    </row>
    <row r="412" customFormat="false" ht="15" hidden="false" customHeight="false" outlineLevel="0" collapsed="false">
      <c r="A412" s="9" t="s">
        <v>364</v>
      </c>
      <c r="B412" s="9" t="s">
        <v>265</v>
      </c>
      <c r="C412" s="9" t="n">
        <v>2</v>
      </c>
      <c r="D412" s="10" t="n">
        <v>35.75</v>
      </c>
      <c r="E412" s="10" t="n">
        <f aca="false">C412*D412</f>
        <v>71.5</v>
      </c>
    </row>
    <row r="413" customFormat="false" ht="15" hidden="false" customHeight="false" outlineLevel="0" collapsed="false">
      <c r="A413" s="9" t="s">
        <v>364</v>
      </c>
      <c r="B413" s="9" t="s">
        <v>41</v>
      </c>
      <c r="C413" s="9" t="n">
        <v>6</v>
      </c>
      <c r="D413" s="10" t="n">
        <v>3.39</v>
      </c>
      <c r="E413" s="10" t="n">
        <f aca="false">C413*D413</f>
        <v>20.34</v>
      </c>
    </row>
    <row r="414" customFormat="false" ht="15" hidden="false" customHeight="false" outlineLevel="0" collapsed="false">
      <c r="A414" s="9" t="s">
        <v>364</v>
      </c>
      <c r="B414" s="9" t="s">
        <v>40</v>
      </c>
      <c r="C414" s="9" t="n">
        <v>6</v>
      </c>
      <c r="D414" s="10" t="n">
        <v>3.39</v>
      </c>
      <c r="E414" s="10" t="n">
        <f aca="false">C414*D414</f>
        <v>20.34</v>
      </c>
    </row>
    <row r="415" customFormat="false" ht="15" hidden="false" customHeight="false" outlineLevel="0" collapsed="false">
      <c r="A415" s="9" t="s">
        <v>364</v>
      </c>
      <c r="B415" s="9" t="s">
        <v>94</v>
      </c>
      <c r="C415" s="9" t="n">
        <v>6</v>
      </c>
      <c r="D415" s="10" t="n">
        <v>2.55</v>
      </c>
      <c r="E415" s="10" t="n">
        <f aca="false">C415*D415</f>
        <v>15.3</v>
      </c>
    </row>
    <row r="416" customFormat="false" ht="15" hidden="false" customHeight="false" outlineLevel="0" collapsed="false">
      <c r="A416" s="9" t="s">
        <v>364</v>
      </c>
      <c r="B416" s="9" t="s">
        <v>91</v>
      </c>
      <c r="C416" s="9" t="n">
        <v>6</v>
      </c>
      <c r="D416" s="10" t="n">
        <v>2.1</v>
      </c>
      <c r="E416" s="10" t="n">
        <f aca="false">C416*D416</f>
        <v>12.6</v>
      </c>
    </row>
    <row r="417" customFormat="false" ht="15" hidden="false" customHeight="false" outlineLevel="0" collapsed="false">
      <c r="A417" s="9" t="s">
        <v>364</v>
      </c>
      <c r="B417" s="9" t="s">
        <v>93</v>
      </c>
      <c r="C417" s="9" t="n">
        <v>4</v>
      </c>
      <c r="D417" s="10" t="n">
        <v>4.95</v>
      </c>
      <c r="E417" s="10" t="n">
        <f aca="false">C417*D417</f>
        <v>19.8</v>
      </c>
    </row>
    <row r="418" customFormat="false" ht="15" hidden="false" customHeight="false" outlineLevel="0" collapsed="false">
      <c r="A418" s="9" t="s">
        <v>364</v>
      </c>
      <c r="B418" s="9" t="s">
        <v>42</v>
      </c>
      <c r="C418" s="9" t="n">
        <v>2</v>
      </c>
      <c r="D418" s="10" t="n">
        <v>7.65</v>
      </c>
      <c r="E418" s="10" t="n">
        <f aca="false">C418*D418</f>
        <v>15.3</v>
      </c>
    </row>
    <row r="419" customFormat="false" ht="15" hidden="false" customHeight="false" outlineLevel="0" collapsed="false">
      <c r="A419" s="9" t="s">
        <v>364</v>
      </c>
      <c r="B419" s="9" t="s">
        <v>95</v>
      </c>
      <c r="C419" s="9" t="n">
        <v>6</v>
      </c>
      <c r="D419" s="10" t="n">
        <v>1.06</v>
      </c>
      <c r="E419" s="10" t="n">
        <f aca="false">C419*D419</f>
        <v>6.36</v>
      </c>
    </row>
    <row r="420" customFormat="false" ht="15" hidden="false" customHeight="false" outlineLevel="0" collapsed="false">
      <c r="A420" s="9" t="s">
        <v>364</v>
      </c>
      <c r="B420" s="9" t="s">
        <v>96</v>
      </c>
      <c r="C420" s="9" t="n">
        <v>6</v>
      </c>
      <c r="D420" s="10" t="n">
        <v>1.06</v>
      </c>
      <c r="E420" s="10" t="n">
        <f aca="false">C420*D420</f>
        <v>6.36</v>
      </c>
    </row>
    <row r="421" customFormat="false" ht="15" hidden="false" customHeight="false" outlineLevel="0" collapsed="false">
      <c r="A421" s="9" t="s">
        <v>364</v>
      </c>
      <c r="B421" s="9" t="s">
        <v>97</v>
      </c>
      <c r="C421" s="9" t="n">
        <v>6</v>
      </c>
      <c r="D421" s="10" t="n">
        <v>1.06</v>
      </c>
      <c r="E421" s="10" t="n">
        <f aca="false">C421*D421</f>
        <v>6.36</v>
      </c>
    </row>
    <row r="422" customFormat="false" ht="15" hidden="false" customHeight="false" outlineLevel="0" collapsed="false">
      <c r="A422" s="9" t="s">
        <v>364</v>
      </c>
      <c r="B422" s="9" t="s">
        <v>98</v>
      </c>
      <c r="C422" s="9" t="n">
        <v>6</v>
      </c>
      <c r="D422" s="10" t="n">
        <v>4.95</v>
      </c>
      <c r="E422" s="10" t="n">
        <f aca="false">C422*D422</f>
        <v>29.7</v>
      </c>
    </row>
    <row r="423" customFormat="false" ht="15" hidden="false" customHeight="false" outlineLevel="0" collapsed="false">
      <c r="A423" s="9" t="s">
        <v>364</v>
      </c>
      <c r="B423" s="9" t="s">
        <v>39</v>
      </c>
      <c r="C423" s="9" t="n">
        <v>8</v>
      </c>
      <c r="D423" s="10" t="n">
        <v>2.75</v>
      </c>
      <c r="E423" s="10" t="n">
        <f aca="false">C423*D423</f>
        <v>22</v>
      </c>
    </row>
    <row r="424" customFormat="false" ht="15" hidden="false" customHeight="false" outlineLevel="0" collapsed="false">
      <c r="A424" s="9" t="s">
        <v>364</v>
      </c>
      <c r="B424" s="9" t="s">
        <v>99</v>
      </c>
      <c r="C424" s="9" t="n">
        <v>6</v>
      </c>
      <c r="D424" s="10" t="n">
        <v>1.06</v>
      </c>
      <c r="E424" s="10" t="n">
        <f aca="false">C424*D424</f>
        <v>6.36</v>
      </c>
    </row>
    <row r="425" customFormat="false" ht="15" hidden="false" customHeight="false" outlineLevel="0" collapsed="false">
      <c r="A425" s="9" t="s">
        <v>364</v>
      </c>
      <c r="B425" s="9" t="s">
        <v>38</v>
      </c>
      <c r="C425" s="9" t="n">
        <v>8</v>
      </c>
      <c r="D425" s="10" t="n">
        <v>3.39</v>
      </c>
      <c r="E425" s="10" t="n">
        <f aca="false">C425*D425</f>
        <v>27.12</v>
      </c>
    </row>
    <row r="426" customFormat="false" ht="15" hidden="false" customHeight="false" outlineLevel="0" collapsed="false">
      <c r="A426" s="9" t="s">
        <v>364</v>
      </c>
      <c r="B426" s="9" t="s">
        <v>37</v>
      </c>
      <c r="C426" s="9" t="n">
        <v>8</v>
      </c>
      <c r="D426" s="10" t="n">
        <v>2.55</v>
      </c>
      <c r="E426" s="10" t="n">
        <f aca="false">C426*D426</f>
        <v>20.4</v>
      </c>
    </row>
    <row r="427" customFormat="false" ht="15" hidden="false" customHeight="false" outlineLevel="0" collapsed="false">
      <c r="A427" s="9" t="s">
        <v>365</v>
      </c>
      <c r="B427" s="9" t="s">
        <v>45</v>
      </c>
      <c r="C427" s="9" t="n">
        <v>6</v>
      </c>
      <c r="D427" s="10" t="n">
        <v>1.85</v>
      </c>
      <c r="E427" s="10" t="n">
        <f aca="false">C427*D427</f>
        <v>11.1</v>
      </c>
    </row>
    <row r="428" customFormat="false" ht="15" hidden="false" customHeight="false" outlineLevel="0" collapsed="false">
      <c r="A428" s="9" t="s">
        <v>365</v>
      </c>
      <c r="B428" s="9" t="s">
        <v>46</v>
      </c>
      <c r="C428" s="9" t="n">
        <v>6</v>
      </c>
      <c r="D428" s="10" t="n">
        <v>1.85</v>
      </c>
      <c r="E428" s="10" t="n">
        <f aca="false">C428*D428</f>
        <v>11.1</v>
      </c>
    </row>
    <row r="429" customFormat="false" ht="15" hidden="false" customHeight="false" outlineLevel="0" collapsed="false">
      <c r="A429" s="9" t="s">
        <v>366</v>
      </c>
      <c r="B429" s="9" t="s">
        <v>367</v>
      </c>
      <c r="C429" s="9" t="n">
        <v>12</v>
      </c>
      <c r="D429" s="10" t="n">
        <v>1.45</v>
      </c>
      <c r="E429" s="10" t="n">
        <f aca="false">C429*D429</f>
        <v>17.4</v>
      </c>
    </row>
    <row r="430" customFormat="false" ht="15" hidden="false" customHeight="false" outlineLevel="0" collapsed="false">
      <c r="A430" s="9" t="s">
        <v>366</v>
      </c>
      <c r="B430" s="9" t="s">
        <v>368</v>
      </c>
      <c r="C430" s="9" t="n">
        <v>36</v>
      </c>
      <c r="D430" s="10" t="n">
        <v>0.85</v>
      </c>
      <c r="E430" s="10" t="n">
        <f aca="false">C430*D430</f>
        <v>30.6</v>
      </c>
    </row>
    <row r="431" customFormat="false" ht="15" hidden="false" customHeight="false" outlineLevel="0" collapsed="false">
      <c r="A431" s="9" t="s">
        <v>366</v>
      </c>
      <c r="B431" s="9" t="s">
        <v>369</v>
      </c>
      <c r="C431" s="9" t="n">
        <v>12</v>
      </c>
      <c r="D431" s="10" t="n">
        <v>0.42</v>
      </c>
      <c r="E431" s="10" t="n">
        <f aca="false">C431*D431</f>
        <v>5.04</v>
      </c>
    </row>
    <row r="432" customFormat="false" ht="15" hidden="false" customHeight="false" outlineLevel="0" collapsed="false">
      <c r="A432" s="9" t="s">
        <v>366</v>
      </c>
      <c r="B432" s="9" t="s">
        <v>370</v>
      </c>
      <c r="C432" s="9" t="n">
        <v>25</v>
      </c>
      <c r="D432" s="10" t="n">
        <v>0.42</v>
      </c>
      <c r="E432" s="10" t="n">
        <f aca="false">C432*D432</f>
        <v>10.5</v>
      </c>
    </row>
    <row r="433" customFormat="false" ht="15" hidden="false" customHeight="false" outlineLevel="0" collapsed="false">
      <c r="A433" s="9" t="s">
        <v>366</v>
      </c>
      <c r="B433" s="9" t="s">
        <v>371</v>
      </c>
      <c r="C433" s="9" t="n">
        <v>4</v>
      </c>
      <c r="D433" s="10" t="n">
        <v>4.25</v>
      </c>
      <c r="E433" s="10" t="n">
        <f aca="false">C433*D433</f>
        <v>17</v>
      </c>
    </row>
    <row r="434" customFormat="false" ht="15" hidden="false" customHeight="false" outlineLevel="0" collapsed="false">
      <c r="A434" s="9" t="s">
        <v>366</v>
      </c>
      <c r="B434" s="9" t="s">
        <v>312</v>
      </c>
      <c r="C434" s="9" t="n">
        <v>8</v>
      </c>
      <c r="D434" s="10" t="n">
        <v>2.95</v>
      </c>
      <c r="E434" s="10" t="n">
        <f aca="false">C434*D434</f>
        <v>23.6</v>
      </c>
    </row>
    <row r="435" customFormat="false" ht="15" hidden="false" customHeight="false" outlineLevel="0" collapsed="false">
      <c r="A435" s="9" t="s">
        <v>366</v>
      </c>
      <c r="B435" s="9" t="s">
        <v>220</v>
      </c>
      <c r="C435" s="9" t="n">
        <v>3</v>
      </c>
      <c r="D435" s="10" t="n">
        <v>5.95</v>
      </c>
      <c r="E435" s="10" t="n">
        <f aca="false">C435*D435</f>
        <v>17.85</v>
      </c>
    </row>
    <row r="436" customFormat="false" ht="15" hidden="false" customHeight="false" outlineLevel="0" collapsed="false">
      <c r="A436" s="9" t="s">
        <v>366</v>
      </c>
      <c r="B436" s="9" t="s">
        <v>122</v>
      </c>
      <c r="C436" s="9" t="n">
        <v>6</v>
      </c>
      <c r="D436" s="10" t="n">
        <v>3.75</v>
      </c>
      <c r="E436" s="10" t="n">
        <f aca="false">C436*D436</f>
        <v>22.5</v>
      </c>
    </row>
    <row r="437" customFormat="false" ht="15" hidden="false" customHeight="false" outlineLevel="0" collapsed="false">
      <c r="A437" s="9" t="s">
        <v>366</v>
      </c>
      <c r="B437" s="9" t="s">
        <v>116</v>
      </c>
      <c r="C437" s="9" t="n">
        <v>24</v>
      </c>
      <c r="D437" s="10" t="n">
        <v>0.55</v>
      </c>
      <c r="E437" s="10" t="n">
        <f aca="false">C437*D437</f>
        <v>13.2</v>
      </c>
    </row>
    <row r="438" customFormat="false" ht="15" hidden="false" customHeight="false" outlineLevel="0" collapsed="false">
      <c r="A438" s="9" t="s">
        <v>366</v>
      </c>
      <c r="B438" s="9" t="s">
        <v>62</v>
      </c>
      <c r="C438" s="9" t="n">
        <v>3</v>
      </c>
      <c r="D438" s="10" t="n">
        <v>4.95</v>
      </c>
      <c r="E438" s="10" t="n">
        <f aca="false">C438*D438</f>
        <v>14.85</v>
      </c>
    </row>
    <row r="439" customFormat="false" ht="15" hidden="false" customHeight="false" outlineLevel="0" collapsed="false">
      <c r="A439" s="9" t="s">
        <v>366</v>
      </c>
      <c r="B439" s="9" t="s">
        <v>372</v>
      </c>
      <c r="C439" s="9" t="n">
        <v>12</v>
      </c>
      <c r="D439" s="10" t="n">
        <v>1.95</v>
      </c>
      <c r="E439" s="10" t="n">
        <f aca="false">C439*D439</f>
        <v>23.4</v>
      </c>
    </row>
    <row r="440" customFormat="false" ht="15" hidden="false" customHeight="false" outlineLevel="0" collapsed="false">
      <c r="A440" s="9" t="s">
        <v>366</v>
      </c>
      <c r="B440" s="9" t="s">
        <v>373</v>
      </c>
      <c r="C440" s="9" t="n">
        <v>30</v>
      </c>
      <c r="D440" s="10" t="n">
        <v>0.21</v>
      </c>
      <c r="E440" s="10" t="n">
        <f aca="false">C440*D440</f>
        <v>6.3</v>
      </c>
    </row>
    <row r="441" customFormat="false" ht="15" hidden="false" customHeight="false" outlineLevel="0" collapsed="false">
      <c r="A441" s="9" t="s">
        <v>366</v>
      </c>
      <c r="B441" s="9" t="s">
        <v>374</v>
      </c>
      <c r="C441" s="9" t="n">
        <v>12</v>
      </c>
      <c r="D441" s="10" t="n">
        <v>0.42</v>
      </c>
      <c r="E441" s="10" t="n">
        <f aca="false">C441*D441</f>
        <v>5.04</v>
      </c>
    </row>
    <row r="442" customFormat="false" ht="15" hidden="false" customHeight="false" outlineLevel="0" collapsed="false">
      <c r="A442" s="9" t="s">
        <v>366</v>
      </c>
      <c r="B442" s="9" t="s">
        <v>50</v>
      </c>
      <c r="C442" s="9" t="n">
        <v>3</v>
      </c>
      <c r="D442" s="10" t="n">
        <v>5.95</v>
      </c>
      <c r="E442" s="10" t="n">
        <f aca="false">C442*D442</f>
        <v>17.85</v>
      </c>
    </row>
    <row r="443" customFormat="false" ht="15" hidden="false" customHeight="false" outlineLevel="0" collapsed="false">
      <c r="A443" s="9" t="s">
        <v>366</v>
      </c>
      <c r="B443" s="9" t="s">
        <v>375</v>
      </c>
      <c r="C443" s="9" t="n">
        <v>6</v>
      </c>
      <c r="D443" s="10" t="n">
        <v>2.55</v>
      </c>
      <c r="E443" s="10" t="n">
        <f aca="false">C443*D443</f>
        <v>15.3</v>
      </c>
    </row>
    <row r="444" customFormat="false" ht="15" hidden="false" customHeight="false" outlineLevel="0" collapsed="false">
      <c r="A444" s="9" t="s">
        <v>366</v>
      </c>
      <c r="B444" s="9" t="s">
        <v>284</v>
      </c>
      <c r="C444" s="9" t="n">
        <v>12</v>
      </c>
      <c r="D444" s="10" t="n">
        <v>2.55</v>
      </c>
      <c r="E444" s="10" t="n">
        <f aca="false">C444*D444</f>
        <v>30.6</v>
      </c>
    </row>
    <row r="445" customFormat="false" ht="15" hidden="false" customHeight="false" outlineLevel="0" collapsed="false">
      <c r="A445" s="9" t="s">
        <v>366</v>
      </c>
      <c r="B445" s="9" t="s">
        <v>376</v>
      </c>
      <c r="C445" s="9" t="n">
        <v>10</v>
      </c>
      <c r="D445" s="10" t="n">
        <v>1.65</v>
      </c>
      <c r="E445" s="10" t="n">
        <f aca="false">C445*D445</f>
        <v>16.5</v>
      </c>
    </row>
    <row r="446" customFormat="false" ht="15" hidden="false" customHeight="false" outlineLevel="0" collapsed="false">
      <c r="A446" s="9" t="s">
        <v>366</v>
      </c>
      <c r="B446" s="9" t="s">
        <v>69</v>
      </c>
      <c r="C446" s="9" t="n">
        <v>36</v>
      </c>
      <c r="D446" s="10" t="n">
        <v>0.65</v>
      </c>
      <c r="E446" s="10" t="n">
        <f aca="false">C446*D446</f>
        <v>23.4</v>
      </c>
    </row>
    <row r="447" customFormat="false" ht="15" hidden="false" customHeight="false" outlineLevel="0" collapsed="false">
      <c r="A447" s="9" t="s">
        <v>366</v>
      </c>
      <c r="B447" s="9" t="s">
        <v>377</v>
      </c>
      <c r="C447" s="9" t="n">
        <v>12</v>
      </c>
      <c r="D447" s="10" t="n">
        <v>1.25</v>
      </c>
      <c r="E447" s="10" t="n">
        <f aca="false">C447*D447</f>
        <v>15</v>
      </c>
    </row>
    <row r="448" customFormat="false" ht="15" hidden="false" customHeight="false" outlineLevel="0" collapsed="false">
      <c r="A448" s="9" t="s">
        <v>366</v>
      </c>
      <c r="B448" s="9" t="s">
        <v>244</v>
      </c>
      <c r="C448" s="9" t="n">
        <v>4</v>
      </c>
      <c r="D448" s="10" t="n">
        <v>3.75</v>
      </c>
      <c r="E448" s="10" t="n">
        <f aca="false">C448*D448</f>
        <v>15</v>
      </c>
    </row>
    <row r="449" customFormat="false" ht="15" hidden="false" customHeight="false" outlineLevel="0" collapsed="false">
      <c r="A449" s="9" t="s">
        <v>366</v>
      </c>
      <c r="B449" s="9" t="s">
        <v>378</v>
      </c>
      <c r="C449" s="9" t="n">
        <v>12</v>
      </c>
      <c r="D449" s="10" t="n">
        <v>1.65</v>
      </c>
      <c r="E449" s="10" t="n">
        <f aca="false">C449*D449</f>
        <v>19.8</v>
      </c>
    </row>
    <row r="450" customFormat="false" ht="15" hidden="false" customHeight="false" outlineLevel="0" collapsed="false">
      <c r="A450" s="9" t="s">
        <v>366</v>
      </c>
      <c r="B450" s="9" t="s">
        <v>379</v>
      </c>
      <c r="C450" s="9" t="n">
        <v>12</v>
      </c>
      <c r="D450" s="10" t="n">
        <v>1.65</v>
      </c>
      <c r="E450" s="10" t="n">
        <f aca="false">C450*D450</f>
        <v>19.8</v>
      </c>
    </row>
    <row r="451" customFormat="false" ht="15" hidden="false" customHeight="false" outlineLevel="0" collapsed="false">
      <c r="A451" s="9" t="s">
        <v>366</v>
      </c>
      <c r="B451" s="9" t="s">
        <v>53</v>
      </c>
      <c r="C451" s="9" t="n">
        <v>3</v>
      </c>
      <c r="D451" s="10" t="n">
        <v>5.95</v>
      </c>
      <c r="E451" s="10" t="n">
        <f aca="false">C451*D451</f>
        <v>17.85</v>
      </c>
    </row>
    <row r="452" customFormat="false" ht="15" hidden="false" customHeight="false" outlineLevel="0" collapsed="false">
      <c r="A452" s="9" t="s">
        <v>366</v>
      </c>
      <c r="B452" s="9" t="s">
        <v>216</v>
      </c>
      <c r="C452" s="9" t="n">
        <v>3</v>
      </c>
      <c r="D452" s="10" t="n">
        <v>5.95</v>
      </c>
      <c r="E452" s="10" t="n">
        <f aca="false">C452*D452</f>
        <v>17.85</v>
      </c>
    </row>
    <row r="453" customFormat="false" ht="15" hidden="false" customHeight="false" outlineLevel="0" collapsed="false">
      <c r="A453" s="9" t="s">
        <v>366</v>
      </c>
      <c r="B453" s="9" t="s">
        <v>380</v>
      </c>
      <c r="C453" s="9" t="n">
        <v>12</v>
      </c>
      <c r="D453" s="10" t="n">
        <v>0.85</v>
      </c>
      <c r="E453" s="10" t="n">
        <f aca="false">C453*D453</f>
        <v>10.2</v>
      </c>
    </row>
    <row r="454" customFormat="false" ht="15" hidden="false" customHeight="false" outlineLevel="0" collapsed="false">
      <c r="A454" s="9" t="s">
        <v>366</v>
      </c>
      <c r="B454" s="9" t="s">
        <v>59</v>
      </c>
      <c r="C454" s="9" t="n">
        <v>8</v>
      </c>
      <c r="D454" s="10" t="n">
        <v>1.69</v>
      </c>
      <c r="E454" s="10" t="n">
        <f aca="false">C454*D454</f>
        <v>13.52</v>
      </c>
    </row>
    <row r="455" customFormat="false" ht="15" hidden="false" customHeight="false" outlineLevel="0" collapsed="false">
      <c r="A455" s="9" t="s">
        <v>366</v>
      </c>
      <c r="B455" s="9" t="s">
        <v>381</v>
      </c>
      <c r="C455" s="9" t="n">
        <v>24</v>
      </c>
      <c r="D455" s="10" t="n">
        <v>0.42</v>
      </c>
      <c r="E455" s="10" t="n">
        <f aca="false">C455*D455</f>
        <v>10.08</v>
      </c>
    </row>
    <row r="456" customFormat="false" ht="15" hidden="false" customHeight="false" outlineLevel="0" collapsed="false">
      <c r="A456" s="9" t="s">
        <v>366</v>
      </c>
      <c r="B456" s="9" t="s">
        <v>382</v>
      </c>
      <c r="C456" s="9" t="n">
        <v>24</v>
      </c>
      <c r="D456" s="10" t="n">
        <v>0.42</v>
      </c>
      <c r="E456" s="10" t="n">
        <f aca="false">C456*D456</f>
        <v>10.08</v>
      </c>
    </row>
    <row r="457" customFormat="false" ht="15" hidden="false" customHeight="false" outlineLevel="0" collapsed="false">
      <c r="A457" s="9" t="s">
        <v>366</v>
      </c>
      <c r="B457" s="9" t="s">
        <v>383</v>
      </c>
      <c r="C457" s="9" t="n">
        <v>12</v>
      </c>
      <c r="D457" s="10" t="n">
        <v>0.85</v>
      </c>
      <c r="E457" s="10" t="n">
        <f aca="false">C457*D457</f>
        <v>10.2</v>
      </c>
    </row>
    <row r="458" customFormat="false" ht="15" hidden="false" customHeight="false" outlineLevel="0" collapsed="false">
      <c r="A458" s="9" t="s">
        <v>366</v>
      </c>
      <c r="B458" s="9" t="s">
        <v>169</v>
      </c>
      <c r="C458" s="9" t="n">
        <v>12</v>
      </c>
      <c r="D458" s="10" t="n">
        <v>1.65</v>
      </c>
      <c r="E458" s="10" t="n">
        <f aca="false">C458*D458</f>
        <v>19.8</v>
      </c>
    </row>
    <row r="459" customFormat="false" ht="15" hidden="false" customHeight="false" outlineLevel="0" collapsed="false">
      <c r="A459" s="9" t="s">
        <v>366</v>
      </c>
      <c r="B459" s="9" t="s">
        <v>384</v>
      </c>
      <c r="C459" s="9" t="n">
        <v>12</v>
      </c>
      <c r="D459" s="10" t="n">
        <v>1.25</v>
      </c>
      <c r="E459" s="10" t="n">
        <f aca="false">C459*D459</f>
        <v>15</v>
      </c>
    </row>
    <row r="460" customFormat="false" ht="15" hidden="false" customHeight="false" outlineLevel="0" collapsed="false">
      <c r="A460" s="9" t="s">
        <v>366</v>
      </c>
      <c r="B460" s="9" t="s">
        <v>385</v>
      </c>
      <c r="C460" s="9" t="n">
        <v>12</v>
      </c>
      <c r="D460" s="10" t="n">
        <v>0.85</v>
      </c>
      <c r="E460" s="10" t="n">
        <f aca="false">C460*D460</f>
        <v>10.2</v>
      </c>
    </row>
    <row r="461" customFormat="false" ht="15" hidden="false" customHeight="false" outlineLevel="0" collapsed="false">
      <c r="A461" s="9" t="s">
        <v>366</v>
      </c>
      <c r="B461" s="9" t="s">
        <v>386</v>
      </c>
      <c r="C461" s="9" t="n">
        <v>12</v>
      </c>
      <c r="D461" s="10" t="n">
        <v>1.95</v>
      </c>
      <c r="E461" s="10" t="n">
        <f aca="false">C461*D461</f>
        <v>23.4</v>
      </c>
    </row>
    <row r="462" customFormat="false" ht="15" hidden="false" customHeight="false" outlineLevel="0" collapsed="false">
      <c r="A462" s="9" t="s">
        <v>366</v>
      </c>
      <c r="B462" s="9" t="s">
        <v>105</v>
      </c>
      <c r="C462" s="9" t="n">
        <v>4</v>
      </c>
      <c r="D462" s="10" t="n">
        <v>3.95</v>
      </c>
      <c r="E462" s="10" t="n">
        <f aca="false">C462*D462</f>
        <v>15.8</v>
      </c>
    </row>
    <row r="463" customFormat="false" ht="15" hidden="false" customHeight="false" outlineLevel="0" collapsed="false">
      <c r="A463" s="9" t="s">
        <v>366</v>
      </c>
      <c r="B463" s="9" t="s">
        <v>41</v>
      </c>
      <c r="C463" s="9" t="n">
        <v>4</v>
      </c>
      <c r="D463" s="10" t="n">
        <v>3.75</v>
      </c>
      <c r="E463" s="10" t="n">
        <f aca="false">C463*D463</f>
        <v>15</v>
      </c>
    </row>
    <row r="464" customFormat="false" ht="15" hidden="false" customHeight="false" outlineLevel="0" collapsed="false">
      <c r="A464" s="9" t="s">
        <v>366</v>
      </c>
      <c r="B464" s="9" t="s">
        <v>269</v>
      </c>
      <c r="C464" s="9" t="n">
        <v>4</v>
      </c>
      <c r="D464" s="10" t="n">
        <v>3.75</v>
      </c>
      <c r="E464" s="10" t="n">
        <f aca="false">C464*D464</f>
        <v>15</v>
      </c>
    </row>
    <row r="465" customFormat="false" ht="15" hidden="false" customHeight="false" outlineLevel="0" collapsed="false">
      <c r="A465" s="9" t="s">
        <v>366</v>
      </c>
      <c r="B465" s="9" t="s">
        <v>387</v>
      </c>
      <c r="C465" s="9" t="n">
        <v>12</v>
      </c>
      <c r="D465" s="10" t="n">
        <v>1.25</v>
      </c>
      <c r="E465" s="10" t="n">
        <f aca="false">C465*D465</f>
        <v>15</v>
      </c>
    </row>
    <row r="466" customFormat="false" ht="15" hidden="false" customHeight="false" outlineLevel="0" collapsed="false">
      <c r="A466" s="9" t="s">
        <v>366</v>
      </c>
      <c r="B466" s="9" t="s">
        <v>388</v>
      </c>
      <c r="C466" s="9" t="n">
        <v>12</v>
      </c>
      <c r="D466" s="10" t="n">
        <v>2.1</v>
      </c>
      <c r="E466" s="10" t="n">
        <f aca="false">C466*D466</f>
        <v>25.2</v>
      </c>
    </row>
    <row r="467" customFormat="false" ht="15" hidden="false" customHeight="false" outlineLevel="0" collapsed="false">
      <c r="A467" s="9" t="s">
        <v>366</v>
      </c>
      <c r="B467" s="9" t="s">
        <v>348</v>
      </c>
      <c r="C467" s="9" t="n">
        <v>6</v>
      </c>
      <c r="D467" s="10" t="n">
        <v>2.1</v>
      </c>
      <c r="E467" s="10" t="n">
        <f aca="false">C467*D467</f>
        <v>12.6</v>
      </c>
    </row>
    <row r="468" customFormat="false" ht="15" hidden="false" customHeight="false" outlineLevel="0" collapsed="false">
      <c r="A468" s="9" t="s">
        <v>366</v>
      </c>
      <c r="B468" s="9" t="s">
        <v>389</v>
      </c>
      <c r="C468" s="9" t="n">
        <v>2</v>
      </c>
      <c r="D468" s="10" t="n">
        <v>7.95</v>
      </c>
      <c r="E468" s="10" t="n">
        <f aca="false">C468*D468</f>
        <v>15.9</v>
      </c>
    </row>
    <row r="469" customFormat="false" ht="15" hidden="false" customHeight="false" outlineLevel="0" collapsed="false">
      <c r="A469" s="9" t="s">
        <v>366</v>
      </c>
      <c r="B469" s="9" t="s">
        <v>390</v>
      </c>
      <c r="C469" s="9" t="n">
        <v>2</v>
      </c>
      <c r="D469" s="10" t="n">
        <v>7.95</v>
      </c>
      <c r="E469" s="10" t="n">
        <f aca="false">C469*D469</f>
        <v>15.9</v>
      </c>
    </row>
    <row r="470" customFormat="false" ht="15" hidden="false" customHeight="false" outlineLevel="0" collapsed="false">
      <c r="A470" s="9" t="s">
        <v>366</v>
      </c>
      <c r="B470" s="9" t="s">
        <v>391</v>
      </c>
      <c r="C470" s="9" t="n">
        <v>6</v>
      </c>
      <c r="D470" s="10" t="n">
        <v>1.65</v>
      </c>
      <c r="E470" s="10" t="n">
        <f aca="false">C470*D470</f>
        <v>9.9</v>
      </c>
    </row>
    <row r="471" customFormat="false" ht="15" hidden="false" customHeight="false" outlineLevel="0" collapsed="false">
      <c r="A471" s="9" t="s">
        <v>366</v>
      </c>
      <c r="B471" s="9" t="s">
        <v>392</v>
      </c>
      <c r="C471" s="9" t="n">
        <v>12</v>
      </c>
      <c r="D471" s="10" t="n">
        <v>1.65</v>
      </c>
      <c r="E471" s="10" t="n">
        <f aca="false">C471*D471</f>
        <v>19.8</v>
      </c>
    </row>
    <row r="472" customFormat="false" ht="15" hidden="false" customHeight="false" outlineLevel="0" collapsed="false">
      <c r="A472" s="9" t="s">
        <v>366</v>
      </c>
      <c r="B472" s="9" t="s">
        <v>393</v>
      </c>
      <c r="C472" s="9" t="n">
        <v>12</v>
      </c>
      <c r="D472" s="10" t="n">
        <v>1.65</v>
      </c>
      <c r="E472" s="10" t="n">
        <f aca="false">C472*D472</f>
        <v>19.8</v>
      </c>
    </row>
    <row r="473" customFormat="false" ht="15" hidden="false" customHeight="false" outlineLevel="0" collapsed="false">
      <c r="A473" s="9" t="s">
        <v>366</v>
      </c>
      <c r="B473" s="9" t="s">
        <v>394</v>
      </c>
      <c r="C473" s="9" t="n">
        <v>12</v>
      </c>
      <c r="D473" s="10" t="n">
        <v>0.95</v>
      </c>
      <c r="E473" s="10" t="n">
        <f aca="false">C473*D473</f>
        <v>11.4</v>
      </c>
    </row>
    <row r="474" customFormat="false" ht="15" hidden="false" customHeight="false" outlineLevel="0" collapsed="false">
      <c r="A474" s="9" t="s">
        <v>366</v>
      </c>
      <c r="B474" s="9" t="s">
        <v>395</v>
      </c>
      <c r="C474" s="9" t="n">
        <v>12</v>
      </c>
      <c r="D474" s="10" t="n">
        <v>1.25</v>
      </c>
      <c r="E474" s="10" t="n">
        <f aca="false">C474*D474</f>
        <v>15</v>
      </c>
    </row>
    <row r="475" customFormat="false" ht="15" hidden="false" customHeight="false" outlineLevel="0" collapsed="false">
      <c r="A475" s="9" t="s">
        <v>366</v>
      </c>
      <c r="B475" s="9" t="s">
        <v>396</v>
      </c>
      <c r="C475" s="9" t="n">
        <v>24</v>
      </c>
      <c r="D475" s="10" t="n">
        <v>0.85</v>
      </c>
      <c r="E475" s="10" t="n">
        <f aca="false">C475*D475</f>
        <v>20.4</v>
      </c>
    </row>
    <row r="476" customFormat="false" ht="15" hidden="false" customHeight="false" outlineLevel="0" collapsed="false">
      <c r="A476" s="9" t="s">
        <v>366</v>
      </c>
      <c r="B476" s="9" t="s">
        <v>104</v>
      </c>
      <c r="C476" s="9" t="n">
        <v>6</v>
      </c>
      <c r="D476" s="10" t="n">
        <v>2.95</v>
      </c>
      <c r="E476" s="10" t="n">
        <f aca="false">C476*D476</f>
        <v>17.7</v>
      </c>
    </row>
    <row r="477" customFormat="false" ht="15" hidden="false" customHeight="false" outlineLevel="0" collapsed="false">
      <c r="A477" s="9" t="s">
        <v>397</v>
      </c>
      <c r="B477" s="9" t="s">
        <v>287</v>
      </c>
      <c r="C477" s="9" t="n">
        <v>2</v>
      </c>
      <c r="D477" s="10" t="n">
        <v>1.25</v>
      </c>
      <c r="E477" s="10" t="n">
        <f aca="false">C477*D477</f>
        <v>2.5</v>
      </c>
    </row>
    <row r="478" customFormat="false" ht="15" hidden="false" customHeight="false" outlineLevel="0" collapsed="false">
      <c r="A478" s="9" t="s">
        <v>397</v>
      </c>
      <c r="B478" s="9" t="s">
        <v>398</v>
      </c>
      <c r="C478" s="9" t="n">
        <v>28</v>
      </c>
      <c r="D478" s="10" t="n">
        <v>0.21</v>
      </c>
      <c r="E478" s="10" t="n">
        <f aca="false">C478*D478</f>
        <v>5.88</v>
      </c>
    </row>
    <row r="479" customFormat="false" ht="15" hidden="false" customHeight="false" outlineLevel="0" collapsed="false">
      <c r="A479" s="9" t="s">
        <v>397</v>
      </c>
      <c r="B479" s="9" t="s">
        <v>270</v>
      </c>
      <c r="C479" s="9" t="n">
        <v>1</v>
      </c>
      <c r="D479" s="10" t="n">
        <v>4.95</v>
      </c>
      <c r="E479" s="10" t="n">
        <f aca="false">C479*D479</f>
        <v>4.95</v>
      </c>
    </row>
    <row r="480" customFormat="false" ht="15" hidden="false" customHeight="false" outlineLevel="0" collapsed="false">
      <c r="A480" s="9" t="s">
        <v>397</v>
      </c>
      <c r="B480" s="9" t="s">
        <v>399</v>
      </c>
      <c r="C480" s="9" t="n">
        <v>1</v>
      </c>
      <c r="D480" s="10" t="n">
        <v>5.95</v>
      </c>
      <c r="E480" s="10" t="n">
        <f aca="false">C480*D480</f>
        <v>5.95</v>
      </c>
    </row>
    <row r="481" customFormat="false" ht="15" hidden="false" customHeight="false" outlineLevel="0" collapsed="false">
      <c r="A481" s="9" t="s">
        <v>397</v>
      </c>
      <c r="B481" s="9" t="s">
        <v>400</v>
      </c>
      <c r="C481" s="9" t="n">
        <v>1</v>
      </c>
      <c r="D481" s="10" t="n">
        <v>1.25</v>
      </c>
      <c r="E481" s="10" t="n">
        <f aca="false">C481*D481</f>
        <v>1.25</v>
      </c>
    </row>
    <row r="482" customFormat="false" ht="15" hidden="false" customHeight="false" outlineLevel="0" collapsed="false">
      <c r="A482" s="9" t="s">
        <v>397</v>
      </c>
      <c r="B482" s="9" t="s">
        <v>401</v>
      </c>
      <c r="C482" s="9" t="n">
        <v>1</v>
      </c>
      <c r="D482" s="10" t="n">
        <v>1.65</v>
      </c>
      <c r="E482" s="10" t="n">
        <f aca="false">C482*D482</f>
        <v>1.65</v>
      </c>
    </row>
    <row r="483" customFormat="false" ht="15" hidden="false" customHeight="false" outlineLevel="0" collapsed="false">
      <c r="A483" s="9" t="s">
        <v>397</v>
      </c>
      <c r="B483" s="9" t="s">
        <v>402</v>
      </c>
      <c r="C483" s="9" t="n">
        <v>12</v>
      </c>
      <c r="D483" s="10" t="n">
        <v>0.65</v>
      </c>
      <c r="E483" s="10" t="n">
        <f aca="false">C483*D483</f>
        <v>7.8</v>
      </c>
    </row>
    <row r="484" customFormat="false" ht="15" hidden="false" customHeight="false" outlineLevel="0" collapsed="false">
      <c r="A484" s="9" t="s">
        <v>397</v>
      </c>
      <c r="B484" s="9" t="s">
        <v>403</v>
      </c>
      <c r="C484" s="9" t="n">
        <v>1</v>
      </c>
      <c r="D484" s="10" t="n">
        <v>5.95</v>
      </c>
      <c r="E484" s="10" t="n">
        <f aca="false">C484*D484</f>
        <v>5.95</v>
      </c>
    </row>
    <row r="485" customFormat="false" ht="15" hidden="false" customHeight="false" outlineLevel="0" collapsed="false">
      <c r="A485" s="9" t="s">
        <v>397</v>
      </c>
      <c r="B485" s="9" t="s">
        <v>404</v>
      </c>
      <c r="C485" s="9" t="n">
        <v>1</v>
      </c>
      <c r="D485" s="10" t="n">
        <v>1.65</v>
      </c>
      <c r="E485" s="10" t="n">
        <f aca="false">C485*D485</f>
        <v>1.65</v>
      </c>
    </row>
    <row r="486" customFormat="false" ht="15" hidden="false" customHeight="false" outlineLevel="0" collapsed="false">
      <c r="A486" s="9" t="s">
        <v>397</v>
      </c>
      <c r="B486" s="9" t="s">
        <v>72</v>
      </c>
      <c r="C486" s="9" t="n">
        <v>1</v>
      </c>
      <c r="D486" s="10" t="n">
        <v>2.95</v>
      </c>
      <c r="E486" s="10" t="n">
        <f aca="false">C486*D486</f>
        <v>2.95</v>
      </c>
    </row>
    <row r="487" customFormat="false" ht="15" hidden="false" customHeight="false" outlineLevel="0" collapsed="false">
      <c r="A487" s="9" t="s">
        <v>397</v>
      </c>
      <c r="B487" s="9" t="s">
        <v>405</v>
      </c>
      <c r="C487" s="9" t="n">
        <v>1</v>
      </c>
      <c r="D487" s="10" t="n">
        <v>1.95</v>
      </c>
      <c r="E487" s="10" t="n">
        <f aca="false">C487*D487</f>
        <v>1.95</v>
      </c>
    </row>
    <row r="488" customFormat="false" ht="15" hidden="false" customHeight="false" outlineLevel="0" collapsed="false">
      <c r="A488" s="9" t="s">
        <v>397</v>
      </c>
      <c r="B488" s="9" t="s">
        <v>406</v>
      </c>
      <c r="C488" s="9" t="n">
        <v>1</v>
      </c>
      <c r="D488" s="10" t="n">
        <v>4.95</v>
      </c>
      <c r="E488" s="10" t="n">
        <f aca="false">C488*D488</f>
        <v>4.95</v>
      </c>
    </row>
    <row r="489" customFormat="false" ht="15" hidden="false" customHeight="false" outlineLevel="0" collapsed="false">
      <c r="A489" s="9" t="s">
        <v>397</v>
      </c>
      <c r="B489" s="9" t="s">
        <v>279</v>
      </c>
      <c r="C489" s="9" t="n">
        <v>12</v>
      </c>
      <c r="D489" s="10" t="n">
        <v>0.29</v>
      </c>
      <c r="E489" s="10" t="n">
        <f aca="false">C489*D489</f>
        <v>3.48</v>
      </c>
    </row>
    <row r="490" customFormat="false" ht="15" hidden="false" customHeight="false" outlineLevel="0" collapsed="false">
      <c r="A490" s="9" t="s">
        <v>397</v>
      </c>
      <c r="B490" s="9" t="s">
        <v>45</v>
      </c>
      <c r="C490" s="9" t="n">
        <v>1</v>
      </c>
      <c r="D490" s="10" t="n">
        <v>2.1</v>
      </c>
      <c r="E490" s="10" t="n">
        <f aca="false">C490*D490</f>
        <v>2.1</v>
      </c>
    </row>
    <row r="491" customFormat="false" ht="15" hidden="false" customHeight="false" outlineLevel="0" collapsed="false">
      <c r="A491" s="9" t="s">
        <v>397</v>
      </c>
      <c r="B491" s="9" t="s">
        <v>230</v>
      </c>
      <c r="C491" s="9" t="n">
        <v>1</v>
      </c>
      <c r="D491" s="10" t="n">
        <v>1.65</v>
      </c>
      <c r="E491" s="10" t="n">
        <f aca="false">C491*D491</f>
        <v>1.65</v>
      </c>
    </row>
    <row r="492" customFormat="false" ht="15" hidden="false" customHeight="false" outlineLevel="0" collapsed="false">
      <c r="A492" s="9" t="s">
        <v>397</v>
      </c>
      <c r="B492" s="9" t="s">
        <v>407</v>
      </c>
      <c r="C492" s="9" t="n">
        <v>3</v>
      </c>
      <c r="D492" s="10" t="n">
        <v>1.45</v>
      </c>
      <c r="E492" s="10" t="n">
        <f aca="false">C492*D492</f>
        <v>4.35</v>
      </c>
    </row>
    <row r="493" customFormat="false" ht="15" hidden="false" customHeight="false" outlineLevel="0" collapsed="false">
      <c r="A493" s="9" t="s">
        <v>397</v>
      </c>
      <c r="B493" s="9" t="s">
        <v>408</v>
      </c>
      <c r="C493" s="9" t="n">
        <v>3</v>
      </c>
      <c r="D493" s="10" t="n">
        <v>1.45</v>
      </c>
      <c r="E493" s="10" t="n">
        <f aca="false">C493*D493</f>
        <v>4.35</v>
      </c>
    </row>
    <row r="494" customFormat="false" ht="15" hidden="false" customHeight="false" outlineLevel="0" collapsed="false">
      <c r="A494" s="9" t="s">
        <v>397</v>
      </c>
      <c r="B494" s="9" t="s">
        <v>409</v>
      </c>
      <c r="C494" s="9" t="n">
        <v>6</v>
      </c>
      <c r="D494" s="10" t="n">
        <v>0.42</v>
      </c>
      <c r="E494" s="10" t="n">
        <f aca="false">C494*D494</f>
        <v>2.52</v>
      </c>
    </row>
    <row r="495" customFormat="false" ht="15" hidden="false" customHeight="false" outlineLevel="0" collapsed="false">
      <c r="A495" s="9" t="s">
        <v>397</v>
      </c>
      <c r="B495" s="9" t="s">
        <v>231</v>
      </c>
      <c r="C495" s="9" t="n">
        <v>2</v>
      </c>
      <c r="D495" s="10" t="n">
        <v>0.85</v>
      </c>
      <c r="E495" s="10" t="n">
        <f aca="false">C495*D495</f>
        <v>1.7</v>
      </c>
    </row>
    <row r="496" customFormat="false" ht="15" hidden="false" customHeight="false" outlineLevel="0" collapsed="false">
      <c r="A496" s="9" t="s">
        <v>397</v>
      </c>
      <c r="B496" s="9" t="s">
        <v>193</v>
      </c>
      <c r="C496" s="9" t="n">
        <v>2</v>
      </c>
      <c r="D496" s="10" t="n">
        <v>1.95</v>
      </c>
      <c r="E496" s="10" t="n">
        <f aca="false">C496*D496</f>
        <v>3.9</v>
      </c>
    </row>
    <row r="497" customFormat="false" ht="15" hidden="false" customHeight="false" outlineLevel="0" collapsed="false">
      <c r="A497" s="9" t="s">
        <v>397</v>
      </c>
      <c r="B497" s="9" t="s">
        <v>410</v>
      </c>
      <c r="C497" s="9" t="n">
        <v>1</v>
      </c>
      <c r="D497" s="10" t="n">
        <v>1.95</v>
      </c>
      <c r="E497" s="10" t="n">
        <f aca="false">C497*D497</f>
        <v>1.95</v>
      </c>
    </row>
    <row r="498" customFormat="false" ht="15" hidden="false" customHeight="false" outlineLevel="0" collapsed="false">
      <c r="A498" s="9" t="s">
        <v>397</v>
      </c>
      <c r="B498" s="9" t="s">
        <v>411</v>
      </c>
      <c r="C498" s="9" t="n">
        <v>1</v>
      </c>
      <c r="D498" s="10" t="n">
        <v>1.25</v>
      </c>
      <c r="E498" s="10" t="n">
        <f aca="false">C498*D498</f>
        <v>1.25</v>
      </c>
    </row>
    <row r="499" customFormat="false" ht="15" hidden="false" customHeight="false" outlineLevel="0" collapsed="false">
      <c r="A499" s="9" t="s">
        <v>397</v>
      </c>
      <c r="B499" s="9" t="s">
        <v>123</v>
      </c>
      <c r="C499" s="9" t="n">
        <v>1</v>
      </c>
      <c r="D499" s="10" t="n">
        <v>0.85</v>
      </c>
      <c r="E499" s="10" t="n">
        <f aca="false">C499*D499</f>
        <v>0.85</v>
      </c>
    </row>
    <row r="500" customFormat="false" ht="15" hidden="false" customHeight="false" outlineLevel="0" collapsed="false">
      <c r="A500" s="9" t="s">
        <v>397</v>
      </c>
      <c r="B500" s="9" t="s">
        <v>412</v>
      </c>
      <c r="C500" s="9" t="n">
        <v>12</v>
      </c>
      <c r="D500" s="10" t="n">
        <v>1.25</v>
      </c>
      <c r="E500" s="10" t="n">
        <f aca="false">C500*D500</f>
        <v>15</v>
      </c>
    </row>
    <row r="501" customFormat="false" ht="15" hidden="false" customHeight="false" outlineLevel="0" collapsed="false">
      <c r="A501" s="9" t="s">
        <v>397</v>
      </c>
      <c r="B501" s="9" t="s">
        <v>413</v>
      </c>
      <c r="C501" s="9" t="n">
        <v>2</v>
      </c>
      <c r="D501" s="10" t="n">
        <v>6.35</v>
      </c>
      <c r="E501" s="10" t="n">
        <f aca="false">C501*D501</f>
        <v>12.7</v>
      </c>
    </row>
    <row r="502" customFormat="false" ht="15" hidden="false" customHeight="false" outlineLevel="0" collapsed="false">
      <c r="A502" s="9" t="s">
        <v>397</v>
      </c>
      <c r="B502" s="9" t="s">
        <v>109</v>
      </c>
      <c r="C502" s="9" t="n">
        <v>2</v>
      </c>
      <c r="D502" s="10" t="n">
        <v>1.95</v>
      </c>
      <c r="E502" s="10" t="n">
        <f aca="false">C502*D502</f>
        <v>3.9</v>
      </c>
    </row>
    <row r="503" customFormat="false" ht="15" hidden="false" customHeight="false" outlineLevel="0" collapsed="false">
      <c r="A503" s="9" t="s">
        <v>397</v>
      </c>
      <c r="B503" s="9" t="s">
        <v>232</v>
      </c>
      <c r="C503" s="9" t="n">
        <v>24</v>
      </c>
      <c r="D503" s="10" t="n">
        <v>0.12</v>
      </c>
      <c r="E503" s="10" t="n">
        <f aca="false">C503*D503</f>
        <v>2.88</v>
      </c>
    </row>
    <row r="504" customFormat="false" ht="15" hidden="false" customHeight="false" outlineLevel="0" collapsed="false">
      <c r="A504" s="9" t="s">
        <v>397</v>
      </c>
      <c r="B504" s="9" t="s">
        <v>301</v>
      </c>
      <c r="C504" s="9" t="n">
        <v>1</v>
      </c>
      <c r="D504" s="10" t="n">
        <v>2.95</v>
      </c>
      <c r="E504" s="10" t="n">
        <f aca="false">C504*D504</f>
        <v>2.95</v>
      </c>
    </row>
    <row r="505" customFormat="false" ht="15" hidden="false" customHeight="false" outlineLevel="0" collapsed="false">
      <c r="A505" s="9" t="s">
        <v>397</v>
      </c>
      <c r="B505" s="9" t="s">
        <v>300</v>
      </c>
      <c r="C505" s="9" t="n">
        <v>3</v>
      </c>
      <c r="D505" s="10" t="n">
        <v>2.95</v>
      </c>
      <c r="E505" s="10" t="n">
        <f aca="false">C505*D505</f>
        <v>8.85</v>
      </c>
    </row>
    <row r="506" customFormat="false" ht="15" hidden="false" customHeight="false" outlineLevel="0" collapsed="false">
      <c r="A506" s="9" t="s">
        <v>397</v>
      </c>
      <c r="B506" s="9" t="s">
        <v>413</v>
      </c>
      <c r="C506" s="9" t="n">
        <v>3</v>
      </c>
      <c r="D506" s="10" t="n">
        <v>6.35</v>
      </c>
      <c r="E506" s="10" t="n">
        <f aca="false">C506*D506</f>
        <v>19.05</v>
      </c>
    </row>
    <row r="507" customFormat="false" ht="15" hidden="false" customHeight="false" outlineLevel="0" collapsed="false">
      <c r="A507" s="9" t="s">
        <v>397</v>
      </c>
      <c r="B507" s="9" t="s">
        <v>269</v>
      </c>
      <c r="C507" s="9" t="n">
        <v>1</v>
      </c>
      <c r="D507" s="10" t="n">
        <v>3.75</v>
      </c>
      <c r="E507" s="10" t="n">
        <f aca="false">C507*D507</f>
        <v>3.75</v>
      </c>
    </row>
    <row r="508" customFormat="false" ht="15" hidden="false" customHeight="false" outlineLevel="0" collapsed="false">
      <c r="A508" s="9" t="s">
        <v>397</v>
      </c>
      <c r="B508" s="9" t="s">
        <v>272</v>
      </c>
      <c r="C508" s="9" t="n">
        <v>1</v>
      </c>
      <c r="D508" s="10" t="n">
        <v>4.95</v>
      </c>
      <c r="E508" s="10" t="n">
        <f aca="false">C508*D508</f>
        <v>4.95</v>
      </c>
    </row>
    <row r="509" customFormat="false" ht="15" hidden="false" customHeight="false" outlineLevel="0" collapsed="false">
      <c r="A509" s="9" t="s">
        <v>397</v>
      </c>
      <c r="B509" s="9" t="s">
        <v>414</v>
      </c>
      <c r="C509" s="9" t="n">
        <v>1</v>
      </c>
      <c r="D509" s="10" t="n">
        <v>6.75</v>
      </c>
      <c r="E509" s="10" t="n">
        <f aca="false">C509*D509</f>
        <v>6.75</v>
      </c>
    </row>
    <row r="510" customFormat="false" ht="15" hidden="false" customHeight="false" outlineLevel="0" collapsed="false">
      <c r="A510" s="9" t="s">
        <v>397</v>
      </c>
      <c r="B510" s="9" t="s">
        <v>415</v>
      </c>
      <c r="C510" s="9" t="n">
        <v>1</v>
      </c>
      <c r="D510" s="10" t="n">
        <v>1.25</v>
      </c>
      <c r="E510" s="10" t="n">
        <f aca="false">C510*D510</f>
        <v>1.25</v>
      </c>
    </row>
    <row r="511" customFormat="false" ht="15" hidden="false" customHeight="false" outlineLevel="0" collapsed="false">
      <c r="A511" s="9" t="s">
        <v>397</v>
      </c>
      <c r="B511" s="9" t="s">
        <v>254</v>
      </c>
      <c r="C511" s="9" t="n">
        <v>1</v>
      </c>
      <c r="D511" s="10" t="n">
        <v>2.1</v>
      </c>
      <c r="E511" s="10" t="n">
        <f aca="false">C511*D511</f>
        <v>2.1</v>
      </c>
    </row>
    <row r="512" customFormat="false" ht="15" hidden="false" customHeight="false" outlineLevel="0" collapsed="false">
      <c r="A512" s="9" t="s">
        <v>397</v>
      </c>
      <c r="B512" s="9" t="s">
        <v>416</v>
      </c>
      <c r="C512" s="9" t="n">
        <v>1</v>
      </c>
      <c r="D512" s="10" t="n">
        <v>3.75</v>
      </c>
      <c r="E512" s="10" t="n">
        <f aca="false">C512*D512</f>
        <v>3.75</v>
      </c>
    </row>
    <row r="513" customFormat="false" ht="15" hidden="false" customHeight="false" outlineLevel="0" collapsed="false">
      <c r="A513" s="9" t="s">
        <v>397</v>
      </c>
      <c r="B513" s="9" t="s">
        <v>417</v>
      </c>
      <c r="C513" s="9" t="n">
        <v>1</v>
      </c>
      <c r="D513" s="10" t="n">
        <v>2.1</v>
      </c>
      <c r="E513" s="10" t="n">
        <f aca="false">C513*D513</f>
        <v>2.1</v>
      </c>
    </row>
    <row r="514" customFormat="false" ht="15" hidden="false" customHeight="false" outlineLevel="0" collapsed="false">
      <c r="A514" s="9" t="s">
        <v>397</v>
      </c>
      <c r="B514" s="9" t="s">
        <v>418</v>
      </c>
      <c r="C514" s="9" t="n">
        <v>1</v>
      </c>
      <c r="D514" s="10" t="n">
        <v>2.1</v>
      </c>
      <c r="E514" s="10" t="n">
        <f aca="false">C514*D514</f>
        <v>2.1</v>
      </c>
    </row>
    <row r="515" customFormat="false" ht="15" hidden="false" customHeight="false" outlineLevel="0" collapsed="false">
      <c r="A515" s="9" t="s">
        <v>397</v>
      </c>
      <c r="B515" s="9" t="s">
        <v>419</v>
      </c>
      <c r="C515" s="9" t="n">
        <v>1</v>
      </c>
      <c r="D515" s="10" t="n">
        <v>2.95</v>
      </c>
      <c r="E515" s="10" t="n">
        <f aca="false">C515*D515</f>
        <v>2.95</v>
      </c>
    </row>
    <row r="516" customFormat="false" ht="15" hidden="false" customHeight="false" outlineLevel="0" collapsed="false">
      <c r="A516" s="9" t="s">
        <v>397</v>
      </c>
      <c r="B516" s="9" t="s">
        <v>420</v>
      </c>
      <c r="C516" s="9" t="n">
        <v>1</v>
      </c>
      <c r="D516" s="10" t="n">
        <v>1.25</v>
      </c>
      <c r="E516" s="10" t="n">
        <f aca="false">C516*D516</f>
        <v>1.25</v>
      </c>
    </row>
    <row r="517" customFormat="false" ht="15" hidden="false" customHeight="false" outlineLevel="0" collapsed="false">
      <c r="A517" s="9" t="s">
        <v>397</v>
      </c>
      <c r="B517" s="9" t="s">
        <v>421</v>
      </c>
      <c r="C517" s="9" t="n">
        <v>1</v>
      </c>
      <c r="D517" s="10" t="n">
        <v>1.65</v>
      </c>
      <c r="E517" s="10" t="n">
        <f aca="false">C517*D517</f>
        <v>1.65</v>
      </c>
    </row>
    <row r="518" customFormat="false" ht="15" hidden="false" customHeight="false" outlineLevel="0" collapsed="false">
      <c r="A518" s="9" t="s">
        <v>397</v>
      </c>
      <c r="B518" s="9" t="s">
        <v>422</v>
      </c>
      <c r="C518" s="9" t="n">
        <v>1</v>
      </c>
      <c r="D518" s="10" t="n">
        <v>2.95</v>
      </c>
      <c r="E518" s="10" t="n">
        <f aca="false">C518*D518</f>
        <v>2.95</v>
      </c>
    </row>
    <row r="519" customFormat="false" ht="15" hidden="false" customHeight="false" outlineLevel="0" collapsed="false">
      <c r="A519" s="9" t="s">
        <v>397</v>
      </c>
      <c r="B519" s="9" t="s">
        <v>423</v>
      </c>
      <c r="C519" s="9" t="n">
        <v>1</v>
      </c>
      <c r="D519" s="10" t="n">
        <v>1.25</v>
      </c>
      <c r="E519" s="10" t="n">
        <f aca="false">C519*D519</f>
        <v>1.25</v>
      </c>
    </row>
    <row r="520" customFormat="false" ht="15" hidden="false" customHeight="false" outlineLevel="0" collapsed="false">
      <c r="A520" s="9" t="s">
        <v>397</v>
      </c>
      <c r="B520" s="9" t="s">
        <v>424</v>
      </c>
      <c r="C520" s="9" t="n">
        <v>6</v>
      </c>
      <c r="D520" s="10" t="n">
        <v>0.85</v>
      </c>
      <c r="E520" s="10" t="n">
        <f aca="false">C520*D520</f>
        <v>5.1</v>
      </c>
    </row>
    <row r="521" customFormat="false" ht="15" hidden="false" customHeight="false" outlineLevel="0" collapsed="false">
      <c r="A521" s="9" t="s">
        <v>397</v>
      </c>
      <c r="B521" s="9" t="s">
        <v>425</v>
      </c>
      <c r="C521" s="9" t="n">
        <v>6</v>
      </c>
      <c r="D521" s="10" t="n">
        <v>0.85</v>
      </c>
      <c r="E521" s="10" t="n">
        <f aca="false">C521*D521</f>
        <v>5.1</v>
      </c>
    </row>
    <row r="522" customFormat="false" ht="15" hidden="false" customHeight="false" outlineLevel="0" collapsed="false">
      <c r="A522" s="9" t="s">
        <v>397</v>
      </c>
      <c r="B522" s="9" t="s">
        <v>426</v>
      </c>
      <c r="C522" s="9" t="n">
        <v>1</v>
      </c>
      <c r="D522" s="10" t="n">
        <v>6.75</v>
      </c>
      <c r="E522" s="10" t="n">
        <f aca="false">C522*D522</f>
        <v>6.75</v>
      </c>
    </row>
    <row r="523" customFormat="false" ht="15" hidden="false" customHeight="false" outlineLevel="0" collapsed="false">
      <c r="A523" s="9" t="s">
        <v>397</v>
      </c>
      <c r="B523" s="9" t="s">
        <v>427</v>
      </c>
      <c r="C523" s="9" t="n">
        <v>1</v>
      </c>
      <c r="D523" s="10" t="n">
        <v>0.42</v>
      </c>
      <c r="E523" s="10" t="n">
        <f aca="false">C523*D523</f>
        <v>0.42</v>
      </c>
    </row>
    <row r="524" customFormat="false" ht="15" hidden="false" customHeight="false" outlineLevel="0" collapsed="false">
      <c r="A524" s="9" t="s">
        <v>397</v>
      </c>
      <c r="B524" s="9" t="s">
        <v>417</v>
      </c>
      <c r="C524" s="9" t="n">
        <v>5</v>
      </c>
      <c r="D524" s="10" t="n">
        <v>2.1</v>
      </c>
      <c r="E524" s="10" t="n">
        <f aca="false">C524*D524</f>
        <v>10.5</v>
      </c>
    </row>
    <row r="525" customFormat="false" ht="15" hidden="false" customHeight="false" outlineLevel="0" collapsed="false">
      <c r="A525" s="9" t="s">
        <v>397</v>
      </c>
      <c r="B525" s="9" t="s">
        <v>428</v>
      </c>
      <c r="C525" s="9" t="n">
        <v>1</v>
      </c>
      <c r="D525" s="10" t="n">
        <v>1.25</v>
      </c>
      <c r="E525" s="10" t="n">
        <f aca="false">C525*D525</f>
        <v>1.25</v>
      </c>
    </row>
    <row r="526" customFormat="false" ht="15" hidden="false" customHeight="false" outlineLevel="0" collapsed="false">
      <c r="A526" s="9" t="s">
        <v>397</v>
      </c>
      <c r="B526" s="9" t="s">
        <v>429</v>
      </c>
      <c r="C526" s="9" t="n">
        <v>1</v>
      </c>
      <c r="D526" s="10" t="n">
        <v>3.75</v>
      </c>
      <c r="E526" s="10" t="n">
        <f aca="false">C526*D526</f>
        <v>3.75</v>
      </c>
    </row>
    <row r="527" customFormat="false" ht="15" hidden="false" customHeight="false" outlineLevel="0" collapsed="false">
      <c r="A527" s="9" t="s">
        <v>397</v>
      </c>
      <c r="B527" s="9" t="s">
        <v>430</v>
      </c>
      <c r="C527" s="9" t="n">
        <v>1</v>
      </c>
      <c r="D527" s="10" t="n">
        <v>4.25</v>
      </c>
      <c r="E527" s="10" t="n">
        <f aca="false">C527*D527</f>
        <v>4.25</v>
      </c>
    </row>
    <row r="528" customFormat="false" ht="15" hidden="false" customHeight="false" outlineLevel="0" collapsed="false">
      <c r="A528" s="9" t="s">
        <v>397</v>
      </c>
      <c r="B528" s="9" t="s">
        <v>431</v>
      </c>
      <c r="C528" s="9" t="n">
        <v>1</v>
      </c>
      <c r="D528" s="10" t="n">
        <v>7.95</v>
      </c>
      <c r="E528" s="10" t="n">
        <f aca="false">C528*D528</f>
        <v>7.95</v>
      </c>
    </row>
    <row r="529" customFormat="false" ht="15" hidden="false" customHeight="false" outlineLevel="0" collapsed="false">
      <c r="A529" s="9" t="s">
        <v>397</v>
      </c>
      <c r="B529" s="9" t="s">
        <v>413</v>
      </c>
      <c r="C529" s="9" t="n">
        <v>1</v>
      </c>
      <c r="D529" s="10" t="n">
        <v>6.35</v>
      </c>
      <c r="E529" s="10" t="n">
        <f aca="false">C529*D529</f>
        <v>6.35</v>
      </c>
    </row>
    <row r="530" customFormat="false" ht="15" hidden="false" customHeight="false" outlineLevel="0" collapsed="false">
      <c r="A530" s="9" t="s">
        <v>397</v>
      </c>
      <c r="B530" s="9" t="s">
        <v>432</v>
      </c>
      <c r="C530" s="9" t="n">
        <v>1</v>
      </c>
      <c r="D530" s="10" t="n">
        <v>2.95</v>
      </c>
      <c r="E530" s="10" t="n">
        <f aca="false">C530*D530</f>
        <v>2.95</v>
      </c>
    </row>
    <row r="531" customFormat="false" ht="15" hidden="false" customHeight="false" outlineLevel="0" collapsed="false">
      <c r="A531" s="9" t="s">
        <v>433</v>
      </c>
      <c r="B531" s="9" t="s">
        <v>434</v>
      </c>
      <c r="C531" s="9" t="n">
        <v>2</v>
      </c>
      <c r="D531" s="10" t="n">
        <v>2.95</v>
      </c>
      <c r="E531" s="10" t="n">
        <f aca="false">C531*D531</f>
        <v>5.9</v>
      </c>
    </row>
    <row r="532" customFormat="false" ht="15" hidden="false" customHeight="false" outlineLevel="0" collapsed="false">
      <c r="A532" s="9" t="s">
        <v>433</v>
      </c>
      <c r="B532" s="9" t="s">
        <v>435</v>
      </c>
      <c r="C532" s="9" t="n">
        <v>1</v>
      </c>
      <c r="D532" s="10" t="n">
        <v>0.95</v>
      </c>
      <c r="E532" s="10" t="n">
        <f aca="false">C532*D532</f>
        <v>0.95</v>
      </c>
    </row>
    <row r="533" customFormat="false" ht="15" hidden="false" customHeight="false" outlineLevel="0" collapsed="false">
      <c r="A533" s="9" t="s">
        <v>433</v>
      </c>
      <c r="B533" s="9" t="s">
        <v>436</v>
      </c>
      <c r="C533" s="9" t="n">
        <v>2</v>
      </c>
      <c r="D533" s="10" t="n">
        <v>3.75</v>
      </c>
      <c r="E533" s="10" t="n">
        <f aca="false">C533*D533</f>
        <v>7.5</v>
      </c>
    </row>
    <row r="534" customFormat="false" ht="15" hidden="false" customHeight="false" outlineLevel="0" collapsed="false">
      <c r="A534" s="9" t="s">
        <v>433</v>
      </c>
      <c r="B534" s="9" t="s">
        <v>437</v>
      </c>
      <c r="C534" s="9" t="n">
        <v>2</v>
      </c>
      <c r="D534" s="10" t="n">
        <v>2.95</v>
      </c>
      <c r="E534" s="10" t="n">
        <f aca="false">C534*D534</f>
        <v>5.9</v>
      </c>
    </row>
    <row r="535" customFormat="false" ht="15" hidden="false" customHeight="false" outlineLevel="0" collapsed="false">
      <c r="A535" s="9" t="s">
        <v>433</v>
      </c>
      <c r="B535" s="9" t="s">
        <v>438</v>
      </c>
      <c r="C535" s="9" t="n">
        <v>2</v>
      </c>
      <c r="D535" s="10" t="n">
        <v>2.95</v>
      </c>
      <c r="E535" s="10" t="n">
        <f aca="false">C535*D535</f>
        <v>5.9</v>
      </c>
    </row>
    <row r="536" customFormat="false" ht="15" hidden="false" customHeight="false" outlineLevel="0" collapsed="false">
      <c r="A536" s="9" t="s">
        <v>433</v>
      </c>
      <c r="B536" s="9" t="s">
        <v>439</v>
      </c>
      <c r="C536" s="9" t="n">
        <v>5</v>
      </c>
      <c r="D536" s="10" t="n">
        <v>2.95</v>
      </c>
      <c r="E536" s="10" t="n">
        <f aca="false">C536*D536</f>
        <v>14.75</v>
      </c>
    </row>
    <row r="537" customFormat="false" ht="15" hidden="false" customHeight="false" outlineLevel="0" collapsed="false">
      <c r="A537" s="9" t="s">
        <v>433</v>
      </c>
      <c r="B537" s="9" t="s">
        <v>440</v>
      </c>
      <c r="C537" s="9" t="n">
        <v>5</v>
      </c>
      <c r="D537" s="10" t="n">
        <v>1.65</v>
      </c>
      <c r="E537" s="10" t="n">
        <f aca="false">C537*D537</f>
        <v>8.25</v>
      </c>
    </row>
    <row r="538" customFormat="false" ht="15" hidden="false" customHeight="false" outlineLevel="0" collapsed="false">
      <c r="A538" s="9" t="s">
        <v>433</v>
      </c>
      <c r="B538" s="9" t="s">
        <v>441</v>
      </c>
      <c r="C538" s="9" t="n">
        <v>1</v>
      </c>
      <c r="D538" s="10" t="n">
        <v>1.65</v>
      </c>
      <c r="E538" s="10" t="n">
        <f aca="false">C538*D538</f>
        <v>1.65</v>
      </c>
    </row>
    <row r="539" customFormat="false" ht="15" hidden="false" customHeight="false" outlineLevel="0" collapsed="false">
      <c r="A539" s="9" t="s">
        <v>433</v>
      </c>
      <c r="B539" s="9" t="s">
        <v>73</v>
      </c>
      <c r="C539" s="9" t="n">
        <v>5</v>
      </c>
      <c r="D539" s="10" t="n">
        <v>1.65</v>
      </c>
      <c r="E539" s="10" t="n">
        <f aca="false">C539*D539</f>
        <v>8.25</v>
      </c>
    </row>
    <row r="540" customFormat="false" ht="15" hidden="false" customHeight="false" outlineLevel="0" collapsed="false">
      <c r="A540" s="9" t="s">
        <v>433</v>
      </c>
      <c r="B540" s="9" t="s">
        <v>315</v>
      </c>
      <c r="C540" s="9" t="n">
        <v>12</v>
      </c>
      <c r="D540" s="10" t="n">
        <v>1.25</v>
      </c>
      <c r="E540" s="10" t="n">
        <f aca="false">C540*D540</f>
        <v>15</v>
      </c>
    </row>
    <row r="541" customFormat="false" ht="15" hidden="false" customHeight="false" outlineLevel="0" collapsed="false">
      <c r="A541" s="9" t="s">
        <v>433</v>
      </c>
      <c r="B541" s="9" t="s">
        <v>203</v>
      </c>
      <c r="C541" s="9" t="n">
        <v>5</v>
      </c>
      <c r="D541" s="10" t="n">
        <v>1.65</v>
      </c>
      <c r="E541" s="10" t="n">
        <f aca="false">C541*D541</f>
        <v>8.25</v>
      </c>
    </row>
    <row r="542" customFormat="false" ht="15" hidden="false" customHeight="false" outlineLevel="0" collapsed="false">
      <c r="A542" s="9" t="s">
        <v>433</v>
      </c>
      <c r="B542" s="9" t="s">
        <v>442</v>
      </c>
      <c r="C542" s="9" t="n">
        <v>1</v>
      </c>
      <c r="D542" s="10" t="n">
        <v>1.65</v>
      </c>
      <c r="E542" s="10" t="n">
        <f aca="false">C542*D542</f>
        <v>1.65</v>
      </c>
    </row>
    <row r="543" customFormat="false" ht="15" hidden="false" customHeight="false" outlineLevel="0" collapsed="false">
      <c r="A543" s="9" t="s">
        <v>433</v>
      </c>
      <c r="B543" s="9" t="s">
        <v>416</v>
      </c>
      <c r="C543" s="9" t="n">
        <v>3</v>
      </c>
      <c r="D543" s="10" t="n">
        <v>3.75</v>
      </c>
      <c r="E543" s="10" t="n">
        <f aca="false">C543*D543</f>
        <v>11.25</v>
      </c>
    </row>
    <row r="544" customFormat="false" ht="15" hidden="false" customHeight="false" outlineLevel="0" collapsed="false">
      <c r="A544" s="9" t="s">
        <v>433</v>
      </c>
      <c r="B544" s="9" t="s">
        <v>443</v>
      </c>
      <c r="C544" s="9" t="n">
        <v>2</v>
      </c>
      <c r="D544" s="10" t="n">
        <v>2.95</v>
      </c>
      <c r="E544" s="10" t="n">
        <f aca="false">C544*D544</f>
        <v>5.9</v>
      </c>
    </row>
    <row r="545" customFormat="false" ht="15" hidden="false" customHeight="false" outlineLevel="0" collapsed="false">
      <c r="A545" s="9" t="s">
        <v>433</v>
      </c>
      <c r="B545" s="9" t="s">
        <v>444</v>
      </c>
      <c r="C545" s="9" t="n">
        <v>1</v>
      </c>
      <c r="D545" s="10" t="n">
        <v>2.1</v>
      </c>
      <c r="E545" s="10" t="n">
        <f aca="false">C545*D545</f>
        <v>2.1</v>
      </c>
    </row>
    <row r="546" customFormat="false" ht="15" hidden="false" customHeight="false" outlineLevel="0" collapsed="false">
      <c r="A546" s="9" t="s">
        <v>433</v>
      </c>
      <c r="B546" s="9" t="s">
        <v>119</v>
      </c>
      <c r="C546" s="9" t="n">
        <v>1</v>
      </c>
      <c r="D546" s="10" t="n">
        <v>1.65</v>
      </c>
      <c r="E546" s="10" t="n">
        <f aca="false">C546*D546</f>
        <v>1.65</v>
      </c>
    </row>
    <row r="547" customFormat="false" ht="15" hidden="false" customHeight="false" outlineLevel="0" collapsed="false">
      <c r="A547" s="9" t="s">
        <v>433</v>
      </c>
      <c r="B547" s="9" t="s">
        <v>445</v>
      </c>
      <c r="C547" s="9" t="n">
        <v>2</v>
      </c>
      <c r="D547" s="10" t="n">
        <v>3.75</v>
      </c>
      <c r="E547" s="10" t="n">
        <f aca="false">C547*D547</f>
        <v>7.5</v>
      </c>
    </row>
    <row r="548" customFormat="false" ht="15" hidden="false" customHeight="false" outlineLevel="0" collapsed="false">
      <c r="A548" s="9" t="s">
        <v>433</v>
      </c>
      <c r="B548" s="9" t="s">
        <v>446</v>
      </c>
      <c r="C548" s="9" t="n">
        <v>1</v>
      </c>
      <c r="D548" s="10" t="n">
        <v>7.95</v>
      </c>
      <c r="E548" s="10" t="n">
        <f aca="false">C548*D548</f>
        <v>7.95</v>
      </c>
    </row>
    <row r="549" customFormat="false" ht="15" hidden="false" customHeight="false" outlineLevel="0" collapsed="false">
      <c r="A549" s="9" t="s">
        <v>433</v>
      </c>
      <c r="B549" s="9" t="s">
        <v>447</v>
      </c>
      <c r="C549" s="9" t="n">
        <v>6</v>
      </c>
      <c r="D549" s="10" t="n">
        <v>1.25</v>
      </c>
      <c r="E549" s="10" t="n">
        <f aca="false">C549*D549</f>
        <v>7.5</v>
      </c>
    </row>
    <row r="550" customFormat="false" ht="15" hidden="false" customHeight="false" outlineLevel="0" collapsed="false">
      <c r="A550" s="9" t="s">
        <v>433</v>
      </c>
      <c r="B550" s="9" t="s">
        <v>448</v>
      </c>
      <c r="C550" s="9" t="n">
        <v>1</v>
      </c>
      <c r="D550" s="10" t="n">
        <v>2.95</v>
      </c>
      <c r="E550" s="10" t="n">
        <f aca="false">C550*D550</f>
        <v>2.95</v>
      </c>
    </row>
    <row r="551" customFormat="false" ht="15" hidden="false" customHeight="false" outlineLevel="0" collapsed="false">
      <c r="A551" s="9" t="s">
        <v>433</v>
      </c>
      <c r="B551" s="9" t="s">
        <v>449</v>
      </c>
      <c r="C551" s="9" t="n">
        <v>7</v>
      </c>
      <c r="D551" s="10" t="n">
        <v>1.65</v>
      </c>
      <c r="E551" s="10" t="n">
        <f aca="false">C551*D551</f>
        <v>11.55</v>
      </c>
    </row>
    <row r="552" customFormat="false" ht="15" hidden="false" customHeight="false" outlineLevel="0" collapsed="false">
      <c r="A552" s="9" t="s">
        <v>433</v>
      </c>
      <c r="B552" s="9" t="s">
        <v>277</v>
      </c>
      <c r="C552" s="9" t="n">
        <v>2</v>
      </c>
      <c r="D552" s="10" t="n">
        <v>6.75</v>
      </c>
      <c r="E552" s="10" t="n">
        <f aca="false">C552*D552</f>
        <v>13.5</v>
      </c>
    </row>
    <row r="553" customFormat="false" ht="15" hidden="false" customHeight="false" outlineLevel="0" collapsed="false">
      <c r="A553" s="9" t="s">
        <v>433</v>
      </c>
      <c r="B553" s="9" t="s">
        <v>450</v>
      </c>
      <c r="C553" s="9" t="n">
        <v>1</v>
      </c>
      <c r="D553" s="10" t="n">
        <v>4.95</v>
      </c>
      <c r="E553" s="10" t="n">
        <f aca="false">C553*D553</f>
        <v>4.95</v>
      </c>
    </row>
    <row r="554" customFormat="false" ht="15" hidden="false" customHeight="false" outlineLevel="0" collapsed="false">
      <c r="A554" s="9" t="s">
        <v>433</v>
      </c>
      <c r="B554" s="9" t="s">
        <v>451</v>
      </c>
      <c r="C554" s="9" t="n">
        <v>3</v>
      </c>
      <c r="D554" s="10" t="n">
        <v>3.75</v>
      </c>
      <c r="E554" s="10" t="n">
        <f aca="false">C554*D554</f>
        <v>11.25</v>
      </c>
    </row>
    <row r="555" customFormat="false" ht="15" hidden="false" customHeight="false" outlineLevel="0" collapsed="false">
      <c r="A555" s="9" t="s">
        <v>433</v>
      </c>
      <c r="B555" s="9" t="s">
        <v>72</v>
      </c>
      <c r="C555" s="9" t="n">
        <v>2</v>
      </c>
      <c r="D555" s="10" t="n">
        <v>2.95</v>
      </c>
      <c r="E555" s="10" t="n">
        <f aca="false">C555*D555</f>
        <v>5.9</v>
      </c>
    </row>
    <row r="556" customFormat="false" ht="15" hidden="false" customHeight="false" outlineLevel="0" collapsed="false">
      <c r="A556" s="9" t="s">
        <v>433</v>
      </c>
      <c r="B556" s="9" t="s">
        <v>452</v>
      </c>
      <c r="C556" s="9" t="n">
        <v>2</v>
      </c>
      <c r="D556" s="10" t="n">
        <v>6.75</v>
      </c>
      <c r="E556" s="10" t="n">
        <f aca="false">C556*D556</f>
        <v>13.5</v>
      </c>
    </row>
    <row r="557" customFormat="false" ht="15" hidden="false" customHeight="false" outlineLevel="0" collapsed="false">
      <c r="A557" s="9" t="s">
        <v>433</v>
      </c>
      <c r="B557" s="9" t="s">
        <v>453</v>
      </c>
      <c r="C557" s="9" t="n">
        <v>1</v>
      </c>
      <c r="D557" s="10" t="n">
        <v>4.95</v>
      </c>
      <c r="E557" s="10" t="n">
        <f aca="false">C557*D557</f>
        <v>4.95</v>
      </c>
    </row>
    <row r="558" customFormat="false" ht="15" hidden="false" customHeight="false" outlineLevel="0" collapsed="false">
      <c r="A558" s="9" t="s">
        <v>433</v>
      </c>
      <c r="B558" s="9" t="s">
        <v>454</v>
      </c>
      <c r="C558" s="9" t="n">
        <v>1</v>
      </c>
      <c r="D558" s="10" t="n">
        <v>4.95</v>
      </c>
      <c r="E558" s="10" t="n">
        <f aca="false">C558*D558</f>
        <v>4.95</v>
      </c>
    </row>
    <row r="559" customFormat="false" ht="15" hidden="false" customHeight="false" outlineLevel="0" collapsed="false">
      <c r="A559" s="9" t="s">
        <v>433</v>
      </c>
      <c r="B559" s="9" t="s">
        <v>455</v>
      </c>
      <c r="C559" s="9" t="n">
        <v>1</v>
      </c>
      <c r="D559" s="10" t="n">
        <v>4.95</v>
      </c>
      <c r="E559" s="10" t="n">
        <f aca="false">C559*D559</f>
        <v>4.95</v>
      </c>
    </row>
    <row r="560" customFormat="false" ht="15" hidden="false" customHeight="false" outlineLevel="0" collapsed="false">
      <c r="A560" s="9" t="s">
        <v>433</v>
      </c>
      <c r="B560" s="9" t="s">
        <v>234</v>
      </c>
      <c r="C560" s="9" t="n">
        <v>4</v>
      </c>
      <c r="D560" s="10" t="n">
        <v>9.95</v>
      </c>
      <c r="E560" s="10" t="n">
        <f aca="false">C560*D560</f>
        <v>39.8</v>
      </c>
    </row>
    <row r="561" customFormat="false" ht="15" hidden="false" customHeight="false" outlineLevel="0" collapsed="false">
      <c r="A561" s="9" t="s">
        <v>433</v>
      </c>
      <c r="B561" s="9" t="s">
        <v>88</v>
      </c>
      <c r="C561" s="9" t="n">
        <v>1</v>
      </c>
      <c r="D561" s="10" t="n">
        <v>2.95</v>
      </c>
      <c r="E561" s="10" t="n">
        <f aca="false">C561*D561</f>
        <v>2.95</v>
      </c>
    </row>
    <row r="562" customFormat="false" ht="15" hidden="false" customHeight="false" outlineLevel="0" collapsed="false">
      <c r="A562" s="9" t="s">
        <v>433</v>
      </c>
      <c r="B562" s="9" t="s">
        <v>231</v>
      </c>
      <c r="C562" s="9" t="n">
        <v>5</v>
      </c>
      <c r="D562" s="10" t="n">
        <v>0.85</v>
      </c>
      <c r="E562" s="10" t="n">
        <f aca="false">C562*D562</f>
        <v>4.25</v>
      </c>
    </row>
    <row r="563" customFormat="false" ht="15" hidden="false" customHeight="false" outlineLevel="0" collapsed="false">
      <c r="A563" s="9" t="s">
        <v>433</v>
      </c>
      <c r="B563" s="9" t="s">
        <v>441</v>
      </c>
      <c r="C563" s="9" t="n">
        <v>3</v>
      </c>
      <c r="D563" s="10" t="n">
        <v>1.65</v>
      </c>
      <c r="E563" s="10" t="n">
        <f aca="false">C563*D563</f>
        <v>4.95</v>
      </c>
    </row>
    <row r="564" customFormat="false" ht="15" hidden="false" customHeight="false" outlineLevel="0" collapsed="false">
      <c r="A564" s="9" t="s">
        <v>433</v>
      </c>
      <c r="B564" s="9" t="s">
        <v>456</v>
      </c>
      <c r="C564" s="9" t="n">
        <v>7</v>
      </c>
      <c r="D564" s="10" t="n">
        <v>2.1</v>
      </c>
      <c r="E564" s="10" t="n">
        <f aca="false">C564*D564</f>
        <v>14.7</v>
      </c>
    </row>
    <row r="565" customFormat="false" ht="15" hidden="false" customHeight="false" outlineLevel="0" collapsed="false">
      <c r="A565" s="9" t="s">
        <v>433</v>
      </c>
      <c r="B565" s="9" t="s">
        <v>457</v>
      </c>
      <c r="C565" s="9" t="n">
        <v>1</v>
      </c>
      <c r="D565" s="10" t="n">
        <v>2.1</v>
      </c>
      <c r="E565" s="10" t="n">
        <f aca="false">C565*D565</f>
        <v>2.1</v>
      </c>
    </row>
    <row r="566" customFormat="false" ht="15" hidden="false" customHeight="false" outlineLevel="0" collapsed="false">
      <c r="A566" s="9" t="s">
        <v>433</v>
      </c>
      <c r="B566" s="9" t="s">
        <v>458</v>
      </c>
      <c r="C566" s="9" t="n">
        <v>1</v>
      </c>
      <c r="D566" s="10" t="n">
        <v>1.69</v>
      </c>
      <c r="E566" s="10" t="n">
        <f aca="false">C566*D566</f>
        <v>1.69</v>
      </c>
    </row>
    <row r="567" customFormat="false" ht="15" hidden="false" customHeight="false" outlineLevel="0" collapsed="false">
      <c r="A567" s="9" t="s">
        <v>433</v>
      </c>
      <c r="B567" s="9" t="s">
        <v>459</v>
      </c>
      <c r="C567" s="9" t="n">
        <v>1</v>
      </c>
      <c r="D567" s="10" t="n">
        <v>1.69</v>
      </c>
      <c r="E567" s="10" t="n">
        <f aca="false">C567*D567</f>
        <v>1.69</v>
      </c>
    </row>
    <row r="568" customFormat="false" ht="15" hidden="false" customHeight="false" outlineLevel="0" collapsed="false">
      <c r="A568" s="9" t="s">
        <v>433</v>
      </c>
      <c r="B568" s="9" t="s">
        <v>460</v>
      </c>
      <c r="C568" s="9" t="n">
        <v>1</v>
      </c>
      <c r="D568" s="10" t="n">
        <v>1.69</v>
      </c>
      <c r="E568" s="10" t="n">
        <f aca="false">C568*D568</f>
        <v>1.69</v>
      </c>
    </row>
    <row r="569" customFormat="false" ht="15" hidden="false" customHeight="false" outlineLevel="0" collapsed="false">
      <c r="A569" s="9" t="s">
        <v>433</v>
      </c>
      <c r="B569" s="9" t="s">
        <v>461</v>
      </c>
      <c r="C569" s="9" t="n">
        <v>1</v>
      </c>
      <c r="D569" s="10" t="n">
        <v>1.69</v>
      </c>
      <c r="E569" s="10" t="n">
        <f aca="false">C569*D569</f>
        <v>1.69</v>
      </c>
    </row>
    <row r="570" customFormat="false" ht="15" hidden="false" customHeight="false" outlineLevel="0" collapsed="false">
      <c r="A570" s="9" t="s">
        <v>433</v>
      </c>
      <c r="B570" s="9" t="s">
        <v>76</v>
      </c>
      <c r="C570" s="9" t="n">
        <v>1</v>
      </c>
      <c r="D570" s="10" t="n">
        <v>1.95</v>
      </c>
      <c r="E570" s="10" t="n">
        <f aca="false">C570*D570</f>
        <v>1.95</v>
      </c>
    </row>
    <row r="571" customFormat="false" ht="15" hidden="false" customHeight="false" outlineLevel="0" collapsed="false">
      <c r="A571" s="9" t="s">
        <v>433</v>
      </c>
      <c r="B571" s="9" t="s">
        <v>462</v>
      </c>
      <c r="C571" s="9" t="n">
        <v>1</v>
      </c>
      <c r="D571" s="10" t="n">
        <v>1.95</v>
      </c>
      <c r="E571" s="10" t="n">
        <f aca="false">C571*D571</f>
        <v>1.95</v>
      </c>
    </row>
    <row r="572" customFormat="false" ht="15" hidden="false" customHeight="false" outlineLevel="0" collapsed="false">
      <c r="A572" s="9" t="s">
        <v>433</v>
      </c>
      <c r="B572" s="9" t="s">
        <v>438</v>
      </c>
      <c r="C572" s="9" t="n">
        <v>1</v>
      </c>
      <c r="D572" s="10" t="n">
        <v>2.95</v>
      </c>
      <c r="E572" s="10" t="n">
        <f aca="false">C572*D572</f>
        <v>2.95</v>
      </c>
    </row>
    <row r="573" customFormat="false" ht="15" hidden="false" customHeight="false" outlineLevel="0" collapsed="false">
      <c r="A573" s="9" t="s">
        <v>433</v>
      </c>
      <c r="B573" s="9" t="s">
        <v>463</v>
      </c>
      <c r="C573" s="9" t="n">
        <v>1</v>
      </c>
      <c r="D573" s="10" t="n">
        <v>2.95</v>
      </c>
      <c r="E573" s="10" t="n">
        <f aca="false">C573*D573</f>
        <v>2.95</v>
      </c>
    </row>
    <row r="574" customFormat="false" ht="15" hidden="false" customHeight="false" outlineLevel="0" collapsed="false">
      <c r="A574" s="9" t="s">
        <v>433</v>
      </c>
      <c r="B574" s="9" t="s">
        <v>342</v>
      </c>
      <c r="C574" s="9" t="n">
        <v>3</v>
      </c>
      <c r="D574" s="10" t="n">
        <v>1.65</v>
      </c>
      <c r="E574" s="10" t="n">
        <f aca="false">C574*D574</f>
        <v>4.95</v>
      </c>
    </row>
    <row r="575" customFormat="false" ht="15" hidden="false" customHeight="false" outlineLevel="0" collapsed="false">
      <c r="A575" s="9" t="s">
        <v>433</v>
      </c>
      <c r="B575" s="9" t="s">
        <v>344</v>
      </c>
      <c r="C575" s="9" t="n">
        <v>3</v>
      </c>
      <c r="D575" s="10" t="n">
        <v>1.65</v>
      </c>
      <c r="E575" s="10" t="n">
        <f aca="false">C575*D575</f>
        <v>4.95</v>
      </c>
    </row>
    <row r="576" customFormat="false" ht="15" hidden="false" customHeight="false" outlineLevel="0" collapsed="false">
      <c r="A576" s="9" t="s">
        <v>433</v>
      </c>
      <c r="B576" s="9" t="s">
        <v>188</v>
      </c>
      <c r="C576" s="9" t="n">
        <v>4</v>
      </c>
      <c r="D576" s="10" t="n">
        <v>1.65</v>
      </c>
      <c r="E576" s="10" t="n">
        <f aca="false">C576*D576</f>
        <v>6.6</v>
      </c>
    </row>
    <row r="577" customFormat="false" ht="15" hidden="false" customHeight="false" outlineLevel="0" collapsed="false">
      <c r="A577" s="9" t="s">
        <v>433</v>
      </c>
      <c r="B577" s="9" t="s">
        <v>83</v>
      </c>
      <c r="C577" s="9" t="n">
        <v>1</v>
      </c>
      <c r="D577" s="10" t="n">
        <v>2.95</v>
      </c>
      <c r="E577" s="10" t="n">
        <f aca="false">C577*D577</f>
        <v>2.95</v>
      </c>
    </row>
    <row r="578" customFormat="false" ht="15" hidden="false" customHeight="false" outlineLevel="0" collapsed="false">
      <c r="A578" s="9" t="s">
        <v>433</v>
      </c>
      <c r="B578" s="9" t="s">
        <v>343</v>
      </c>
      <c r="C578" s="9" t="n">
        <v>3</v>
      </c>
      <c r="D578" s="10" t="n">
        <v>1.65</v>
      </c>
      <c r="E578" s="10" t="n">
        <f aca="false">C578*D578</f>
        <v>4.95</v>
      </c>
    </row>
    <row r="579" customFormat="false" ht="15" hidden="false" customHeight="false" outlineLevel="0" collapsed="false">
      <c r="A579" s="9" t="s">
        <v>433</v>
      </c>
      <c r="B579" s="9" t="s">
        <v>444</v>
      </c>
      <c r="C579" s="9" t="n">
        <v>2</v>
      </c>
      <c r="D579" s="10" t="n">
        <v>2.1</v>
      </c>
      <c r="E579" s="10" t="n">
        <f aca="false">C579*D579</f>
        <v>4.2</v>
      </c>
    </row>
    <row r="580" customFormat="false" ht="15" hidden="false" customHeight="false" outlineLevel="0" collapsed="false">
      <c r="A580" s="9" t="s">
        <v>433</v>
      </c>
      <c r="B580" s="9" t="s">
        <v>464</v>
      </c>
      <c r="C580" s="9" t="n">
        <v>1</v>
      </c>
      <c r="D580" s="10" t="n">
        <v>2.95</v>
      </c>
      <c r="E580" s="10" t="n">
        <f aca="false">C580*D580</f>
        <v>2.95</v>
      </c>
    </row>
    <row r="581" customFormat="false" ht="15" hidden="false" customHeight="false" outlineLevel="0" collapsed="false">
      <c r="A581" s="9" t="s">
        <v>433</v>
      </c>
      <c r="B581" s="9" t="s">
        <v>465</v>
      </c>
      <c r="C581" s="9" t="n">
        <v>3</v>
      </c>
      <c r="D581" s="10" t="n">
        <v>4.25</v>
      </c>
      <c r="E581" s="10" t="n">
        <f aca="false">C581*D581</f>
        <v>12.75</v>
      </c>
    </row>
    <row r="582" customFormat="false" ht="15" hidden="false" customHeight="false" outlineLevel="0" collapsed="false">
      <c r="A582" s="9" t="s">
        <v>433</v>
      </c>
      <c r="B582" s="9" t="s">
        <v>296</v>
      </c>
      <c r="C582" s="9" t="n">
        <v>3</v>
      </c>
      <c r="D582" s="10" t="n">
        <v>1.65</v>
      </c>
      <c r="E582" s="10" t="n">
        <f aca="false">C582*D582</f>
        <v>4.95</v>
      </c>
    </row>
    <row r="583" customFormat="false" ht="15" hidden="false" customHeight="false" outlineLevel="0" collapsed="false">
      <c r="A583" s="9" t="s">
        <v>433</v>
      </c>
      <c r="B583" s="9" t="s">
        <v>440</v>
      </c>
      <c r="C583" s="9" t="n">
        <v>1</v>
      </c>
      <c r="D583" s="10" t="n">
        <v>1.65</v>
      </c>
      <c r="E583" s="10" t="n">
        <f aca="false">C583*D583</f>
        <v>1.65</v>
      </c>
    </row>
    <row r="584" customFormat="false" ht="15" hidden="false" customHeight="false" outlineLevel="0" collapsed="false">
      <c r="A584" s="9" t="s">
        <v>433</v>
      </c>
      <c r="B584" s="9" t="s">
        <v>441</v>
      </c>
      <c r="C584" s="9" t="n">
        <v>6</v>
      </c>
      <c r="D584" s="10" t="n">
        <v>1.65</v>
      </c>
      <c r="E584" s="10" t="n">
        <f aca="false">C584*D584</f>
        <v>9.9</v>
      </c>
    </row>
    <row r="585" customFormat="false" ht="15" hidden="false" customHeight="false" outlineLevel="0" collapsed="false">
      <c r="A585" s="9" t="s">
        <v>433</v>
      </c>
      <c r="B585" s="9" t="s">
        <v>251</v>
      </c>
      <c r="C585" s="9" t="n">
        <v>5</v>
      </c>
      <c r="D585" s="10" t="n">
        <v>1.65</v>
      </c>
      <c r="E585" s="10" t="n">
        <f aca="false">C585*D585</f>
        <v>8.25</v>
      </c>
    </row>
    <row r="586" customFormat="false" ht="15" hidden="false" customHeight="false" outlineLevel="0" collapsed="false">
      <c r="A586" s="9" t="s">
        <v>433</v>
      </c>
      <c r="B586" s="9" t="s">
        <v>439</v>
      </c>
      <c r="C586" s="9" t="n">
        <v>2</v>
      </c>
      <c r="D586" s="10" t="n">
        <v>2.95</v>
      </c>
      <c r="E586" s="10" t="n">
        <f aca="false">C586*D586</f>
        <v>5.9</v>
      </c>
    </row>
    <row r="587" customFormat="false" ht="15" hidden="false" customHeight="false" outlineLevel="0" collapsed="false">
      <c r="A587" s="9" t="s">
        <v>433</v>
      </c>
      <c r="B587" s="9" t="s">
        <v>449</v>
      </c>
      <c r="C587" s="9" t="n">
        <v>2</v>
      </c>
      <c r="D587" s="10" t="n">
        <v>1.65</v>
      </c>
      <c r="E587" s="10" t="n">
        <f aca="false">C587*D587</f>
        <v>3.3</v>
      </c>
    </row>
    <row r="588" customFormat="false" ht="15" hidden="false" customHeight="false" outlineLevel="0" collapsed="false">
      <c r="A588" s="9" t="s">
        <v>433</v>
      </c>
      <c r="B588" s="9" t="s">
        <v>55</v>
      </c>
      <c r="C588" s="9" t="n">
        <v>1</v>
      </c>
      <c r="D588" s="10" t="n">
        <v>3.75</v>
      </c>
      <c r="E588" s="10" t="n">
        <f aca="false">C588*D588</f>
        <v>3.75</v>
      </c>
    </row>
    <row r="589" customFormat="false" ht="15" hidden="false" customHeight="false" outlineLevel="0" collapsed="false">
      <c r="A589" s="9" t="s">
        <v>433</v>
      </c>
      <c r="B589" s="9" t="s">
        <v>465</v>
      </c>
      <c r="C589" s="9" t="n">
        <v>1</v>
      </c>
      <c r="D589" s="10" t="n">
        <v>4.25</v>
      </c>
      <c r="E589" s="10" t="n">
        <f aca="false">C589*D589</f>
        <v>4.25</v>
      </c>
    </row>
    <row r="590" customFormat="false" ht="15" hidden="false" customHeight="false" outlineLevel="0" collapsed="false">
      <c r="A590" s="9" t="s">
        <v>433</v>
      </c>
      <c r="B590" s="9" t="s">
        <v>55</v>
      </c>
      <c r="C590" s="9" t="n">
        <v>2</v>
      </c>
      <c r="D590" s="10" t="n">
        <v>3.75</v>
      </c>
      <c r="E590" s="10" t="n">
        <f aca="false">C590*D590</f>
        <v>7.5</v>
      </c>
    </row>
    <row r="591" customFormat="false" ht="15" hidden="false" customHeight="false" outlineLevel="0" collapsed="false">
      <c r="A591" s="9" t="s">
        <v>433</v>
      </c>
      <c r="B591" s="9" t="s">
        <v>315</v>
      </c>
      <c r="C591" s="9" t="n">
        <v>1</v>
      </c>
      <c r="D591" s="10" t="n">
        <v>1.25</v>
      </c>
      <c r="E591" s="10" t="n">
        <f aca="false">C591*D591</f>
        <v>1.25</v>
      </c>
    </row>
    <row r="592" customFormat="false" ht="15" hidden="false" customHeight="false" outlineLevel="0" collapsed="false">
      <c r="A592" s="9" t="s">
        <v>433</v>
      </c>
      <c r="B592" s="9" t="s">
        <v>442</v>
      </c>
      <c r="C592" s="9" t="n">
        <v>2</v>
      </c>
      <c r="D592" s="10" t="n">
        <v>1.65</v>
      </c>
      <c r="E592" s="10" t="n">
        <f aca="false">C592*D592</f>
        <v>3.3</v>
      </c>
    </row>
    <row r="593" customFormat="false" ht="15" hidden="false" customHeight="false" outlineLevel="0" collapsed="false">
      <c r="A593" s="9" t="s">
        <v>433</v>
      </c>
      <c r="B593" s="9" t="s">
        <v>128</v>
      </c>
      <c r="C593" s="9" t="n">
        <v>24</v>
      </c>
      <c r="D593" s="10" t="n">
        <v>1.45</v>
      </c>
      <c r="E593" s="10" t="n">
        <f aca="false">C593*D593</f>
        <v>34.8</v>
      </c>
    </row>
    <row r="594" customFormat="false" ht="15" hidden="false" customHeight="false" outlineLevel="0" collapsed="false">
      <c r="A594" s="9" t="s">
        <v>433</v>
      </c>
      <c r="B594" s="9" t="s">
        <v>315</v>
      </c>
      <c r="C594" s="9" t="n">
        <v>3</v>
      </c>
      <c r="D594" s="10" t="n">
        <v>1.25</v>
      </c>
      <c r="E594" s="10" t="n">
        <f aca="false">C594*D594</f>
        <v>3.75</v>
      </c>
    </row>
    <row r="595" customFormat="false" ht="15" hidden="false" customHeight="false" outlineLevel="0" collapsed="false">
      <c r="A595" s="9" t="s">
        <v>433</v>
      </c>
      <c r="B595" s="9" t="s">
        <v>449</v>
      </c>
      <c r="C595" s="9" t="n">
        <v>1</v>
      </c>
      <c r="D595" s="10" t="n">
        <v>1.65</v>
      </c>
      <c r="E595" s="10" t="n">
        <f aca="false">C595*D595</f>
        <v>1.65</v>
      </c>
    </row>
    <row r="596" customFormat="false" ht="15" hidden="false" customHeight="false" outlineLevel="0" collapsed="false">
      <c r="A596" s="9" t="s">
        <v>433</v>
      </c>
      <c r="B596" s="9" t="s">
        <v>466</v>
      </c>
      <c r="C596" s="9" t="n">
        <v>10</v>
      </c>
      <c r="D596" s="10" t="n">
        <v>0.65</v>
      </c>
      <c r="E596" s="10" t="n">
        <f aca="false">C596*D596</f>
        <v>6.5</v>
      </c>
    </row>
    <row r="597" customFormat="false" ht="15" hidden="false" customHeight="false" outlineLevel="0" collapsed="false">
      <c r="A597" s="9" t="s">
        <v>433</v>
      </c>
      <c r="B597" s="9" t="s">
        <v>439</v>
      </c>
      <c r="C597" s="9" t="n">
        <v>1</v>
      </c>
      <c r="D597" s="10" t="n">
        <v>2.95</v>
      </c>
      <c r="E597" s="10" t="n">
        <f aca="false">C597*D597</f>
        <v>2.95</v>
      </c>
    </row>
    <row r="598" customFormat="false" ht="15" hidden="false" customHeight="false" outlineLevel="0" collapsed="false">
      <c r="A598" s="9" t="s">
        <v>433</v>
      </c>
      <c r="B598" s="9" t="s">
        <v>337</v>
      </c>
      <c r="C598" s="9" t="n">
        <v>3</v>
      </c>
      <c r="D598" s="10" t="n">
        <v>4.65</v>
      </c>
      <c r="E598" s="10" t="n">
        <f aca="false">C598*D598</f>
        <v>13.95</v>
      </c>
    </row>
    <row r="599" customFormat="false" ht="15" hidden="false" customHeight="false" outlineLevel="0" collapsed="false">
      <c r="A599" s="9" t="s">
        <v>467</v>
      </c>
      <c r="B599" s="9" t="s">
        <v>468</v>
      </c>
      <c r="C599" s="9" t="n">
        <v>2</v>
      </c>
      <c r="D599" s="10" t="n">
        <v>0.42</v>
      </c>
      <c r="E599" s="10" t="n">
        <f aca="false">C599*D599</f>
        <v>0.84</v>
      </c>
    </row>
    <row r="600" customFormat="false" ht="15" hidden="false" customHeight="false" outlineLevel="0" collapsed="false">
      <c r="A600" s="9" t="s">
        <v>467</v>
      </c>
      <c r="B600" s="9" t="s">
        <v>46</v>
      </c>
      <c r="C600" s="9" t="n">
        <v>3</v>
      </c>
      <c r="D600" s="10" t="n">
        <v>2.1</v>
      </c>
      <c r="E600" s="10" t="n">
        <f aca="false">C600*D600</f>
        <v>6.3</v>
      </c>
    </row>
    <row r="601" customFormat="false" ht="15" hidden="false" customHeight="false" outlineLevel="0" collapsed="false">
      <c r="A601" s="9" t="s">
        <v>467</v>
      </c>
      <c r="B601" s="9" t="s">
        <v>255</v>
      </c>
      <c r="C601" s="9" t="n">
        <v>3</v>
      </c>
      <c r="D601" s="10" t="n">
        <v>2.1</v>
      </c>
      <c r="E601" s="10" t="n">
        <f aca="false">C601*D601</f>
        <v>6.3</v>
      </c>
    </row>
    <row r="602" customFormat="false" ht="15" hidden="false" customHeight="false" outlineLevel="0" collapsed="false">
      <c r="A602" s="9" t="s">
        <v>467</v>
      </c>
      <c r="B602" s="9" t="s">
        <v>258</v>
      </c>
      <c r="C602" s="9" t="n">
        <v>3</v>
      </c>
      <c r="D602" s="10" t="n">
        <v>2.1</v>
      </c>
      <c r="E602" s="10" t="n">
        <f aca="false">C602*D602</f>
        <v>6.3</v>
      </c>
    </row>
    <row r="603" customFormat="false" ht="15" hidden="false" customHeight="false" outlineLevel="0" collapsed="false">
      <c r="A603" s="9" t="s">
        <v>467</v>
      </c>
      <c r="B603" s="9" t="s">
        <v>469</v>
      </c>
      <c r="C603" s="9" t="n">
        <v>2</v>
      </c>
      <c r="D603" s="10" t="n">
        <v>0.55</v>
      </c>
      <c r="E603" s="10" t="n">
        <f aca="false">C603*D603</f>
        <v>1.1</v>
      </c>
    </row>
    <row r="604" customFormat="false" ht="15" hidden="false" customHeight="false" outlineLevel="0" collapsed="false">
      <c r="A604" s="9" t="s">
        <v>467</v>
      </c>
      <c r="B604" s="9" t="s">
        <v>114</v>
      </c>
      <c r="C604" s="9" t="n">
        <v>3</v>
      </c>
      <c r="D604" s="10" t="n">
        <v>0.55</v>
      </c>
      <c r="E604" s="10" t="n">
        <f aca="false">C604*D604</f>
        <v>1.65</v>
      </c>
    </row>
    <row r="605" customFormat="false" ht="15" hidden="false" customHeight="false" outlineLevel="0" collapsed="false">
      <c r="A605" s="9" t="s">
        <v>467</v>
      </c>
      <c r="B605" s="9" t="s">
        <v>470</v>
      </c>
      <c r="C605" s="9" t="n">
        <v>2</v>
      </c>
      <c r="D605" s="10" t="n">
        <v>0.55</v>
      </c>
      <c r="E605" s="10" t="n">
        <f aca="false">C605*D605</f>
        <v>1.1</v>
      </c>
    </row>
    <row r="606" customFormat="false" ht="15" hidden="false" customHeight="false" outlineLevel="0" collapsed="false">
      <c r="A606" s="9" t="s">
        <v>467</v>
      </c>
      <c r="B606" s="9" t="s">
        <v>116</v>
      </c>
      <c r="C606" s="9" t="n">
        <v>2</v>
      </c>
      <c r="D606" s="10" t="n">
        <v>0.55</v>
      </c>
      <c r="E606" s="10" t="n">
        <f aca="false">C606*D606</f>
        <v>1.1</v>
      </c>
    </row>
    <row r="607" customFormat="false" ht="15" hidden="false" customHeight="false" outlineLevel="0" collapsed="false">
      <c r="A607" s="9" t="s">
        <v>467</v>
      </c>
      <c r="B607" s="9" t="s">
        <v>465</v>
      </c>
      <c r="C607" s="9" t="n">
        <v>2</v>
      </c>
      <c r="D607" s="10" t="n">
        <v>4.25</v>
      </c>
      <c r="E607" s="10" t="n">
        <f aca="false">C607*D607</f>
        <v>8.5</v>
      </c>
    </row>
    <row r="608" customFormat="false" ht="15" hidden="false" customHeight="false" outlineLevel="0" collapsed="false">
      <c r="A608" s="9" t="s">
        <v>467</v>
      </c>
      <c r="B608" s="9" t="s">
        <v>471</v>
      </c>
      <c r="C608" s="9" t="n">
        <v>4</v>
      </c>
      <c r="D608" s="10" t="n">
        <v>0.85</v>
      </c>
      <c r="E608" s="10" t="n">
        <f aca="false">C608*D608</f>
        <v>3.4</v>
      </c>
    </row>
    <row r="609" customFormat="false" ht="15" hidden="false" customHeight="false" outlineLevel="0" collapsed="false">
      <c r="A609" s="9" t="s">
        <v>467</v>
      </c>
      <c r="B609" s="9" t="s">
        <v>88</v>
      </c>
      <c r="C609" s="9" t="n">
        <v>6</v>
      </c>
      <c r="D609" s="10" t="n">
        <v>2.95</v>
      </c>
      <c r="E609" s="10" t="n">
        <f aca="false">C609*D609</f>
        <v>17.7</v>
      </c>
    </row>
    <row r="610" customFormat="false" ht="15" hidden="false" customHeight="false" outlineLevel="0" collapsed="false">
      <c r="A610" s="9" t="s">
        <v>467</v>
      </c>
      <c r="B610" s="9" t="s">
        <v>472</v>
      </c>
      <c r="C610" s="9" t="n">
        <v>3</v>
      </c>
      <c r="D610" s="10" t="n">
        <v>2.1</v>
      </c>
      <c r="E610" s="10" t="n">
        <f aca="false">C610*D610</f>
        <v>6.3</v>
      </c>
    </row>
    <row r="611" customFormat="false" ht="15" hidden="false" customHeight="false" outlineLevel="0" collapsed="false">
      <c r="A611" s="9" t="s">
        <v>467</v>
      </c>
      <c r="B611" s="9" t="s">
        <v>473</v>
      </c>
      <c r="C611" s="9" t="n">
        <v>3</v>
      </c>
      <c r="D611" s="10" t="n">
        <v>0.85</v>
      </c>
      <c r="E611" s="10" t="n">
        <f aca="false">C611*D611</f>
        <v>2.55</v>
      </c>
    </row>
    <row r="612" customFormat="false" ht="15" hidden="false" customHeight="false" outlineLevel="0" collapsed="false">
      <c r="A612" s="9" t="s">
        <v>467</v>
      </c>
      <c r="B612" s="9" t="s">
        <v>427</v>
      </c>
      <c r="C612" s="9" t="n">
        <v>3</v>
      </c>
      <c r="D612" s="10" t="n">
        <v>0.42</v>
      </c>
      <c r="E612" s="10" t="n">
        <f aca="false">C612*D612</f>
        <v>1.26</v>
      </c>
    </row>
    <row r="613" customFormat="false" ht="15" hidden="false" customHeight="false" outlineLevel="0" collapsed="false">
      <c r="A613" s="9" t="s">
        <v>467</v>
      </c>
      <c r="B613" s="9" t="s">
        <v>474</v>
      </c>
      <c r="C613" s="9" t="n">
        <v>2</v>
      </c>
      <c r="D613" s="10" t="n">
        <v>4.95</v>
      </c>
      <c r="E613" s="10" t="n">
        <f aca="false">C613*D613</f>
        <v>9.9</v>
      </c>
    </row>
    <row r="614" customFormat="false" ht="15" hidden="false" customHeight="false" outlineLevel="0" collapsed="false">
      <c r="A614" s="9" t="s">
        <v>467</v>
      </c>
      <c r="B614" s="9" t="s">
        <v>475</v>
      </c>
      <c r="C614" s="9" t="n">
        <v>3</v>
      </c>
      <c r="D614" s="10" t="n">
        <v>1.65</v>
      </c>
      <c r="E614" s="10" t="n">
        <f aca="false">C614*D614</f>
        <v>4.95</v>
      </c>
    </row>
    <row r="615" customFormat="false" ht="15" hidden="false" customHeight="false" outlineLevel="0" collapsed="false">
      <c r="A615" s="9" t="s">
        <v>467</v>
      </c>
      <c r="B615" s="9" t="s">
        <v>476</v>
      </c>
      <c r="C615" s="9" t="n">
        <v>3</v>
      </c>
      <c r="D615" s="10" t="n">
        <v>1.65</v>
      </c>
      <c r="E615" s="10" t="n">
        <f aca="false">C615*D615</f>
        <v>4.95</v>
      </c>
    </row>
    <row r="616" customFormat="false" ht="15" hidden="false" customHeight="false" outlineLevel="0" collapsed="false">
      <c r="A616" s="9" t="s">
        <v>467</v>
      </c>
      <c r="B616" s="9" t="s">
        <v>477</v>
      </c>
      <c r="C616" s="9" t="n">
        <v>3</v>
      </c>
      <c r="D616" s="10" t="n">
        <v>1.65</v>
      </c>
      <c r="E616" s="10" t="n">
        <f aca="false">C616*D616</f>
        <v>4.95</v>
      </c>
    </row>
    <row r="617" customFormat="false" ht="15" hidden="false" customHeight="false" outlineLevel="0" collapsed="false">
      <c r="A617" s="9" t="s">
        <v>467</v>
      </c>
      <c r="B617" s="9" t="s">
        <v>478</v>
      </c>
      <c r="C617" s="9" t="n">
        <v>3</v>
      </c>
      <c r="D617" s="10" t="n">
        <v>0.42</v>
      </c>
      <c r="E617" s="10" t="n">
        <f aca="false">C617*D617</f>
        <v>1.26</v>
      </c>
    </row>
    <row r="618" customFormat="false" ht="15" hidden="false" customHeight="false" outlineLevel="0" collapsed="false">
      <c r="A618" s="9" t="s">
        <v>467</v>
      </c>
      <c r="B618" s="9" t="s">
        <v>479</v>
      </c>
      <c r="C618" s="9" t="n">
        <v>3</v>
      </c>
      <c r="D618" s="10" t="n">
        <v>0.42</v>
      </c>
      <c r="E618" s="10" t="n">
        <f aca="false">C618*D618</f>
        <v>1.26</v>
      </c>
    </row>
    <row r="619" customFormat="false" ht="15" hidden="false" customHeight="false" outlineLevel="0" collapsed="false">
      <c r="A619" s="9" t="s">
        <v>467</v>
      </c>
      <c r="B619" s="9" t="s">
        <v>480</v>
      </c>
      <c r="C619" s="9" t="n">
        <v>3</v>
      </c>
      <c r="D619" s="10" t="n">
        <v>0.42</v>
      </c>
      <c r="E619" s="10" t="n">
        <f aca="false">C619*D619</f>
        <v>1.26</v>
      </c>
    </row>
    <row r="620" customFormat="false" ht="15" hidden="false" customHeight="false" outlineLevel="0" collapsed="false">
      <c r="A620" s="9" t="s">
        <v>467</v>
      </c>
      <c r="B620" s="9" t="s">
        <v>481</v>
      </c>
      <c r="C620" s="9" t="n">
        <v>3</v>
      </c>
      <c r="D620" s="10" t="n">
        <v>2.95</v>
      </c>
      <c r="E620" s="10" t="n">
        <f aca="false">C620*D620</f>
        <v>8.85</v>
      </c>
    </row>
    <row r="621" customFormat="false" ht="15" hidden="false" customHeight="false" outlineLevel="0" collapsed="false">
      <c r="A621" s="9" t="s">
        <v>467</v>
      </c>
      <c r="B621" s="9" t="s">
        <v>337</v>
      </c>
      <c r="C621" s="9" t="n">
        <v>3</v>
      </c>
      <c r="D621" s="10" t="n">
        <v>4.65</v>
      </c>
      <c r="E621" s="10" t="n">
        <f aca="false">C621*D621</f>
        <v>13.95</v>
      </c>
    </row>
    <row r="622" customFormat="false" ht="15" hidden="false" customHeight="false" outlineLevel="0" collapsed="false">
      <c r="A622" s="9" t="s">
        <v>467</v>
      </c>
      <c r="B622" s="9" t="s">
        <v>482</v>
      </c>
      <c r="C622" s="9" t="n">
        <v>2</v>
      </c>
      <c r="D622" s="10" t="n">
        <v>1.25</v>
      </c>
      <c r="E622" s="10" t="n">
        <f aca="false">C622*D622</f>
        <v>2.5</v>
      </c>
    </row>
    <row r="623" customFormat="false" ht="15" hidden="false" customHeight="false" outlineLevel="0" collapsed="false">
      <c r="A623" s="9" t="s">
        <v>467</v>
      </c>
      <c r="B623" s="9" t="s">
        <v>55</v>
      </c>
      <c r="C623" s="9" t="n">
        <v>2</v>
      </c>
      <c r="D623" s="10" t="n">
        <v>3.75</v>
      </c>
      <c r="E623" s="10" t="n">
        <f aca="false">C623*D623</f>
        <v>7.5</v>
      </c>
    </row>
    <row r="624" customFormat="false" ht="15" hidden="false" customHeight="false" outlineLevel="0" collapsed="false">
      <c r="A624" s="9" t="s">
        <v>467</v>
      </c>
      <c r="B624" s="9" t="s">
        <v>483</v>
      </c>
      <c r="C624" s="9" t="n">
        <v>12</v>
      </c>
      <c r="D624" s="10" t="n">
        <v>2.95</v>
      </c>
      <c r="E624" s="10" t="n">
        <f aca="false">C624*D624</f>
        <v>35.4</v>
      </c>
    </row>
    <row r="625" customFormat="false" ht="15" hidden="false" customHeight="false" outlineLevel="0" collapsed="false">
      <c r="A625" s="9" t="s">
        <v>467</v>
      </c>
      <c r="B625" s="9" t="s">
        <v>215</v>
      </c>
      <c r="C625" s="9" t="n">
        <v>3</v>
      </c>
      <c r="D625" s="10" t="n">
        <v>8.5</v>
      </c>
      <c r="E625" s="10" t="n">
        <f aca="false">C625*D625</f>
        <v>25.5</v>
      </c>
    </row>
    <row r="626" customFormat="false" ht="15" hidden="false" customHeight="false" outlineLevel="0" collapsed="false">
      <c r="A626" s="9" t="s">
        <v>467</v>
      </c>
      <c r="B626" s="9" t="s">
        <v>484</v>
      </c>
      <c r="C626" s="9" t="n">
        <v>3</v>
      </c>
      <c r="D626" s="10" t="n">
        <v>0.85</v>
      </c>
      <c r="E626" s="10" t="n">
        <f aca="false">C626*D626</f>
        <v>2.55</v>
      </c>
    </row>
    <row r="627" customFormat="false" ht="15" hidden="false" customHeight="false" outlineLevel="0" collapsed="false">
      <c r="A627" s="9" t="s">
        <v>467</v>
      </c>
      <c r="B627" s="9" t="s">
        <v>485</v>
      </c>
      <c r="C627" s="9" t="n">
        <v>3</v>
      </c>
      <c r="D627" s="10" t="n">
        <v>8.5</v>
      </c>
      <c r="E627" s="10" t="n">
        <f aca="false">C627*D627</f>
        <v>25.5</v>
      </c>
    </row>
    <row r="628" customFormat="false" ht="15" hidden="false" customHeight="false" outlineLevel="0" collapsed="false">
      <c r="A628" s="9" t="s">
        <v>467</v>
      </c>
      <c r="B628" s="9" t="s">
        <v>72</v>
      </c>
      <c r="C628" s="9" t="n">
        <v>3</v>
      </c>
      <c r="D628" s="10" t="n">
        <v>2.95</v>
      </c>
      <c r="E628" s="10" t="n">
        <f aca="false">C628*D628</f>
        <v>8.85</v>
      </c>
    </row>
    <row r="629" customFormat="false" ht="15" hidden="false" customHeight="false" outlineLevel="0" collapsed="false">
      <c r="A629" s="9" t="s">
        <v>467</v>
      </c>
      <c r="B629" s="9" t="s">
        <v>486</v>
      </c>
      <c r="C629" s="9" t="n">
        <v>2</v>
      </c>
      <c r="D629" s="10" t="n">
        <v>2.1</v>
      </c>
      <c r="E629" s="10" t="n">
        <f aca="false">C629*D629</f>
        <v>4.2</v>
      </c>
    </row>
    <row r="630" customFormat="false" ht="15" hidden="false" customHeight="false" outlineLevel="0" collapsed="false">
      <c r="A630" s="9" t="s">
        <v>467</v>
      </c>
      <c r="B630" s="9" t="s">
        <v>487</v>
      </c>
      <c r="C630" s="9" t="n">
        <v>10</v>
      </c>
      <c r="D630" s="10" t="n">
        <v>0.55</v>
      </c>
      <c r="E630" s="10" t="n">
        <f aca="false">C630*D630</f>
        <v>5.5</v>
      </c>
    </row>
    <row r="631" customFormat="false" ht="15" hidden="false" customHeight="false" outlineLevel="0" collapsed="false">
      <c r="A631" s="9" t="s">
        <v>467</v>
      </c>
      <c r="B631" s="9" t="s">
        <v>233</v>
      </c>
      <c r="C631" s="9" t="n">
        <v>5</v>
      </c>
      <c r="D631" s="10" t="n">
        <v>2.95</v>
      </c>
      <c r="E631" s="10" t="n">
        <f aca="false">C631*D631</f>
        <v>14.75</v>
      </c>
    </row>
    <row r="632" customFormat="false" ht="15" hidden="false" customHeight="false" outlineLevel="0" collapsed="false">
      <c r="A632" s="9" t="s">
        <v>467</v>
      </c>
      <c r="B632" s="9" t="s">
        <v>488</v>
      </c>
      <c r="C632" s="9" t="n">
        <v>3</v>
      </c>
      <c r="D632" s="10" t="n">
        <v>1.65</v>
      </c>
      <c r="E632" s="10" t="n">
        <f aca="false">C632*D632</f>
        <v>4.95</v>
      </c>
    </row>
    <row r="633" customFormat="false" ht="15" hidden="false" customHeight="false" outlineLevel="0" collapsed="false">
      <c r="A633" s="9" t="s">
        <v>467</v>
      </c>
      <c r="B633" s="9" t="s">
        <v>489</v>
      </c>
      <c r="C633" s="9" t="n">
        <v>3</v>
      </c>
      <c r="D633" s="10" t="n">
        <v>1.65</v>
      </c>
      <c r="E633" s="10" t="n">
        <f aca="false">C633*D633</f>
        <v>4.95</v>
      </c>
    </row>
    <row r="634" customFormat="false" ht="15" hidden="false" customHeight="false" outlineLevel="0" collapsed="false">
      <c r="A634" s="9" t="s">
        <v>467</v>
      </c>
      <c r="B634" s="9" t="s">
        <v>376</v>
      </c>
      <c r="C634" s="9" t="n">
        <v>3</v>
      </c>
      <c r="D634" s="10" t="n">
        <v>1.65</v>
      </c>
      <c r="E634" s="10" t="n">
        <f aca="false">C634*D634</f>
        <v>4.95</v>
      </c>
    </row>
    <row r="635" customFormat="false" ht="15" hidden="false" customHeight="false" outlineLevel="0" collapsed="false">
      <c r="A635" s="9" t="s">
        <v>467</v>
      </c>
      <c r="B635" s="9" t="s">
        <v>490</v>
      </c>
      <c r="C635" s="9" t="n">
        <v>5</v>
      </c>
      <c r="D635" s="10" t="n">
        <v>0.85</v>
      </c>
      <c r="E635" s="10" t="n">
        <f aca="false">C635*D635</f>
        <v>4.25</v>
      </c>
    </row>
    <row r="636" customFormat="false" ht="15" hidden="false" customHeight="false" outlineLevel="0" collapsed="false">
      <c r="A636" s="9" t="s">
        <v>467</v>
      </c>
      <c r="B636" s="9" t="s">
        <v>491</v>
      </c>
      <c r="C636" s="9" t="n">
        <v>2</v>
      </c>
      <c r="D636" s="10" t="n">
        <v>1.25</v>
      </c>
      <c r="E636" s="10" t="n">
        <f aca="false">C636*D636</f>
        <v>2.5</v>
      </c>
    </row>
    <row r="637" customFormat="false" ht="15" hidden="false" customHeight="false" outlineLevel="0" collapsed="false">
      <c r="A637" s="9" t="s">
        <v>467</v>
      </c>
      <c r="B637" s="9" t="s">
        <v>492</v>
      </c>
      <c r="C637" s="9" t="n">
        <v>3</v>
      </c>
      <c r="D637" s="10" t="n">
        <v>1.95</v>
      </c>
      <c r="E637" s="10" t="n">
        <f aca="false">C637*D637</f>
        <v>5.85</v>
      </c>
    </row>
    <row r="638" customFormat="false" ht="15" hidden="false" customHeight="false" outlineLevel="0" collapsed="false">
      <c r="A638" s="9" t="s">
        <v>467</v>
      </c>
      <c r="B638" s="9" t="s">
        <v>493</v>
      </c>
      <c r="C638" s="9" t="n">
        <v>3</v>
      </c>
      <c r="D638" s="10" t="n">
        <v>1.45</v>
      </c>
      <c r="E638" s="10" t="n">
        <f aca="false">C638*D638</f>
        <v>4.35</v>
      </c>
    </row>
    <row r="639" customFormat="false" ht="15" hidden="false" customHeight="false" outlineLevel="0" collapsed="false">
      <c r="A639" s="9" t="s">
        <v>467</v>
      </c>
      <c r="B639" s="9" t="s">
        <v>185</v>
      </c>
      <c r="C639" s="9" t="n">
        <v>1</v>
      </c>
      <c r="D639" s="10" t="n">
        <v>2.95</v>
      </c>
      <c r="E639" s="10" t="n">
        <f aca="false">C639*D639</f>
        <v>2.95</v>
      </c>
    </row>
    <row r="640" customFormat="false" ht="15" hidden="false" customHeight="false" outlineLevel="0" collapsed="false">
      <c r="A640" s="9" t="s">
        <v>467</v>
      </c>
      <c r="B640" s="9" t="s">
        <v>494</v>
      </c>
      <c r="C640" s="9" t="n">
        <v>1</v>
      </c>
      <c r="D640" s="10" t="n">
        <v>5.95</v>
      </c>
      <c r="E640" s="10" t="n">
        <f aca="false">C640*D640</f>
        <v>5.95</v>
      </c>
    </row>
    <row r="641" customFormat="false" ht="15" hidden="false" customHeight="false" outlineLevel="0" collapsed="false">
      <c r="A641" s="9" t="s">
        <v>467</v>
      </c>
      <c r="B641" s="9" t="s">
        <v>179</v>
      </c>
      <c r="C641" s="9" t="n">
        <v>5</v>
      </c>
      <c r="D641" s="10" t="n">
        <v>1.65</v>
      </c>
      <c r="E641" s="10" t="n">
        <f aca="false">C641*D641</f>
        <v>8.25</v>
      </c>
    </row>
    <row r="642" customFormat="false" ht="15" hidden="false" customHeight="false" outlineLevel="0" collapsed="false">
      <c r="A642" s="9" t="s">
        <v>467</v>
      </c>
      <c r="B642" s="9" t="s">
        <v>495</v>
      </c>
      <c r="C642" s="9" t="n">
        <v>4</v>
      </c>
      <c r="D642" s="10" t="n">
        <v>1.45</v>
      </c>
      <c r="E642" s="10" t="n">
        <f aca="false">C642*D642</f>
        <v>5.8</v>
      </c>
    </row>
    <row r="643" customFormat="false" ht="15" hidden="false" customHeight="false" outlineLevel="0" collapsed="false">
      <c r="A643" s="9" t="s">
        <v>467</v>
      </c>
      <c r="B643" s="9" t="s">
        <v>496</v>
      </c>
      <c r="C643" s="9" t="n">
        <v>5</v>
      </c>
      <c r="D643" s="10" t="n">
        <v>2.95</v>
      </c>
      <c r="E643" s="10" t="n">
        <f aca="false">C643*D643</f>
        <v>14.75</v>
      </c>
    </row>
    <row r="644" customFormat="false" ht="15" hidden="false" customHeight="false" outlineLevel="0" collapsed="false">
      <c r="A644" s="9" t="s">
        <v>467</v>
      </c>
      <c r="B644" s="9" t="s">
        <v>79</v>
      </c>
      <c r="C644" s="9" t="n">
        <v>3</v>
      </c>
      <c r="D644" s="10" t="n">
        <v>1.25</v>
      </c>
      <c r="E644" s="10" t="n">
        <f aca="false">C644*D644</f>
        <v>3.75</v>
      </c>
    </row>
    <row r="645" customFormat="false" ht="15" hidden="false" customHeight="false" outlineLevel="0" collapsed="false">
      <c r="A645" s="9" t="s">
        <v>467</v>
      </c>
      <c r="B645" s="9" t="s">
        <v>497</v>
      </c>
      <c r="C645" s="9" t="n">
        <v>6</v>
      </c>
      <c r="D645" s="10" t="n">
        <v>0.85</v>
      </c>
      <c r="E645" s="10" t="n">
        <f aca="false">C645*D645</f>
        <v>5.1</v>
      </c>
    </row>
    <row r="646" customFormat="false" ht="15" hidden="false" customHeight="false" outlineLevel="0" collapsed="false">
      <c r="A646" s="9" t="s">
        <v>467</v>
      </c>
      <c r="B646" s="9" t="s">
        <v>498</v>
      </c>
      <c r="C646" s="9" t="n">
        <v>12</v>
      </c>
      <c r="D646" s="10" t="n">
        <v>0.29</v>
      </c>
      <c r="E646" s="10" t="n">
        <f aca="false">C646*D646</f>
        <v>3.48</v>
      </c>
    </row>
    <row r="647" customFormat="false" ht="15" hidden="false" customHeight="false" outlineLevel="0" collapsed="false">
      <c r="A647" s="9" t="s">
        <v>467</v>
      </c>
      <c r="B647" s="9" t="s">
        <v>499</v>
      </c>
      <c r="C647" s="9" t="n">
        <v>2</v>
      </c>
      <c r="D647" s="10" t="n">
        <v>3.75</v>
      </c>
      <c r="E647" s="10" t="n">
        <f aca="false">C647*D647</f>
        <v>7.5</v>
      </c>
    </row>
    <row r="648" customFormat="false" ht="15" hidden="false" customHeight="false" outlineLevel="0" collapsed="false">
      <c r="A648" s="9" t="s">
        <v>467</v>
      </c>
      <c r="B648" s="9" t="s">
        <v>500</v>
      </c>
      <c r="C648" s="9" t="n">
        <v>12</v>
      </c>
      <c r="D648" s="10" t="n">
        <v>0.29</v>
      </c>
      <c r="E648" s="10" t="n">
        <f aca="false">C648*D648</f>
        <v>3.48</v>
      </c>
    </row>
    <row r="649" customFormat="false" ht="15" hidden="false" customHeight="false" outlineLevel="0" collapsed="false">
      <c r="A649" s="9" t="s">
        <v>467</v>
      </c>
      <c r="B649" s="9" t="s">
        <v>501</v>
      </c>
      <c r="C649" s="9" t="n">
        <v>6</v>
      </c>
      <c r="D649" s="10" t="n">
        <v>0.85</v>
      </c>
      <c r="E649" s="10" t="n">
        <f aca="false">C649*D649</f>
        <v>5.1</v>
      </c>
    </row>
    <row r="650" customFormat="false" ht="15" hidden="false" customHeight="false" outlineLevel="0" collapsed="false">
      <c r="A650" s="9" t="s">
        <v>467</v>
      </c>
      <c r="B650" s="9" t="s">
        <v>502</v>
      </c>
      <c r="C650" s="9" t="n">
        <v>4</v>
      </c>
      <c r="D650" s="10" t="n">
        <v>0.85</v>
      </c>
      <c r="E650" s="10" t="n">
        <f aca="false">C650*D650</f>
        <v>3.4</v>
      </c>
    </row>
    <row r="651" customFormat="false" ht="15" hidden="false" customHeight="false" outlineLevel="0" collapsed="false">
      <c r="A651" s="9" t="s">
        <v>467</v>
      </c>
      <c r="B651" s="9" t="s">
        <v>503</v>
      </c>
      <c r="C651" s="9" t="n">
        <v>1</v>
      </c>
      <c r="D651" s="10" t="n">
        <v>1.25</v>
      </c>
      <c r="E651" s="10" t="n">
        <f aca="false">C651*D651</f>
        <v>1.25</v>
      </c>
    </row>
    <row r="652" customFormat="false" ht="15" hidden="false" customHeight="false" outlineLevel="0" collapsed="false">
      <c r="A652" s="9" t="s">
        <v>467</v>
      </c>
      <c r="B652" s="9" t="s">
        <v>504</v>
      </c>
      <c r="C652" s="9" t="n">
        <v>12</v>
      </c>
      <c r="D652" s="10" t="n">
        <v>0.85</v>
      </c>
      <c r="E652" s="10" t="n">
        <f aca="false">C652*D652</f>
        <v>10.2</v>
      </c>
    </row>
    <row r="653" customFormat="false" ht="15" hidden="false" customHeight="false" outlineLevel="0" collapsed="false">
      <c r="A653" s="9" t="s">
        <v>467</v>
      </c>
      <c r="B653" s="9" t="s">
        <v>128</v>
      </c>
      <c r="C653" s="9" t="n">
        <v>3</v>
      </c>
      <c r="D653" s="10" t="n">
        <v>1.45</v>
      </c>
      <c r="E653" s="10" t="n">
        <f aca="false">C653*D653</f>
        <v>4.35</v>
      </c>
    </row>
    <row r="654" customFormat="false" ht="15" hidden="false" customHeight="false" outlineLevel="0" collapsed="false">
      <c r="A654" s="9" t="s">
        <v>467</v>
      </c>
      <c r="B654" s="9" t="s">
        <v>505</v>
      </c>
      <c r="C654" s="9" t="n">
        <v>4</v>
      </c>
      <c r="D654" s="10" t="n">
        <v>2.1</v>
      </c>
      <c r="E654" s="10" t="n">
        <f aca="false">C654*D654</f>
        <v>8.4</v>
      </c>
    </row>
    <row r="655" customFormat="false" ht="15" hidden="false" customHeight="false" outlineLevel="0" collapsed="false">
      <c r="A655" s="9" t="s">
        <v>467</v>
      </c>
      <c r="B655" s="9" t="s">
        <v>506</v>
      </c>
      <c r="C655" s="9" t="n">
        <v>3</v>
      </c>
      <c r="D655" s="10" t="n">
        <v>0.85</v>
      </c>
      <c r="E655" s="10" t="n">
        <f aca="false">C655*D655</f>
        <v>2.55</v>
      </c>
    </row>
    <row r="656" customFormat="false" ht="15" hidden="false" customHeight="false" outlineLevel="0" collapsed="false">
      <c r="A656" s="9" t="s">
        <v>467</v>
      </c>
      <c r="B656" s="9" t="s">
        <v>507</v>
      </c>
      <c r="C656" s="9" t="n">
        <v>5</v>
      </c>
      <c r="D656" s="10" t="n">
        <v>2.1</v>
      </c>
      <c r="E656" s="10" t="n">
        <f aca="false">C656*D656</f>
        <v>10.5</v>
      </c>
    </row>
    <row r="657" customFormat="false" ht="15" hidden="false" customHeight="false" outlineLevel="0" collapsed="false">
      <c r="A657" s="9" t="s">
        <v>467</v>
      </c>
      <c r="B657" s="9" t="s">
        <v>508</v>
      </c>
      <c r="C657" s="9" t="n">
        <v>5</v>
      </c>
      <c r="D657" s="10" t="n">
        <v>0.85</v>
      </c>
      <c r="E657" s="10" t="n">
        <f aca="false">C657*D657</f>
        <v>4.25</v>
      </c>
    </row>
    <row r="658" customFormat="false" ht="15" hidden="false" customHeight="false" outlineLevel="0" collapsed="false">
      <c r="A658" s="9" t="s">
        <v>509</v>
      </c>
      <c r="B658" s="9" t="s">
        <v>94</v>
      </c>
      <c r="C658" s="9" t="n">
        <v>6</v>
      </c>
      <c r="D658" s="10" t="n">
        <v>2.95</v>
      </c>
      <c r="E658" s="10" t="n">
        <f aca="false">C658*D658</f>
        <v>17.7</v>
      </c>
    </row>
    <row r="659" customFormat="false" ht="15" hidden="false" customHeight="false" outlineLevel="0" collapsed="false">
      <c r="A659" s="9" t="s">
        <v>509</v>
      </c>
      <c r="B659" s="9" t="s">
        <v>321</v>
      </c>
      <c r="C659" s="9" t="n">
        <v>4</v>
      </c>
      <c r="D659" s="10" t="n">
        <v>9.95</v>
      </c>
      <c r="E659" s="10" t="n">
        <f aca="false">C659*D659</f>
        <v>39.8</v>
      </c>
    </row>
    <row r="660" customFormat="false" ht="15" hidden="false" customHeight="false" outlineLevel="0" collapsed="false">
      <c r="A660" s="9" t="s">
        <v>509</v>
      </c>
      <c r="B660" s="9" t="s">
        <v>335</v>
      </c>
      <c r="C660" s="9" t="n">
        <v>4</v>
      </c>
      <c r="D660" s="10" t="n">
        <v>9.95</v>
      </c>
      <c r="E660" s="10" t="n">
        <f aca="false">C660*D660</f>
        <v>39.8</v>
      </c>
    </row>
    <row r="661" customFormat="false" ht="15" hidden="false" customHeight="false" outlineLevel="0" collapsed="false">
      <c r="A661" s="9" t="s">
        <v>509</v>
      </c>
      <c r="B661" s="9" t="s">
        <v>510</v>
      </c>
      <c r="C661" s="9" t="n">
        <v>12</v>
      </c>
      <c r="D661" s="10" t="n">
        <v>1.95</v>
      </c>
      <c r="E661" s="10" t="n">
        <f aca="false">C661*D661</f>
        <v>23.4</v>
      </c>
    </row>
    <row r="662" customFormat="false" ht="15" hidden="false" customHeight="false" outlineLevel="0" collapsed="false">
      <c r="A662" s="9" t="s">
        <v>509</v>
      </c>
      <c r="B662" s="9" t="s">
        <v>511</v>
      </c>
      <c r="C662" s="9" t="n">
        <v>12</v>
      </c>
      <c r="D662" s="10" t="n">
        <v>1.25</v>
      </c>
      <c r="E662" s="10" t="n">
        <f aca="false">C662*D662</f>
        <v>15</v>
      </c>
    </row>
    <row r="663" customFormat="false" ht="15" hidden="false" customHeight="false" outlineLevel="0" collapsed="false">
      <c r="A663" s="9" t="s">
        <v>509</v>
      </c>
      <c r="B663" s="9" t="s">
        <v>384</v>
      </c>
      <c r="C663" s="9" t="n">
        <v>72</v>
      </c>
      <c r="D663" s="10" t="n">
        <v>1.25</v>
      </c>
      <c r="E663" s="10" t="n">
        <f aca="false">C663*D663</f>
        <v>90</v>
      </c>
    </row>
    <row r="664" customFormat="false" ht="15" hidden="false" customHeight="false" outlineLevel="0" collapsed="false">
      <c r="A664" s="9" t="s">
        <v>512</v>
      </c>
      <c r="B664" s="9" t="s">
        <v>272</v>
      </c>
      <c r="C664" s="9" t="n">
        <v>3</v>
      </c>
      <c r="D664" s="10" t="n">
        <v>4.95</v>
      </c>
      <c r="E664" s="10" t="n">
        <f aca="false">C664*D664</f>
        <v>14.85</v>
      </c>
    </row>
    <row r="665" customFormat="false" ht="15" hidden="false" customHeight="false" outlineLevel="0" collapsed="false">
      <c r="A665" s="9" t="s">
        <v>512</v>
      </c>
      <c r="B665" s="9" t="s">
        <v>200</v>
      </c>
      <c r="C665" s="9" t="n">
        <v>12</v>
      </c>
      <c r="D665" s="10" t="n">
        <v>1.45</v>
      </c>
      <c r="E665" s="10" t="n">
        <f aca="false">C665*D665</f>
        <v>17.4</v>
      </c>
    </row>
    <row r="666" customFormat="false" ht="15" hidden="false" customHeight="false" outlineLevel="0" collapsed="false">
      <c r="A666" s="9" t="s">
        <v>512</v>
      </c>
      <c r="B666" s="9" t="s">
        <v>513</v>
      </c>
      <c r="C666" s="9" t="n">
        <v>6</v>
      </c>
      <c r="D666" s="10" t="n">
        <v>2.95</v>
      </c>
      <c r="E666" s="10" t="n">
        <f aca="false">C666*D666</f>
        <v>17.7</v>
      </c>
    </row>
    <row r="667" customFormat="false" ht="15" hidden="false" customHeight="false" outlineLevel="0" collapsed="false">
      <c r="A667" s="9" t="s">
        <v>512</v>
      </c>
      <c r="B667" s="9" t="s">
        <v>514</v>
      </c>
      <c r="C667" s="9" t="n">
        <v>4</v>
      </c>
      <c r="D667" s="10" t="n">
        <v>4.25</v>
      </c>
      <c r="E667" s="10" t="n">
        <f aca="false">C667*D667</f>
        <v>17</v>
      </c>
    </row>
    <row r="668" customFormat="false" ht="15" hidden="false" customHeight="false" outlineLevel="0" collapsed="false">
      <c r="A668" s="9" t="s">
        <v>512</v>
      </c>
      <c r="B668" s="9" t="s">
        <v>309</v>
      </c>
      <c r="C668" s="9" t="n">
        <v>6</v>
      </c>
      <c r="D668" s="10" t="n">
        <v>2.55</v>
      </c>
      <c r="E668" s="10" t="n">
        <f aca="false">C668*D668</f>
        <v>15.3</v>
      </c>
    </row>
    <row r="669" customFormat="false" ht="15" hidden="false" customHeight="false" outlineLevel="0" collapsed="false">
      <c r="A669" s="9" t="s">
        <v>512</v>
      </c>
      <c r="B669" s="9" t="s">
        <v>515</v>
      </c>
      <c r="C669" s="9" t="n">
        <v>4</v>
      </c>
      <c r="D669" s="10" t="n">
        <v>3.75</v>
      </c>
      <c r="E669" s="10" t="n">
        <f aca="false">C669*D669</f>
        <v>15</v>
      </c>
    </row>
    <row r="670" customFormat="false" ht="15" hidden="false" customHeight="false" outlineLevel="0" collapsed="false">
      <c r="A670" s="9" t="s">
        <v>512</v>
      </c>
      <c r="B670" s="9" t="s">
        <v>516</v>
      </c>
      <c r="C670" s="9" t="n">
        <v>6</v>
      </c>
      <c r="D670" s="10" t="n">
        <v>2.95</v>
      </c>
      <c r="E670" s="10" t="n">
        <f aca="false">C670*D670</f>
        <v>17.7</v>
      </c>
    </row>
    <row r="671" customFormat="false" ht="15" hidden="false" customHeight="false" outlineLevel="0" collapsed="false">
      <c r="A671" s="9" t="s">
        <v>512</v>
      </c>
      <c r="B671" s="9" t="s">
        <v>517</v>
      </c>
      <c r="C671" s="9" t="n">
        <v>8</v>
      </c>
      <c r="D671" s="10" t="n">
        <v>2.55</v>
      </c>
      <c r="E671" s="10" t="n">
        <f aca="false">C671*D671</f>
        <v>20.4</v>
      </c>
    </row>
    <row r="672" customFormat="false" ht="15" hidden="false" customHeight="false" outlineLevel="0" collapsed="false">
      <c r="A672" s="9" t="s">
        <v>512</v>
      </c>
      <c r="B672" s="9" t="s">
        <v>518</v>
      </c>
      <c r="C672" s="9" t="n">
        <v>12</v>
      </c>
      <c r="D672" s="10" t="n">
        <v>1.25</v>
      </c>
      <c r="E672" s="10" t="n">
        <f aca="false">C672*D672</f>
        <v>15</v>
      </c>
    </row>
    <row r="673" customFormat="false" ht="15" hidden="false" customHeight="false" outlineLevel="0" collapsed="false">
      <c r="A673" s="9" t="s">
        <v>512</v>
      </c>
      <c r="B673" s="9" t="s">
        <v>519</v>
      </c>
      <c r="C673" s="9" t="n">
        <v>6</v>
      </c>
      <c r="D673" s="10" t="n">
        <v>2.95</v>
      </c>
      <c r="E673" s="10" t="n">
        <f aca="false">C673*D673</f>
        <v>17.7</v>
      </c>
    </row>
    <row r="674" customFormat="false" ht="15" hidden="false" customHeight="false" outlineLevel="0" collapsed="false">
      <c r="A674" s="9" t="s">
        <v>512</v>
      </c>
      <c r="B674" s="9" t="s">
        <v>520</v>
      </c>
      <c r="C674" s="9" t="n">
        <v>8</v>
      </c>
      <c r="D674" s="10" t="n">
        <v>2.55</v>
      </c>
      <c r="E674" s="10" t="n">
        <f aca="false">C674*D674</f>
        <v>20.4</v>
      </c>
    </row>
    <row r="675" customFormat="false" ht="15" hidden="false" customHeight="false" outlineLevel="0" collapsed="false">
      <c r="A675" s="9" t="s">
        <v>512</v>
      </c>
      <c r="B675" s="9" t="s">
        <v>242</v>
      </c>
      <c r="C675" s="9" t="n">
        <v>12</v>
      </c>
      <c r="D675" s="10" t="n">
        <v>1.25</v>
      </c>
      <c r="E675" s="10" t="n">
        <f aca="false">C675*D675</f>
        <v>15</v>
      </c>
    </row>
    <row r="676" customFormat="false" ht="15" hidden="false" customHeight="false" outlineLevel="0" collapsed="false">
      <c r="A676" s="9" t="s">
        <v>512</v>
      </c>
      <c r="B676" s="9" t="s">
        <v>521</v>
      </c>
      <c r="C676" s="9" t="n">
        <v>12</v>
      </c>
      <c r="D676" s="10" t="n">
        <v>1.25</v>
      </c>
      <c r="E676" s="10" t="n">
        <f aca="false">C676*D676</f>
        <v>15</v>
      </c>
    </row>
    <row r="677" customFormat="false" ht="15" hidden="false" customHeight="false" outlineLevel="0" collapsed="false">
      <c r="A677" s="9" t="s">
        <v>512</v>
      </c>
      <c r="B677" s="9" t="s">
        <v>243</v>
      </c>
      <c r="C677" s="9" t="n">
        <v>12</v>
      </c>
      <c r="D677" s="10" t="n">
        <v>1.25</v>
      </c>
      <c r="E677" s="10" t="n">
        <f aca="false">C677*D677</f>
        <v>15</v>
      </c>
    </row>
    <row r="678" customFormat="false" ht="15" hidden="false" customHeight="false" outlineLevel="0" collapsed="false">
      <c r="A678" s="9" t="s">
        <v>522</v>
      </c>
      <c r="B678" s="9" t="s">
        <v>515</v>
      </c>
      <c r="C678" s="9" t="n">
        <v>8</v>
      </c>
      <c r="D678" s="10" t="n">
        <v>3.75</v>
      </c>
      <c r="E678" s="10" t="n">
        <f aca="false">C678*D678</f>
        <v>30</v>
      </c>
    </row>
    <row r="679" customFormat="false" ht="15" hidden="false" customHeight="false" outlineLevel="0" collapsed="false">
      <c r="A679" s="9" t="s">
        <v>522</v>
      </c>
      <c r="B679" s="9" t="s">
        <v>272</v>
      </c>
      <c r="C679" s="9" t="n">
        <v>16</v>
      </c>
      <c r="D679" s="10" t="n">
        <v>4.95</v>
      </c>
      <c r="E679" s="10" t="n">
        <f aca="false">C679*D679</f>
        <v>79.2</v>
      </c>
    </row>
    <row r="680" customFormat="false" ht="15" hidden="false" customHeight="false" outlineLevel="0" collapsed="false">
      <c r="A680" s="9" t="s">
        <v>522</v>
      </c>
      <c r="B680" s="9" t="s">
        <v>41</v>
      </c>
      <c r="C680" s="9" t="n">
        <v>8</v>
      </c>
      <c r="D680" s="10" t="n">
        <v>3.75</v>
      </c>
      <c r="E680" s="10" t="n">
        <f aca="false">C680*D680</f>
        <v>30</v>
      </c>
    </row>
    <row r="681" customFormat="false" ht="15" hidden="false" customHeight="false" outlineLevel="0" collapsed="false">
      <c r="A681" s="9" t="s">
        <v>522</v>
      </c>
      <c r="B681" s="9" t="s">
        <v>225</v>
      </c>
      <c r="C681" s="9" t="n">
        <v>8</v>
      </c>
      <c r="D681" s="10" t="n">
        <v>4.95</v>
      </c>
      <c r="E681" s="10" t="n">
        <f aca="false">C681*D681</f>
        <v>39.6</v>
      </c>
    </row>
    <row r="682" customFormat="false" ht="15" hidden="false" customHeight="false" outlineLevel="0" collapsed="false">
      <c r="A682" s="9" t="s">
        <v>522</v>
      </c>
      <c r="B682" s="9" t="s">
        <v>269</v>
      </c>
      <c r="C682" s="9" t="n">
        <v>8</v>
      </c>
      <c r="D682" s="10" t="n">
        <v>3.75</v>
      </c>
      <c r="E682" s="10" t="n">
        <f aca="false">C682*D682</f>
        <v>30</v>
      </c>
    </row>
    <row r="683" customFormat="false" ht="15" hidden="false" customHeight="false" outlineLevel="0" collapsed="false">
      <c r="A683" s="9" t="s">
        <v>522</v>
      </c>
      <c r="B683" s="9" t="s">
        <v>337</v>
      </c>
      <c r="C683" s="9" t="n">
        <v>8</v>
      </c>
      <c r="D683" s="10" t="n">
        <v>4.65</v>
      </c>
      <c r="E683" s="10" t="n">
        <f aca="false">C683*D683</f>
        <v>37.2</v>
      </c>
    </row>
    <row r="684" customFormat="false" ht="15" hidden="false" customHeight="false" outlineLevel="0" collapsed="false">
      <c r="A684" s="9" t="s">
        <v>522</v>
      </c>
      <c r="B684" s="9" t="s">
        <v>46</v>
      </c>
      <c r="C684" s="9" t="n">
        <v>12</v>
      </c>
      <c r="D684" s="10" t="n">
        <v>2.1</v>
      </c>
      <c r="E684" s="10" t="n">
        <f aca="false">C684*D684</f>
        <v>25.2</v>
      </c>
    </row>
    <row r="685" customFormat="false" ht="15" hidden="false" customHeight="false" outlineLevel="0" collapsed="false">
      <c r="A685" s="9" t="s">
        <v>522</v>
      </c>
      <c r="B685" s="9" t="s">
        <v>523</v>
      </c>
      <c r="C685" s="9" t="n">
        <v>6</v>
      </c>
      <c r="D685" s="10" t="n">
        <v>2.95</v>
      </c>
      <c r="E685" s="10" t="n">
        <f aca="false">C685*D685</f>
        <v>17.7</v>
      </c>
    </row>
    <row r="686" customFormat="false" ht="15" hidden="false" customHeight="false" outlineLevel="0" collapsed="false">
      <c r="A686" s="9" t="s">
        <v>522</v>
      </c>
      <c r="B686" s="9" t="s">
        <v>244</v>
      </c>
      <c r="C686" s="9" t="n">
        <v>4</v>
      </c>
      <c r="D686" s="10" t="n">
        <v>3.75</v>
      </c>
      <c r="E686" s="10" t="n">
        <f aca="false">C686*D686</f>
        <v>15</v>
      </c>
    </row>
    <row r="687" customFormat="false" ht="15" hidden="false" customHeight="false" outlineLevel="0" collapsed="false">
      <c r="A687" s="9" t="s">
        <v>524</v>
      </c>
      <c r="B687" s="9" t="s">
        <v>128</v>
      </c>
      <c r="C687" s="9" t="n">
        <v>12</v>
      </c>
      <c r="D687" s="10" t="n">
        <v>1.45</v>
      </c>
      <c r="E687" s="10" t="n">
        <f aca="false">C687*D687</f>
        <v>17.4</v>
      </c>
    </row>
    <row r="688" customFormat="false" ht="15" hidden="false" customHeight="false" outlineLevel="0" collapsed="false">
      <c r="A688" s="9" t="s">
        <v>524</v>
      </c>
      <c r="B688" s="9" t="s">
        <v>525</v>
      </c>
      <c r="C688" s="9" t="n">
        <v>2</v>
      </c>
      <c r="D688" s="10" t="n">
        <v>9.95</v>
      </c>
      <c r="E688" s="10" t="n">
        <f aca="false">C688*D688</f>
        <v>19.9</v>
      </c>
    </row>
    <row r="689" customFormat="false" ht="15" hidden="false" customHeight="false" outlineLevel="0" collapsed="false">
      <c r="A689" s="9" t="s">
        <v>524</v>
      </c>
      <c r="B689" s="9" t="s">
        <v>335</v>
      </c>
      <c r="C689" s="9" t="n">
        <v>2</v>
      </c>
      <c r="D689" s="10" t="n">
        <v>9.95</v>
      </c>
      <c r="E689" s="10" t="n">
        <f aca="false">C689*D689</f>
        <v>19.9</v>
      </c>
    </row>
    <row r="690" customFormat="false" ht="15" hidden="false" customHeight="false" outlineLevel="0" collapsed="false">
      <c r="A690" s="9" t="s">
        <v>524</v>
      </c>
      <c r="B690" s="9" t="s">
        <v>273</v>
      </c>
      <c r="C690" s="9" t="n">
        <v>6</v>
      </c>
      <c r="D690" s="10" t="n">
        <v>3.35</v>
      </c>
      <c r="E690" s="10" t="n">
        <f aca="false">C690*D690</f>
        <v>20.1</v>
      </c>
    </row>
    <row r="691" customFormat="false" ht="15" hidden="false" customHeight="false" outlineLevel="0" collapsed="false">
      <c r="A691" s="9" t="s">
        <v>524</v>
      </c>
      <c r="B691" s="9" t="s">
        <v>313</v>
      </c>
      <c r="C691" s="9" t="n">
        <v>6</v>
      </c>
      <c r="D691" s="10" t="n">
        <v>3.35</v>
      </c>
      <c r="E691" s="10" t="n">
        <f aca="false">C691*D691</f>
        <v>20.1</v>
      </c>
    </row>
    <row r="692" customFormat="false" ht="15" hidden="false" customHeight="false" outlineLevel="0" collapsed="false">
      <c r="A692" s="9" t="s">
        <v>524</v>
      </c>
      <c r="B692" s="9" t="s">
        <v>526</v>
      </c>
      <c r="C692" s="9" t="n">
        <v>4</v>
      </c>
      <c r="D692" s="10" t="n">
        <v>3.75</v>
      </c>
      <c r="E692" s="10" t="n">
        <f aca="false">C692*D692</f>
        <v>15</v>
      </c>
    </row>
    <row r="693" customFormat="false" ht="15" hidden="false" customHeight="false" outlineLevel="0" collapsed="false">
      <c r="A693" s="9" t="s">
        <v>524</v>
      </c>
      <c r="B693" s="9" t="s">
        <v>527</v>
      </c>
      <c r="C693" s="9" t="n">
        <v>8</v>
      </c>
      <c r="D693" s="10" t="n">
        <v>3.75</v>
      </c>
      <c r="E693" s="10" t="n">
        <f aca="false">C693*D693</f>
        <v>30</v>
      </c>
    </row>
    <row r="694" customFormat="false" ht="15" hidden="false" customHeight="false" outlineLevel="0" collapsed="false">
      <c r="A694" s="9" t="s">
        <v>524</v>
      </c>
      <c r="B694" s="9" t="s">
        <v>528</v>
      </c>
      <c r="C694" s="9" t="n">
        <v>12</v>
      </c>
      <c r="D694" s="10" t="n">
        <v>1.45</v>
      </c>
      <c r="E694" s="10" t="n">
        <f aca="false">C694*D694</f>
        <v>17.4</v>
      </c>
    </row>
    <row r="695" customFormat="false" ht="15" hidden="false" customHeight="false" outlineLevel="0" collapsed="false">
      <c r="A695" s="9" t="s">
        <v>524</v>
      </c>
      <c r="B695" s="9" t="s">
        <v>206</v>
      </c>
      <c r="C695" s="9" t="n">
        <v>3</v>
      </c>
      <c r="D695" s="10" t="n">
        <v>4.25</v>
      </c>
      <c r="E695" s="10" t="n">
        <f aca="false">C695*D695</f>
        <v>12.75</v>
      </c>
    </row>
    <row r="696" customFormat="false" ht="15" hidden="false" customHeight="false" outlineLevel="0" collapsed="false">
      <c r="A696" s="9" t="s">
        <v>524</v>
      </c>
      <c r="B696" s="9" t="s">
        <v>131</v>
      </c>
      <c r="C696" s="9" t="n">
        <v>12</v>
      </c>
      <c r="D696" s="10" t="n">
        <v>1.45</v>
      </c>
      <c r="E696" s="10" t="n">
        <f aca="false">C696*D696</f>
        <v>17.4</v>
      </c>
    </row>
    <row r="697" customFormat="false" ht="15" hidden="false" customHeight="false" outlineLevel="0" collapsed="false">
      <c r="A697" s="9" t="s">
        <v>524</v>
      </c>
      <c r="B697" s="9" t="s">
        <v>529</v>
      </c>
      <c r="C697" s="9" t="n">
        <v>12</v>
      </c>
      <c r="D697" s="10" t="n">
        <v>1.45</v>
      </c>
      <c r="E697" s="10" t="n">
        <f aca="false">C697*D697</f>
        <v>17.4</v>
      </c>
    </row>
    <row r="698" customFormat="false" ht="15" hidden="false" customHeight="false" outlineLevel="0" collapsed="false">
      <c r="A698" s="9" t="s">
        <v>524</v>
      </c>
      <c r="B698" s="9" t="s">
        <v>137</v>
      </c>
      <c r="C698" s="9" t="n">
        <v>12</v>
      </c>
      <c r="D698" s="10" t="n">
        <v>1.45</v>
      </c>
      <c r="E698" s="10" t="n">
        <f aca="false">C698*D698</f>
        <v>17.4</v>
      </c>
    </row>
    <row r="699" customFormat="false" ht="15" hidden="false" customHeight="false" outlineLevel="0" collapsed="false">
      <c r="A699" s="9" t="s">
        <v>524</v>
      </c>
      <c r="B699" s="9" t="s">
        <v>530</v>
      </c>
      <c r="C699" s="9" t="n">
        <v>6</v>
      </c>
      <c r="D699" s="10" t="n">
        <v>2.55</v>
      </c>
      <c r="E699" s="10" t="n">
        <f aca="false">C699*D699</f>
        <v>15.3</v>
      </c>
    </row>
    <row r="700" customFormat="false" ht="15" hidden="false" customHeight="false" outlineLevel="0" collapsed="false">
      <c r="A700" s="9" t="s">
        <v>524</v>
      </c>
      <c r="B700" s="9" t="s">
        <v>155</v>
      </c>
      <c r="C700" s="9" t="n">
        <v>12</v>
      </c>
      <c r="D700" s="10" t="n">
        <v>2.55</v>
      </c>
      <c r="E700" s="10" t="n">
        <f aca="false">C700*D700</f>
        <v>30.6</v>
      </c>
    </row>
    <row r="701" customFormat="false" ht="15" hidden="false" customHeight="false" outlineLevel="0" collapsed="false">
      <c r="A701" s="9" t="s">
        <v>524</v>
      </c>
      <c r="B701" s="9" t="s">
        <v>196</v>
      </c>
      <c r="C701" s="9" t="n">
        <v>8</v>
      </c>
      <c r="D701" s="10" t="n">
        <v>4.95</v>
      </c>
      <c r="E701" s="10" t="n">
        <f aca="false">C701*D701</f>
        <v>39.6</v>
      </c>
    </row>
    <row r="702" customFormat="false" ht="15" hidden="false" customHeight="false" outlineLevel="0" collapsed="false">
      <c r="A702" s="9" t="s">
        <v>524</v>
      </c>
      <c r="B702" s="9" t="s">
        <v>531</v>
      </c>
      <c r="C702" s="9" t="n">
        <v>12</v>
      </c>
      <c r="D702" s="10" t="n">
        <v>1.25</v>
      </c>
      <c r="E702" s="10" t="n">
        <f aca="false">C702*D702</f>
        <v>15</v>
      </c>
    </row>
    <row r="703" customFormat="false" ht="15" hidden="false" customHeight="false" outlineLevel="0" collapsed="false">
      <c r="A703" s="9" t="s">
        <v>524</v>
      </c>
      <c r="B703" s="9" t="s">
        <v>337</v>
      </c>
      <c r="C703" s="9" t="n">
        <v>8</v>
      </c>
      <c r="D703" s="10" t="n">
        <v>4.65</v>
      </c>
      <c r="E703" s="10" t="n">
        <f aca="false">C703*D703</f>
        <v>37.2</v>
      </c>
    </row>
    <row r="704" customFormat="false" ht="15" hidden="false" customHeight="false" outlineLevel="0" collapsed="false">
      <c r="A704" s="9" t="s">
        <v>532</v>
      </c>
      <c r="B704" s="9" t="s">
        <v>533</v>
      </c>
      <c r="C704" s="9" t="n">
        <v>48</v>
      </c>
      <c r="D704" s="10" t="n">
        <v>1.25</v>
      </c>
      <c r="E704" s="10" t="n">
        <f aca="false">C704*D704</f>
        <v>60</v>
      </c>
    </row>
    <row r="705" customFormat="false" ht="15" hidden="false" customHeight="false" outlineLevel="0" collapsed="false">
      <c r="A705" s="9" t="s">
        <v>532</v>
      </c>
      <c r="B705" s="9" t="s">
        <v>261</v>
      </c>
      <c r="C705" s="9" t="n">
        <v>36</v>
      </c>
      <c r="D705" s="10" t="n">
        <v>3.39</v>
      </c>
      <c r="E705" s="10" t="n">
        <f aca="false">C705*D705</f>
        <v>122.04</v>
      </c>
    </row>
    <row r="706" customFormat="false" ht="15" hidden="false" customHeight="false" outlineLevel="0" collapsed="false">
      <c r="A706" s="9" t="s">
        <v>532</v>
      </c>
      <c r="B706" s="9" t="s">
        <v>534</v>
      </c>
      <c r="C706" s="9" t="n">
        <v>48</v>
      </c>
      <c r="D706" s="10" t="n">
        <v>1.25</v>
      </c>
      <c r="E706" s="10" t="n">
        <f aca="false">C706*D706</f>
        <v>60</v>
      </c>
    </row>
    <row r="707" customFormat="false" ht="15" hidden="false" customHeight="false" outlineLevel="0" collapsed="false">
      <c r="A707" s="9" t="s">
        <v>532</v>
      </c>
      <c r="B707" s="9" t="s">
        <v>176</v>
      </c>
      <c r="C707" s="9" t="n">
        <v>72</v>
      </c>
      <c r="D707" s="10" t="n">
        <v>3.39</v>
      </c>
      <c r="E707" s="10" t="n">
        <f aca="false">C707*D707</f>
        <v>244.08</v>
      </c>
    </row>
    <row r="708" customFormat="false" ht="15" hidden="false" customHeight="false" outlineLevel="0" collapsed="false">
      <c r="A708" s="9" t="s">
        <v>532</v>
      </c>
      <c r="B708" s="9" t="s">
        <v>535</v>
      </c>
      <c r="C708" s="9" t="n">
        <v>200</v>
      </c>
      <c r="D708" s="10" t="n">
        <v>1.06</v>
      </c>
      <c r="E708" s="10" t="n">
        <f aca="false">C708*D708</f>
        <v>212</v>
      </c>
    </row>
    <row r="709" customFormat="false" ht="15" hidden="false" customHeight="false" outlineLevel="0" collapsed="false">
      <c r="A709" s="9" t="s">
        <v>532</v>
      </c>
      <c r="B709" s="9" t="s">
        <v>536</v>
      </c>
      <c r="C709" s="9" t="n">
        <v>600</v>
      </c>
      <c r="D709" s="10" t="n">
        <v>0.24</v>
      </c>
      <c r="E709" s="10" t="n">
        <f aca="false">C709*D709</f>
        <v>144</v>
      </c>
    </row>
    <row r="710" customFormat="false" ht="15" hidden="false" customHeight="false" outlineLevel="0" collapsed="false">
      <c r="A710" s="9" t="s">
        <v>537</v>
      </c>
      <c r="B710" s="9" t="s">
        <v>412</v>
      </c>
      <c r="C710" s="9" t="n">
        <v>24</v>
      </c>
      <c r="D710" s="10" t="n">
        <v>1.25</v>
      </c>
      <c r="E710" s="10" t="n">
        <f aca="false">C710*D710</f>
        <v>30</v>
      </c>
    </row>
    <row r="711" customFormat="false" ht="15" hidden="false" customHeight="false" outlineLevel="0" collapsed="false">
      <c r="A711" s="9" t="s">
        <v>537</v>
      </c>
      <c r="B711" s="9" t="s">
        <v>242</v>
      </c>
      <c r="C711" s="9" t="n">
        <v>2</v>
      </c>
      <c r="D711" s="10" t="n">
        <v>1.25</v>
      </c>
      <c r="E711" s="10" t="n">
        <f aca="false">C711*D711</f>
        <v>2.5</v>
      </c>
    </row>
    <row r="712" customFormat="false" ht="15" hidden="false" customHeight="false" outlineLevel="0" collapsed="false">
      <c r="A712" s="9" t="s">
        <v>537</v>
      </c>
      <c r="B712" s="9" t="s">
        <v>244</v>
      </c>
      <c r="C712" s="9" t="n">
        <v>8</v>
      </c>
      <c r="D712" s="10" t="n">
        <v>3.75</v>
      </c>
      <c r="E712" s="10" t="n">
        <f aca="false">C712*D712</f>
        <v>30</v>
      </c>
    </row>
    <row r="713" customFormat="false" ht="15" hidden="false" customHeight="false" outlineLevel="0" collapsed="false">
      <c r="A713" s="9" t="s">
        <v>537</v>
      </c>
      <c r="B713" s="9" t="s">
        <v>377</v>
      </c>
      <c r="C713" s="9" t="n">
        <v>6</v>
      </c>
      <c r="D713" s="10" t="n">
        <v>1.25</v>
      </c>
      <c r="E713" s="10" t="n">
        <f aca="false">C713*D713</f>
        <v>7.5</v>
      </c>
    </row>
    <row r="714" customFormat="false" ht="15" hidden="false" customHeight="false" outlineLevel="0" collapsed="false">
      <c r="A714" s="9" t="s">
        <v>537</v>
      </c>
      <c r="B714" s="9" t="s">
        <v>375</v>
      </c>
      <c r="C714" s="9" t="n">
        <v>12</v>
      </c>
      <c r="D714" s="10" t="n">
        <v>2.55</v>
      </c>
      <c r="E714" s="10" t="n">
        <f aca="false">C714*D714</f>
        <v>30.6</v>
      </c>
    </row>
    <row r="715" customFormat="false" ht="15" hidden="false" customHeight="false" outlineLevel="0" collapsed="false">
      <c r="A715" s="9" t="s">
        <v>537</v>
      </c>
      <c r="B715" s="9" t="s">
        <v>538</v>
      </c>
      <c r="C715" s="9" t="n">
        <v>3</v>
      </c>
      <c r="D715" s="10" t="n">
        <v>1.95</v>
      </c>
      <c r="E715" s="10" t="n">
        <f aca="false">C715*D715</f>
        <v>5.85</v>
      </c>
    </row>
    <row r="716" customFormat="false" ht="15" hidden="false" customHeight="false" outlineLevel="0" collapsed="false">
      <c r="A716" s="9" t="s">
        <v>537</v>
      </c>
      <c r="B716" s="9" t="s">
        <v>539</v>
      </c>
      <c r="C716" s="9" t="n">
        <v>24</v>
      </c>
      <c r="D716" s="10" t="n">
        <v>1.25</v>
      </c>
      <c r="E716" s="10" t="n">
        <f aca="false">C716*D716</f>
        <v>30</v>
      </c>
    </row>
    <row r="717" customFormat="false" ht="15" hidden="false" customHeight="false" outlineLevel="0" collapsed="false">
      <c r="A717" s="9" t="s">
        <v>537</v>
      </c>
      <c r="B717" s="9" t="s">
        <v>540</v>
      </c>
      <c r="C717" s="9" t="n">
        <v>2</v>
      </c>
      <c r="D717" s="10" t="n">
        <v>9.95</v>
      </c>
      <c r="E717" s="10" t="n">
        <f aca="false">C717*D717</f>
        <v>19.9</v>
      </c>
    </row>
    <row r="718" customFormat="false" ht="15" hidden="false" customHeight="false" outlineLevel="0" collapsed="false">
      <c r="A718" s="9" t="s">
        <v>537</v>
      </c>
      <c r="B718" s="9" t="s">
        <v>541</v>
      </c>
      <c r="C718" s="9" t="n">
        <v>4</v>
      </c>
      <c r="D718" s="10" t="n">
        <v>2.55</v>
      </c>
      <c r="E718" s="10" t="n">
        <f aca="false">C718*D718</f>
        <v>10.2</v>
      </c>
    </row>
    <row r="719" customFormat="false" ht="15" hidden="false" customHeight="false" outlineLevel="0" collapsed="false">
      <c r="A719" s="9" t="s">
        <v>537</v>
      </c>
      <c r="B719" s="9" t="s">
        <v>284</v>
      </c>
      <c r="C719" s="9" t="n">
        <v>4</v>
      </c>
      <c r="D719" s="10" t="n">
        <v>2.55</v>
      </c>
      <c r="E719" s="10" t="n">
        <f aca="false">C719*D719</f>
        <v>10.2</v>
      </c>
    </row>
    <row r="720" customFormat="false" ht="15" hidden="false" customHeight="false" outlineLevel="0" collapsed="false">
      <c r="A720" s="9" t="s">
        <v>537</v>
      </c>
      <c r="B720" s="9" t="s">
        <v>542</v>
      </c>
      <c r="C720" s="9" t="n">
        <v>24</v>
      </c>
      <c r="D720" s="10" t="n">
        <v>0.42</v>
      </c>
      <c r="E720" s="10" t="n">
        <f aca="false">C720*D720</f>
        <v>10.08</v>
      </c>
    </row>
    <row r="721" customFormat="false" ht="15" hidden="false" customHeight="false" outlineLevel="0" collapsed="false">
      <c r="A721" s="9" t="s">
        <v>537</v>
      </c>
      <c r="B721" s="9" t="s">
        <v>543</v>
      </c>
      <c r="C721" s="9" t="n">
        <v>16</v>
      </c>
      <c r="D721" s="10" t="n">
        <v>0.42</v>
      </c>
      <c r="E721" s="10" t="n">
        <f aca="false">C721*D721</f>
        <v>6.72</v>
      </c>
    </row>
    <row r="722" customFormat="false" ht="15" hidden="false" customHeight="false" outlineLevel="0" collapsed="false">
      <c r="A722" s="9" t="s">
        <v>537</v>
      </c>
      <c r="B722" s="9" t="s">
        <v>519</v>
      </c>
      <c r="C722" s="9" t="n">
        <v>2</v>
      </c>
      <c r="D722" s="10" t="n">
        <v>2.95</v>
      </c>
      <c r="E722" s="10" t="n">
        <f aca="false">C722*D722</f>
        <v>5.9</v>
      </c>
    </row>
    <row r="723" customFormat="false" ht="15" hidden="false" customHeight="false" outlineLevel="0" collapsed="false">
      <c r="A723" s="9" t="s">
        <v>537</v>
      </c>
      <c r="B723" s="9" t="s">
        <v>300</v>
      </c>
      <c r="C723" s="9" t="n">
        <v>10</v>
      </c>
      <c r="D723" s="10" t="n">
        <v>2.95</v>
      </c>
      <c r="E723" s="10" t="n">
        <f aca="false">C723*D723</f>
        <v>29.5</v>
      </c>
    </row>
    <row r="724" customFormat="false" ht="15" hidden="false" customHeight="false" outlineLevel="0" collapsed="false">
      <c r="A724" s="9" t="s">
        <v>537</v>
      </c>
      <c r="B724" s="9" t="s">
        <v>544</v>
      </c>
      <c r="C724" s="9" t="n">
        <v>10</v>
      </c>
      <c r="D724" s="10" t="n">
        <v>0.42</v>
      </c>
      <c r="E724" s="10" t="n">
        <f aca="false">C724*D724</f>
        <v>4.2</v>
      </c>
    </row>
    <row r="725" customFormat="false" ht="15" hidden="false" customHeight="false" outlineLevel="0" collapsed="false">
      <c r="A725" s="9" t="s">
        <v>537</v>
      </c>
      <c r="B725" s="9" t="s">
        <v>545</v>
      </c>
      <c r="C725" s="9" t="n">
        <v>6</v>
      </c>
      <c r="D725" s="10" t="n">
        <v>1.65</v>
      </c>
      <c r="E725" s="10" t="n">
        <f aca="false">C725*D725</f>
        <v>9.9</v>
      </c>
    </row>
    <row r="726" customFormat="false" ht="15" hidden="false" customHeight="false" outlineLevel="0" collapsed="false">
      <c r="A726" s="9" t="s">
        <v>537</v>
      </c>
      <c r="B726" s="9" t="s">
        <v>546</v>
      </c>
      <c r="C726" s="9" t="n">
        <v>2</v>
      </c>
      <c r="D726" s="10" t="n">
        <v>1.65</v>
      </c>
      <c r="E726" s="10" t="n">
        <f aca="false">C726*D726</f>
        <v>3.3</v>
      </c>
    </row>
    <row r="727" customFormat="false" ht="15" hidden="false" customHeight="false" outlineLevel="0" collapsed="false">
      <c r="A727" s="9" t="s">
        <v>537</v>
      </c>
      <c r="B727" s="9" t="s">
        <v>543</v>
      </c>
      <c r="C727" s="9" t="n">
        <v>32</v>
      </c>
      <c r="D727" s="10" t="n">
        <v>0.42</v>
      </c>
      <c r="E727" s="10" t="n">
        <f aca="false">C727*D727</f>
        <v>13.44</v>
      </c>
    </row>
    <row r="728" customFormat="false" ht="15" hidden="false" customHeight="false" outlineLevel="0" collapsed="false">
      <c r="A728" s="9" t="s">
        <v>537</v>
      </c>
      <c r="B728" s="9" t="s">
        <v>547</v>
      </c>
      <c r="C728" s="9" t="n">
        <v>2</v>
      </c>
      <c r="D728" s="10" t="n">
        <v>1.45</v>
      </c>
      <c r="E728" s="10" t="n">
        <f aca="false">C728*D728</f>
        <v>2.9</v>
      </c>
    </row>
    <row r="729" customFormat="false" ht="15" hidden="false" customHeight="false" outlineLevel="0" collapsed="false">
      <c r="A729" s="9" t="s">
        <v>537</v>
      </c>
      <c r="B729" s="9" t="s">
        <v>444</v>
      </c>
      <c r="C729" s="9" t="n">
        <v>2</v>
      </c>
      <c r="D729" s="10" t="n">
        <v>2.1</v>
      </c>
      <c r="E729" s="10" t="n">
        <f aca="false">C729*D729</f>
        <v>4.2</v>
      </c>
    </row>
    <row r="730" customFormat="false" ht="15" hidden="false" customHeight="false" outlineLevel="0" collapsed="false">
      <c r="A730" s="9" t="s">
        <v>537</v>
      </c>
      <c r="B730" s="9" t="s">
        <v>548</v>
      </c>
      <c r="C730" s="9" t="n">
        <v>6</v>
      </c>
      <c r="D730" s="10" t="n">
        <v>1.25</v>
      </c>
      <c r="E730" s="10" t="n">
        <f aca="false">C730*D730</f>
        <v>7.5</v>
      </c>
    </row>
    <row r="731" customFormat="false" ht="15" hidden="false" customHeight="false" outlineLevel="0" collapsed="false">
      <c r="A731" s="9" t="s">
        <v>537</v>
      </c>
      <c r="B731" s="9" t="s">
        <v>549</v>
      </c>
      <c r="C731" s="9" t="n">
        <v>48</v>
      </c>
      <c r="D731" s="10" t="n">
        <v>1.25</v>
      </c>
      <c r="E731" s="10" t="n">
        <f aca="false">C731*D731</f>
        <v>60</v>
      </c>
    </row>
    <row r="732" customFormat="false" ht="15" hidden="false" customHeight="false" outlineLevel="0" collapsed="false">
      <c r="A732" s="9" t="s">
        <v>537</v>
      </c>
      <c r="B732" s="9" t="s">
        <v>538</v>
      </c>
      <c r="C732" s="9" t="n">
        <v>1</v>
      </c>
      <c r="D732" s="10" t="n">
        <v>1.95</v>
      </c>
      <c r="E732" s="10" t="n">
        <f aca="false">C732*D732</f>
        <v>1.95</v>
      </c>
    </row>
    <row r="733" customFormat="false" ht="15" hidden="false" customHeight="false" outlineLevel="0" collapsed="false">
      <c r="A733" s="9" t="s">
        <v>537</v>
      </c>
      <c r="B733" s="9" t="s">
        <v>550</v>
      </c>
      <c r="C733" s="9" t="n">
        <v>12</v>
      </c>
      <c r="D733" s="10" t="n">
        <v>1.25</v>
      </c>
      <c r="E733" s="10" t="n">
        <f aca="false">C733*D733</f>
        <v>15</v>
      </c>
    </row>
    <row r="734" customFormat="false" ht="15" hidden="false" customHeight="false" outlineLevel="0" collapsed="false">
      <c r="A734" s="9" t="s">
        <v>537</v>
      </c>
      <c r="B734" s="9" t="s">
        <v>551</v>
      </c>
      <c r="C734" s="9" t="n">
        <v>5</v>
      </c>
      <c r="D734" s="10" t="n">
        <v>0.85</v>
      </c>
      <c r="E734" s="10" t="n">
        <f aca="false">C734*D734</f>
        <v>4.25</v>
      </c>
    </row>
    <row r="735" customFormat="false" ht="15" hidden="false" customHeight="false" outlineLevel="0" collapsed="false">
      <c r="A735" s="9" t="s">
        <v>537</v>
      </c>
      <c r="B735" s="9" t="s">
        <v>552</v>
      </c>
      <c r="C735" s="9" t="n">
        <v>6</v>
      </c>
      <c r="D735" s="10" t="n">
        <v>2.55</v>
      </c>
      <c r="E735" s="10" t="n">
        <f aca="false">C735*D735</f>
        <v>15.3</v>
      </c>
    </row>
    <row r="736" customFormat="false" ht="15" hidden="false" customHeight="false" outlineLevel="0" collapsed="false">
      <c r="A736" s="9" t="s">
        <v>537</v>
      </c>
      <c r="B736" s="9" t="s">
        <v>549</v>
      </c>
      <c r="C736" s="9" t="n">
        <v>24</v>
      </c>
      <c r="D736" s="10" t="n">
        <v>1.25</v>
      </c>
      <c r="E736" s="10" t="n">
        <f aca="false">C736*D736</f>
        <v>30</v>
      </c>
    </row>
    <row r="737" customFormat="false" ht="15" hidden="false" customHeight="false" outlineLevel="0" collapsed="false">
      <c r="A737" s="9" t="s">
        <v>537</v>
      </c>
      <c r="B737" s="9" t="s">
        <v>553</v>
      </c>
      <c r="C737" s="9" t="n">
        <v>12</v>
      </c>
      <c r="D737" s="10" t="n">
        <v>1.25</v>
      </c>
      <c r="E737" s="10" t="n">
        <f aca="false">C737*D737</f>
        <v>15</v>
      </c>
    </row>
    <row r="738" customFormat="false" ht="15" hidden="false" customHeight="false" outlineLevel="0" collapsed="false">
      <c r="A738" s="9" t="s">
        <v>537</v>
      </c>
      <c r="B738" s="9" t="s">
        <v>554</v>
      </c>
      <c r="C738" s="9" t="n">
        <v>2</v>
      </c>
      <c r="D738" s="10" t="n">
        <v>1.65</v>
      </c>
      <c r="E738" s="10" t="n">
        <f aca="false">C738*D738</f>
        <v>3.3</v>
      </c>
    </row>
    <row r="739" customFormat="false" ht="15" hidden="false" customHeight="false" outlineLevel="0" collapsed="false">
      <c r="A739" s="9" t="s">
        <v>537</v>
      </c>
      <c r="B739" s="9" t="s">
        <v>555</v>
      </c>
      <c r="C739" s="9" t="n">
        <v>2</v>
      </c>
      <c r="D739" s="10" t="n">
        <v>1.65</v>
      </c>
      <c r="E739" s="10" t="n">
        <f aca="false">C739*D739</f>
        <v>3.3</v>
      </c>
    </row>
    <row r="740" customFormat="false" ht="15" hidden="false" customHeight="false" outlineLevel="0" collapsed="false">
      <c r="A740" s="9" t="s">
        <v>537</v>
      </c>
      <c r="B740" s="9" t="s">
        <v>556</v>
      </c>
      <c r="C740" s="9" t="n">
        <v>10</v>
      </c>
      <c r="D740" s="10" t="n">
        <v>0.85</v>
      </c>
      <c r="E740" s="10" t="n">
        <f aca="false">C740*D740</f>
        <v>8.5</v>
      </c>
    </row>
    <row r="741" customFormat="false" ht="15" hidden="false" customHeight="false" outlineLevel="0" collapsed="false">
      <c r="A741" s="9" t="s">
        <v>557</v>
      </c>
      <c r="B741" s="9" t="s">
        <v>114</v>
      </c>
      <c r="C741" s="9" t="n">
        <v>24</v>
      </c>
      <c r="D741" s="10" t="n">
        <v>0.55</v>
      </c>
      <c r="E741" s="10" t="n">
        <f aca="false">C741*D741</f>
        <v>13.2</v>
      </c>
    </row>
    <row r="742" customFormat="false" ht="15" hidden="false" customHeight="false" outlineLevel="0" collapsed="false">
      <c r="A742" s="9" t="s">
        <v>557</v>
      </c>
      <c r="B742" s="9" t="s">
        <v>558</v>
      </c>
      <c r="C742" s="9" t="n">
        <v>24</v>
      </c>
      <c r="D742" s="10" t="n">
        <v>1.25</v>
      </c>
      <c r="E742" s="10" t="n">
        <f aca="false">C742*D742</f>
        <v>30</v>
      </c>
    </row>
    <row r="743" customFormat="false" ht="15" hidden="false" customHeight="false" outlineLevel="0" collapsed="false">
      <c r="A743" s="9" t="s">
        <v>557</v>
      </c>
      <c r="B743" s="9" t="s">
        <v>559</v>
      </c>
      <c r="C743" s="9" t="n">
        <v>2</v>
      </c>
      <c r="D743" s="10" t="n">
        <v>7.95</v>
      </c>
      <c r="E743" s="10" t="n">
        <f aca="false">C743*D743</f>
        <v>15.9</v>
      </c>
    </row>
    <row r="744" customFormat="false" ht="15" hidden="false" customHeight="false" outlineLevel="0" collapsed="false">
      <c r="A744" s="9" t="s">
        <v>557</v>
      </c>
      <c r="B744" s="9" t="s">
        <v>560</v>
      </c>
      <c r="C744" s="9" t="n">
        <v>2</v>
      </c>
      <c r="D744" s="10" t="n">
        <v>5.95</v>
      </c>
      <c r="E744" s="10" t="n">
        <f aca="false">C744*D744</f>
        <v>11.9</v>
      </c>
    </row>
    <row r="745" customFormat="false" ht="15" hidden="false" customHeight="false" outlineLevel="0" collapsed="false">
      <c r="A745" s="9" t="s">
        <v>557</v>
      </c>
      <c r="B745" s="9" t="s">
        <v>262</v>
      </c>
      <c r="C745" s="9" t="n">
        <v>8</v>
      </c>
      <c r="D745" s="10" t="n">
        <v>3.45</v>
      </c>
      <c r="E745" s="10" t="n">
        <f aca="false">C745*D745</f>
        <v>27.6</v>
      </c>
    </row>
    <row r="746" customFormat="false" ht="15" hidden="false" customHeight="false" outlineLevel="0" collapsed="false">
      <c r="A746" s="9" t="s">
        <v>557</v>
      </c>
      <c r="B746" s="9" t="s">
        <v>561</v>
      </c>
      <c r="C746" s="9" t="n">
        <v>2</v>
      </c>
      <c r="D746" s="10" t="n">
        <v>5.95</v>
      </c>
      <c r="E746" s="10" t="n">
        <f aca="false">C746*D746</f>
        <v>11.9</v>
      </c>
    </row>
    <row r="747" customFormat="false" ht="15" hidden="false" customHeight="false" outlineLevel="0" collapsed="false">
      <c r="A747" s="9" t="s">
        <v>557</v>
      </c>
      <c r="B747" s="9" t="s">
        <v>225</v>
      </c>
      <c r="C747" s="9" t="n">
        <v>6</v>
      </c>
      <c r="D747" s="10" t="n">
        <v>4.95</v>
      </c>
      <c r="E747" s="10" t="n">
        <f aca="false">C747*D747</f>
        <v>29.7</v>
      </c>
    </row>
    <row r="748" customFormat="false" ht="15" hidden="false" customHeight="false" outlineLevel="0" collapsed="false">
      <c r="A748" s="9" t="s">
        <v>557</v>
      </c>
      <c r="B748" s="9" t="s">
        <v>562</v>
      </c>
      <c r="C748" s="9" t="n">
        <v>2</v>
      </c>
      <c r="D748" s="10" t="n">
        <v>5.95</v>
      </c>
      <c r="E748" s="10" t="n">
        <f aca="false">C748*D748</f>
        <v>11.9</v>
      </c>
    </row>
    <row r="749" customFormat="false" ht="15" hidden="false" customHeight="false" outlineLevel="0" collapsed="false">
      <c r="A749" s="9" t="s">
        <v>557</v>
      </c>
      <c r="B749" s="9" t="s">
        <v>563</v>
      </c>
      <c r="C749" s="9" t="n">
        <v>12</v>
      </c>
      <c r="D749" s="10" t="n">
        <v>1.69</v>
      </c>
      <c r="E749" s="10" t="n">
        <f aca="false">C749*D749</f>
        <v>20.28</v>
      </c>
    </row>
    <row r="750" customFormat="false" ht="15" hidden="false" customHeight="false" outlineLevel="0" collapsed="false">
      <c r="A750" s="9" t="s">
        <v>557</v>
      </c>
      <c r="B750" s="9" t="s">
        <v>59</v>
      </c>
      <c r="C750" s="9" t="n">
        <v>24</v>
      </c>
      <c r="D750" s="10" t="n">
        <v>1.69</v>
      </c>
      <c r="E750" s="10" t="n">
        <f aca="false">C750*D750</f>
        <v>40.56</v>
      </c>
    </row>
    <row r="751" customFormat="false" ht="15" hidden="false" customHeight="false" outlineLevel="0" collapsed="false">
      <c r="A751" s="9" t="s">
        <v>557</v>
      </c>
      <c r="B751" s="9" t="s">
        <v>345</v>
      </c>
      <c r="C751" s="9" t="n">
        <v>24</v>
      </c>
      <c r="D751" s="10" t="n">
        <v>0.55</v>
      </c>
      <c r="E751" s="10" t="n">
        <f aca="false">C751*D751</f>
        <v>13.2</v>
      </c>
    </row>
    <row r="752" customFormat="false" ht="15" hidden="false" customHeight="false" outlineLevel="0" collapsed="false">
      <c r="A752" s="9" t="s">
        <v>557</v>
      </c>
      <c r="B752" s="9" t="s">
        <v>541</v>
      </c>
      <c r="C752" s="9" t="n">
        <v>12</v>
      </c>
      <c r="D752" s="10" t="n">
        <v>2.55</v>
      </c>
      <c r="E752" s="10" t="n">
        <f aca="false">C752*D752</f>
        <v>30.6</v>
      </c>
    </row>
    <row r="753" customFormat="false" ht="15" hidden="false" customHeight="false" outlineLevel="0" collapsed="false">
      <c r="A753" s="9" t="s">
        <v>557</v>
      </c>
      <c r="B753" s="9" t="s">
        <v>564</v>
      </c>
      <c r="C753" s="9" t="n">
        <v>12</v>
      </c>
      <c r="D753" s="10" t="n">
        <v>1.25</v>
      </c>
      <c r="E753" s="10" t="n">
        <f aca="false">C753*D753</f>
        <v>15</v>
      </c>
    </row>
    <row r="754" customFormat="false" ht="15" hidden="false" customHeight="false" outlineLevel="0" collapsed="false">
      <c r="A754" s="9" t="s">
        <v>557</v>
      </c>
      <c r="B754" s="9" t="s">
        <v>167</v>
      </c>
      <c r="C754" s="9" t="n">
        <v>4</v>
      </c>
      <c r="D754" s="10" t="n">
        <v>5.95</v>
      </c>
      <c r="E754" s="10" t="n">
        <f aca="false">C754*D754</f>
        <v>23.8</v>
      </c>
    </row>
    <row r="755" customFormat="false" ht="15" hidden="false" customHeight="false" outlineLevel="0" collapsed="false">
      <c r="A755" s="9" t="s">
        <v>565</v>
      </c>
      <c r="B755" s="9" t="s">
        <v>566</v>
      </c>
      <c r="C755" s="9" t="n">
        <v>12</v>
      </c>
      <c r="D755" s="10" t="n">
        <v>1.45</v>
      </c>
      <c r="E755" s="10" t="n">
        <f aca="false">C755*D755</f>
        <v>17.4</v>
      </c>
    </row>
    <row r="756" customFormat="false" ht="15" hidden="false" customHeight="false" outlineLevel="0" collapsed="false">
      <c r="A756" s="9" t="s">
        <v>567</v>
      </c>
      <c r="B756" s="9" t="s">
        <v>440</v>
      </c>
      <c r="C756" s="9" t="n">
        <v>1</v>
      </c>
      <c r="D756" s="10" t="n">
        <v>1.65</v>
      </c>
      <c r="E756" s="10" t="n">
        <f aca="false">C756*D756</f>
        <v>1.65</v>
      </c>
    </row>
    <row r="757" customFormat="false" ht="15" hidden="false" customHeight="false" outlineLevel="0" collapsed="false">
      <c r="A757" s="9" t="s">
        <v>567</v>
      </c>
      <c r="B757" s="9" t="s">
        <v>334</v>
      </c>
      <c r="C757" s="9" t="n">
        <v>1</v>
      </c>
      <c r="D757" s="10" t="n">
        <v>1.25</v>
      </c>
      <c r="E757" s="10" t="n">
        <f aca="false">C757*D757</f>
        <v>1.25</v>
      </c>
    </row>
    <row r="758" customFormat="false" ht="15" hidden="false" customHeight="false" outlineLevel="0" collapsed="false">
      <c r="A758" s="9" t="s">
        <v>567</v>
      </c>
      <c r="B758" s="9" t="s">
        <v>558</v>
      </c>
      <c r="C758" s="9" t="n">
        <v>1</v>
      </c>
      <c r="D758" s="10" t="n">
        <v>1.25</v>
      </c>
      <c r="E758" s="10" t="n">
        <f aca="false">C758*D758</f>
        <v>1.25</v>
      </c>
    </row>
    <row r="759" customFormat="false" ht="15" hidden="false" customHeight="false" outlineLevel="0" collapsed="false">
      <c r="A759" s="9" t="s">
        <v>567</v>
      </c>
      <c r="B759" s="9" t="s">
        <v>531</v>
      </c>
      <c r="C759" s="9" t="n">
        <v>3</v>
      </c>
      <c r="D759" s="10" t="n">
        <v>1.25</v>
      </c>
      <c r="E759" s="10" t="n">
        <f aca="false">C759*D759</f>
        <v>3.75</v>
      </c>
    </row>
    <row r="760" customFormat="false" ht="15" hidden="false" customHeight="false" outlineLevel="0" collapsed="false">
      <c r="A760" s="9" t="s">
        <v>567</v>
      </c>
      <c r="B760" s="9" t="s">
        <v>116</v>
      </c>
      <c r="C760" s="9" t="n">
        <v>2</v>
      </c>
      <c r="D760" s="10" t="n">
        <v>0.55</v>
      </c>
      <c r="E760" s="10" t="n">
        <f aca="false">C760*D760</f>
        <v>1.1</v>
      </c>
    </row>
    <row r="761" customFormat="false" ht="15" hidden="false" customHeight="false" outlineLevel="0" collapsed="false">
      <c r="A761" s="9" t="s">
        <v>567</v>
      </c>
      <c r="B761" s="9" t="s">
        <v>116</v>
      </c>
      <c r="C761" s="9" t="n">
        <v>1</v>
      </c>
      <c r="D761" s="10" t="n">
        <v>0.55</v>
      </c>
      <c r="E761" s="10" t="n">
        <f aca="false">C761*D761</f>
        <v>0.55</v>
      </c>
    </row>
    <row r="762" customFormat="false" ht="15" hidden="false" customHeight="false" outlineLevel="0" collapsed="false">
      <c r="A762" s="9" t="s">
        <v>567</v>
      </c>
      <c r="B762" s="9" t="s">
        <v>568</v>
      </c>
      <c r="C762" s="9" t="n">
        <v>1</v>
      </c>
      <c r="D762" s="10" t="n">
        <v>2.55</v>
      </c>
      <c r="E762" s="10" t="n">
        <f aca="false">C762*D762</f>
        <v>2.55</v>
      </c>
    </row>
    <row r="763" customFormat="false" ht="15" hidden="false" customHeight="false" outlineLevel="0" collapsed="false">
      <c r="A763" s="9" t="s">
        <v>567</v>
      </c>
      <c r="B763" s="9" t="s">
        <v>569</v>
      </c>
      <c r="C763" s="9" t="n">
        <v>1</v>
      </c>
      <c r="D763" s="10" t="n">
        <v>2.1</v>
      </c>
      <c r="E763" s="10" t="n">
        <f aca="false">C763*D763</f>
        <v>2.1</v>
      </c>
    </row>
    <row r="764" customFormat="false" ht="15" hidden="false" customHeight="false" outlineLevel="0" collapsed="false">
      <c r="A764" s="9" t="s">
        <v>567</v>
      </c>
      <c r="B764" s="9" t="s">
        <v>254</v>
      </c>
      <c r="C764" s="9" t="n">
        <v>1</v>
      </c>
      <c r="D764" s="10" t="n">
        <v>2.1</v>
      </c>
      <c r="E764" s="10" t="n">
        <f aca="false">C764*D764</f>
        <v>2.1</v>
      </c>
    </row>
    <row r="765" customFormat="false" ht="15" hidden="false" customHeight="false" outlineLevel="0" collapsed="false">
      <c r="A765" s="9" t="s">
        <v>567</v>
      </c>
      <c r="B765" s="9" t="s">
        <v>254</v>
      </c>
      <c r="C765" s="9" t="n">
        <v>3</v>
      </c>
      <c r="D765" s="10" t="n">
        <v>2.1</v>
      </c>
      <c r="E765" s="10" t="n">
        <f aca="false">C765*D765</f>
        <v>6.3</v>
      </c>
    </row>
    <row r="766" customFormat="false" ht="15" hidden="false" customHeight="false" outlineLevel="0" collapsed="false">
      <c r="A766" s="9" t="s">
        <v>567</v>
      </c>
      <c r="B766" s="9" t="s">
        <v>570</v>
      </c>
      <c r="C766" s="9" t="n">
        <v>2</v>
      </c>
      <c r="D766" s="10" t="n">
        <v>1.25</v>
      </c>
      <c r="E766" s="10" t="n">
        <f aca="false">C766*D766</f>
        <v>2.5</v>
      </c>
    </row>
    <row r="767" customFormat="false" ht="15" hidden="false" customHeight="false" outlineLevel="0" collapsed="false">
      <c r="A767" s="9" t="s">
        <v>567</v>
      </c>
      <c r="B767" s="9" t="s">
        <v>571</v>
      </c>
      <c r="C767" s="9" t="n">
        <v>1</v>
      </c>
      <c r="D767" s="10" t="n">
        <v>1.25</v>
      </c>
      <c r="E767" s="10" t="n">
        <f aca="false">C767*D767</f>
        <v>1.25</v>
      </c>
    </row>
    <row r="768" customFormat="false" ht="15" hidden="false" customHeight="false" outlineLevel="0" collapsed="false">
      <c r="A768" s="9" t="s">
        <v>567</v>
      </c>
      <c r="B768" s="9" t="s">
        <v>572</v>
      </c>
      <c r="C768" s="9" t="n">
        <v>1</v>
      </c>
      <c r="D768" s="10" t="n">
        <v>1.65</v>
      </c>
      <c r="E768" s="10" t="n">
        <f aca="false">C768*D768</f>
        <v>1.65</v>
      </c>
    </row>
    <row r="769" customFormat="false" ht="15" hidden="false" customHeight="false" outlineLevel="0" collapsed="false">
      <c r="A769" s="9" t="s">
        <v>567</v>
      </c>
      <c r="B769" s="9" t="s">
        <v>475</v>
      </c>
      <c r="C769" s="9" t="n">
        <v>1</v>
      </c>
      <c r="D769" s="10" t="n">
        <v>1.65</v>
      </c>
      <c r="E769" s="10" t="n">
        <f aca="false">C769*D769</f>
        <v>1.65</v>
      </c>
    </row>
    <row r="770" customFormat="false" ht="15" hidden="false" customHeight="false" outlineLevel="0" collapsed="false">
      <c r="A770" s="9" t="s">
        <v>567</v>
      </c>
      <c r="B770" s="9" t="s">
        <v>573</v>
      </c>
      <c r="C770" s="9" t="n">
        <v>1</v>
      </c>
      <c r="D770" s="10" t="n">
        <v>1.65</v>
      </c>
      <c r="E770" s="10" t="n">
        <f aca="false">C770*D770</f>
        <v>1.65</v>
      </c>
    </row>
    <row r="771" customFormat="false" ht="15" hidden="false" customHeight="false" outlineLevel="0" collapsed="false">
      <c r="A771" s="9" t="s">
        <v>567</v>
      </c>
      <c r="B771" s="9" t="s">
        <v>574</v>
      </c>
      <c r="C771" s="9" t="n">
        <v>1</v>
      </c>
      <c r="D771" s="10" t="n">
        <v>1.95</v>
      </c>
      <c r="E771" s="10" t="n">
        <f aca="false">C771*D771</f>
        <v>1.95</v>
      </c>
    </row>
    <row r="772" customFormat="false" ht="15" hidden="false" customHeight="false" outlineLevel="0" collapsed="false">
      <c r="A772" s="9" t="s">
        <v>567</v>
      </c>
      <c r="B772" s="9" t="s">
        <v>575</v>
      </c>
      <c r="C772" s="9" t="n">
        <v>1</v>
      </c>
      <c r="D772" s="10" t="n">
        <v>1.45</v>
      </c>
      <c r="E772" s="10" t="n">
        <f aca="false">C772*D772</f>
        <v>1.45</v>
      </c>
    </row>
    <row r="773" customFormat="false" ht="15" hidden="false" customHeight="false" outlineLevel="0" collapsed="false">
      <c r="A773" s="9" t="s">
        <v>567</v>
      </c>
      <c r="B773" s="9" t="s">
        <v>250</v>
      </c>
      <c r="C773" s="9" t="n">
        <v>2</v>
      </c>
      <c r="D773" s="10" t="n">
        <v>1.49</v>
      </c>
      <c r="E773" s="10" t="n">
        <f aca="false">C773*D773</f>
        <v>2.98</v>
      </c>
    </row>
    <row r="774" customFormat="false" ht="15" hidden="false" customHeight="false" outlineLevel="0" collapsed="false">
      <c r="A774" s="9" t="s">
        <v>567</v>
      </c>
      <c r="B774" s="9" t="s">
        <v>576</v>
      </c>
      <c r="C774" s="9" t="n">
        <v>3</v>
      </c>
      <c r="D774" s="10" t="n">
        <v>0.85</v>
      </c>
      <c r="E774" s="10" t="n">
        <f aca="false">C774*D774</f>
        <v>2.55</v>
      </c>
    </row>
    <row r="775" customFormat="false" ht="15" hidden="false" customHeight="false" outlineLevel="0" collapsed="false">
      <c r="A775" s="9" t="s">
        <v>567</v>
      </c>
      <c r="B775" s="9" t="s">
        <v>577</v>
      </c>
      <c r="C775" s="9" t="n">
        <v>8</v>
      </c>
      <c r="D775" s="10" t="n">
        <v>1.45</v>
      </c>
      <c r="E775" s="10" t="n">
        <f aca="false">C775*D775</f>
        <v>11.6</v>
      </c>
    </row>
    <row r="776" customFormat="false" ht="15" hidden="false" customHeight="false" outlineLevel="0" collapsed="false">
      <c r="A776" s="9" t="s">
        <v>567</v>
      </c>
      <c r="B776" s="9" t="s">
        <v>578</v>
      </c>
      <c r="C776" s="9" t="n">
        <v>5</v>
      </c>
      <c r="D776" s="10" t="n">
        <v>1.65</v>
      </c>
      <c r="E776" s="10" t="n">
        <f aca="false">C776*D776</f>
        <v>8.25</v>
      </c>
    </row>
    <row r="777" customFormat="false" ht="15" hidden="false" customHeight="false" outlineLevel="0" collapsed="false">
      <c r="A777" s="9" t="s">
        <v>567</v>
      </c>
      <c r="B777" s="9" t="s">
        <v>579</v>
      </c>
      <c r="C777" s="9" t="n">
        <v>1</v>
      </c>
      <c r="D777" s="10" t="n">
        <v>1.25</v>
      </c>
      <c r="E777" s="10" t="n">
        <f aca="false">C777*D777</f>
        <v>1.25</v>
      </c>
    </row>
    <row r="778" customFormat="false" ht="15" hidden="false" customHeight="false" outlineLevel="0" collapsed="false">
      <c r="A778" s="9" t="s">
        <v>567</v>
      </c>
      <c r="B778" s="9" t="s">
        <v>189</v>
      </c>
      <c r="C778" s="9" t="n">
        <v>1</v>
      </c>
      <c r="D778" s="10" t="n">
        <v>1.95</v>
      </c>
      <c r="E778" s="10" t="n">
        <f aca="false">C778*D778</f>
        <v>1.95</v>
      </c>
    </row>
    <row r="779" customFormat="false" ht="15" hidden="false" customHeight="false" outlineLevel="0" collapsed="false">
      <c r="A779" s="9" t="s">
        <v>567</v>
      </c>
      <c r="B779" s="9" t="s">
        <v>231</v>
      </c>
      <c r="C779" s="9" t="n">
        <v>6</v>
      </c>
      <c r="D779" s="10" t="n">
        <v>0.85</v>
      </c>
      <c r="E779" s="10" t="n">
        <f aca="false">C779*D779</f>
        <v>5.1</v>
      </c>
    </row>
    <row r="780" customFormat="false" ht="15" hidden="false" customHeight="false" outlineLevel="0" collapsed="false">
      <c r="A780" s="9" t="s">
        <v>567</v>
      </c>
      <c r="B780" s="9" t="s">
        <v>580</v>
      </c>
      <c r="C780" s="9" t="n">
        <v>1</v>
      </c>
      <c r="D780" s="10" t="n">
        <v>2.95</v>
      </c>
      <c r="E780" s="10" t="n">
        <f aca="false">C780*D780</f>
        <v>2.95</v>
      </c>
    </row>
    <row r="781" customFormat="false" ht="15" hidden="false" customHeight="false" outlineLevel="0" collapsed="false">
      <c r="A781" s="9" t="s">
        <v>567</v>
      </c>
      <c r="B781" s="9" t="s">
        <v>333</v>
      </c>
      <c r="C781" s="9" t="n">
        <v>1</v>
      </c>
      <c r="D781" s="10" t="n">
        <v>2.1</v>
      </c>
      <c r="E781" s="10" t="n">
        <f aca="false">C781*D781</f>
        <v>2.1</v>
      </c>
    </row>
    <row r="782" customFormat="false" ht="15" hidden="false" customHeight="false" outlineLevel="0" collapsed="false">
      <c r="A782" s="9" t="s">
        <v>567</v>
      </c>
      <c r="B782" s="9" t="s">
        <v>581</v>
      </c>
      <c r="C782" s="9" t="n">
        <v>1</v>
      </c>
      <c r="D782" s="10" t="n">
        <v>0.85</v>
      </c>
      <c r="E782" s="10" t="n">
        <f aca="false">C782*D782</f>
        <v>0.85</v>
      </c>
    </row>
    <row r="783" customFormat="false" ht="15" hidden="false" customHeight="false" outlineLevel="0" collapsed="false">
      <c r="A783" s="9" t="s">
        <v>567</v>
      </c>
      <c r="B783" s="9" t="s">
        <v>576</v>
      </c>
      <c r="C783" s="9" t="n">
        <v>2</v>
      </c>
      <c r="D783" s="10" t="n">
        <v>0.85</v>
      </c>
      <c r="E783" s="10" t="n">
        <f aca="false">C783*D783</f>
        <v>1.7</v>
      </c>
    </row>
    <row r="784" customFormat="false" ht="15" hidden="false" customHeight="false" outlineLevel="0" collapsed="false">
      <c r="A784" s="9" t="s">
        <v>567</v>
      </c>
      <c r="B784" s="9" t="s">
        <v>582</v>
      </c>
      <c r="C784" s="9" t="n">
        <v>1</v>
      </c>
      <c r="D784" s="10" t="n">
        <v>0.85</v>
      </c>
      <c r="E784" s="10" t="n">
        <f aca="false">C784*D784</f>
        <v>0.85</v>
      </c>
    </row>
    <row r="785" customFormat="false" ht="15" hidden="false" customHeight="false" outlineLevel="0" collapsed="false">
      <c r="A785" s="9" t="s">
        <v>567</v>
      </c>
      <c r="B785" s="9" t="s">
        <v>63</v>
      </c>
      <c r="C785" s="9" t="n">
        <v>1</v>
      </c>
      <c r="D785" s="10" t="n">
        <v>4.25</v>
      </c>
      <c r="E785" s="10" t="n">
        <f aca="false">C785*D785</f>
        <v>4.25</v>
      </c>
    </row>
    <row r="786" customFormat="false" ht="15" hidden="false" customHeight="false" outlineLevel="0" collapsed="false">
      <c r="A786" s="9" t="s">
        <v>567</v>
      </c>
      <c r="B786" s="9" t="s">
        <v>125</v>
      </c>
      <c r="C786" s="9" t="n">
        <v>1</v>
      </c>
      <c r="D786" s="10" t="n">
        <v>1.95</v>
      </c>
      <c r="E786" s="10" t="n">
        <f aca="false">C786*D786</f>
        <v>1.95</v>
      </c>
    </row>
    <row r="787" customFormat="false" ht="15" hidden="false" customHeight="false" outlineLevel="0" collapsed="false">
      <c r="A787" s="9" t="s">
        <v>567</v>
      </c>
      <c r="B787" s="9" t="s">
        <v>583</v>
      </c>
      <c r="C787" s="9" t="n">
        <v>1</v>
      </c>
      <c r="D787" s="10" t="n">
        <v>7.95</v>
      </c>
      <c r="E787" s="10" t="n">
        <f aca="false">C787*D787</f>
        <v>7.95</v>
      </c>
    </row>
    <row r="788" customFormat="false" ht="15" hidden="false" customHeight="false" outlineLevel="0" collapsed="false">
      <c r="A788" s="9" t="s">
        <v>567</v>
      </c>
      <c r="B788" s="9" t="s">
        <v>439</v>
      </c>
      <c r="C788" s="9" t="n">
        <v>1</v>
      </c>
      <c r="D788" s="10" t="n">
        <v>2.95</v>
      </c>
      <c r="E788" s="10" t="n">
        <f aca="false">C788*D788</f>
        <v>2.95</v>
      </c>
    </row>
    <row r="789" customFormat="false" ht="15" hidden="false" customHeight="false" outlineLevel="0" collapsed="false">
      <c r="A789" s="9" t="s">
        <v>567</v>
      </c>
      <c r="B789" s="9" t="s">
        <v>584</v>
      </c>
      <c r="C789" s="9" t="n">
        <v>1</v>
      </c>
      <c r="D789" s="10" t="n">
        <v>1.65</v>
      </c>
      <c r="E789" s="10" t="n">
        <f aca="false">C789*D789</f>
        <v>1.65</v>
      </c>
    </row>
    <row r="790" customFormat="false" ht="15" hidden="false" customHeight="false" outlineLevel="0" collapsed="false">
      <c r="A790" s="9" t="s">
        <v>567</v>
      </c>
      <c r="B790" s="9" t="s">
        <v>316</v>
      </c>
      <c r="C790" s="9" t="n">
        <v>1</v>
      </c>
      <c r="D790" s="10" t="n">
        <v>1.65</v>
      </c>
      <c r="E790" s="10" t="n">
        <f aca="false">C790*D790</f>
        <v>1.65</v>
      </c>
    </row>
    <row r="791" customFormat="false" ht="15" hidden="false" customHeight="false" outlineLevel="0" collapsed="false">
      <c r="A791" s="9" t="s">
        <v>567</v>
      </c>
      <c r="B791" s="9" t="s">
        <v>585</v>
      </c>
      <c r="C791" s="9" t="n">
        <v>1</v>
      </c>
      <c r="D791" s="10" t="n">
        <v>1.65</v>
      </c>
      <c r="E791" s="10" t="n">
        <f aca="false">C791*D791</f>
        <v>1.65</v>
      </c>
    </row>
    <row r="792" customFormat="false" ht="15" hidden="false" customHeight="false" outlineLevel="0" collapsed="false">
      <c r="A792" s="9" t="s">
        <v>567</v>
      </c>
      <c r="B792" s="9" t="s">
        <v>586</v>
      </c>
      <c r="C792" s="9" t="n">
        <v>1</v>
      </c>
      <c r="D792" s="10" t="n">
        <v>2.95</v>
      </c>
      <c r="E792" s="10" t="n">
        <f aca="false">C792*D792</f>
        <v>2.95</v>
      </c>
    </row>
    <row r="793" customFormat="false" ht="15" hidden="false" customHeight="false" outlineLevel="0" collapsed="false">
      <c r="A793" s="9" t="s">
        <v>567</v>
      </c>
      <c r="B793" s="9" t="s">
        <v>587</v>
      </c>
      <c r="C793" s="9" t="n">
        <v>2</v>
      </c>
      <c r="D793" s="10" t="n">
        <v>4.95</v>
      </c>
      <c r="E793" s="10" t="n">
        <f aca="false">C793*D793</f>
        <v>9.9</v>
      </c>
    </row>
    <row r="794" customFormat="false" ht="15" hidden="false" customHeight="false" outlineLevel="0" collapsed="false">
      <c r="A794" s="9" t="s">
        <v>567</v>
      </c>
      <c r="B794" s="9" t="s">
        <v>582</v>
      </c>
      <c r="C794" s="9" t="n">
        <v>5</v>
      </c>
      <c r="D794" s="10" t="n">
        <v>0.85</v>
      </c>
      <c r="E794" s="10" t="n">
        <f aca="false">C794*D794</f>
        <v>4.25</v>
      </c>
    </row>
    <row r="795" customFormat="false" ht="15" hidden="false" customHeight="false" outlineLevel="0" collapsed="false">
      <c r="A795" s="9" t="s">
        <v>567</v>
      </c>
      <c r="B795" s="9" t="s">
        <v>295</v>
      </c>
      <c r="C795" s="9" t="n">
        <v>1</v>
      </c>
      <c r="D795" s="10" t="n">
        <v>2.95</v>
      </c>
      <c r="E795" s="10" t="n">
        <f aca="false">C795*D795</f>
        <v>2.95</v>
      </c>
    </row>
    <row r="796" customFormat="false" ht="15" hidden="false" customHeight="false" outlineLevel="0" collapsed="false">
      <c r="A796" s="9" t="s">
        <v>567</v>
      </c>
      <c r="B796" s="9" t="s">
        <v>588</v>
      </c>
      <c r="C796" s="9" t="n">
        <v>2</v>
      </c>
      <c r="D796" s="10" t="n">
        <v>4.25</v>
      </c>
      <c r="E796" s="10" t="n">
        <f aca="false">C796*D796</f>
        <v>8.5</v>
      </c>
    </row>
    <row r="797" customFormat="false" ht="15" hidden="false" customHeight="false" outlineLevel="0" collapsed="false">
      <c r="A797" s="9" t="s">
        <v>567</v>
      </c>
      <c r="B797" s="9" t="s">
        <v>589</v>
      </c>
      <c r="C797" s="9" t="n">
        <v>1</v>
      </c>
      <c r="D797" s="10" t="n">
        <v>0.85</v>
      </c>
      <c r="E797" s="10" t="n">
        <f aca="false">C797*D797</f>
        <v>0.85</v>
      </c>
    </row>
    <row r="798" customFormat="false" ht="15" hidden="false" customHeight="false" outlineLevel="0" collapsed="false">
      <c r="A798" s="9" t="s">
        <v>567</v>
      </c>
      <c r="B798" s="9" t="s">
        <v>447</v>
      </c>
      <c r="C798" s="9" t="n">
        <v>1</v>
      </c>
      <c r="D798" s="10" t="n">
        <v>1.25</v>
      </c>
      <c r="E798" s="10" t="n">
        <f aca="false">C798*D798</f>
        <v>1.25</v>
      </c>
    </row>
    <row r="799" customFormat="false" ht="15" hidden="false" customHeight="false" outlineLevel="0" collapsed="false">
      <c r="A799" s="9" t="s">
        <v>567</v>
      </c>
      <c r="B799" s="9" t="s">
        <v>279</v>
      </c>
      <c r="C799" s="9" t="n">
        <v>1</v>
      </c>
      <c r="D799" s="10" t="n">
        <v>0.29</v>
      </c>
      <c r="E799" s="10" t="n">
        <f aca="false">C799*D799</f>
        <v>0.29</v>
      </c>
    </row>
    <row r="800" customFormat="false" ht="15" hidden="false" customHeight="false" outlineLevel="0" collapsed="false">
      <c r="A800" s="9" t="s">
        <v>567</v>
      </c>
      <c r="B800" s="9" t="s">
        <v>590</v>
      </c>
      <c r="C800" s="9" t="n">
        <v>2</v>
      </c>
      <c r="D800" s="10" t="n">
        <v>0.85</v>
      </c>
      <c r="E800" s="10" t="n">
        <f aca="false">C800*D800</f>
        <v>1.7</v>
      </c>
    </row>
    <row r="801" customFormat="false" ht="15" hidden="false" customHeight="false" outlineLevel="0" collapsed="false">
      <c r="A801" s="9" t="s">
        <v>567</v>
      </c>
      <c r="B801" s="9" t="s">
        <v>591</v>
      </c>
      <c r="C801" s="9" t="n">
        <v>2</v>
      </c>
      <c r="D801" s="10" t="n">
        <v>2.95</v>
      </c>
      <c r="E801" s="10" t="n">
        <f aca="false">C801*D801</f>
        <v>5.9</v>
      </c>
    </row>
    <row r="802" customFormat="false" ht="15" hidden="false" customHeight="false" outlineLevel="0" collapsed="false">
      <c r="A802" s="9" t="s">
        <v>567</v>
      </c>
      <c r="B802" s="9" t="s">
        <v>592</v>
      </c>
      <c r="C802" s="9" t="n">
        <v>1</v>
      </c>
      <c r="D802" s="10" t="n">
        <v>3.25</v>
      </c>
      <c r="E802" s="10" t="n">
        <f aca="false">C802*D802</f>
        <v>3.25</v>
      </c>
    </row>
    <row r="803" customFormat="false" ht="15" hidden="false" customHeight="false" outlineLevel="0" collapsed="false">
      <c r="A803" s="9" t="s">
        <v>567</v>
      </c>
      <c r="B803" s="9" t="s">
        <v>593</v>
      </c>
      <c r="C803" s="9" t="n">
        <v>1</v>
      </c>
      <c r="D803" s="10" t="n">
        <v>1.65</v>
      </c>
      <c r="E803" s="10" t="n">
        <f aca="false">C803*D803</f>
        <v>1.65</v>
      </c>
    </row>
    <row r="804" customFormat="false" ht="15" hidden="false" customHeight="false" outlineLevel="0" collapsed="false">
      <c r="A804" s="9" t="s">
        <v>567</v>
      </c>
      <c r="B804" s="9" t="s">
        <v>88</v>
      </c>
      <c r="C804" s="9" t="n">
        <v>1</v>
      </c>
      <c r="D804" s="10" t="n">
        <v>2.95</v>
      </c>
      <c r="E804" s="10" t="n">
        <f aca="false">C804*D804</f>
        <v>2.95</v>
      </c>
    </row>
    <row r="805" customFormat="false" ht="15" hidden="false" customHeight="false" outlineLevel="0" collapsed="false">
      <c r="A805" s="9" t="s">
        <v>567</v>
      </c>
      <c r="B805" s="9" t="s">
        <v>59</v>
      </c>
      <c r="C805" s="9" t="n">
        <v>8</v>
      </c>
      <c r="D805" s="10" t="n">
        <v>1.69</v>
      </c>
      <c r="E805" s="10" t="n">
        <f aca="false">C805*D805</f>
        <v>13.52</v>
      </c>
    </row>
    <row r="806" customFormat="false" ht="15" hidden="false" customHeight="false" outlineLevel="0" collapsed="false">
      <c r="A806" s="9" t="s">
        <v>567</v>
      </c>
      <c r="B806" s="9" t="s">
        <v>193</v>
      </c>
      <c r="C806" s="9" t="n">
        <v>1</v>
      </c>
      <c r="D806" s="10" t="n">
        <v>1.95</v>
      </c>
      <c r="E806" s="10" t="n">
        <f aca="false">C806*D806</f>
        <v>1.95</v>
      </c>
    </row>
    <row r="807" customFormat="false" ht="15" hidden="false" customHeight="false" outlineLevel="0" collapsed="false">
      <c r="A807" s="9" t="s">
        <v>567</v>
      </c>
      <c r="B807" s="9" t="s">
        <v>108</v>
      </c>
      <c r="C807" s="9" t="n">
        <v>1</v>
      </c>
      <c r="D807" s="10" t="n">
        <v>1.95</v>
      </c>
      <c r="E807" s="10" t="n">
        <f aca="false">C807*D807</f>
        <v>1.95</v>
      </c>
    </row>
    <row r="808" customFormat="false" ht="15" hidden="false" customHeight="false" outlineLevel="0" collapsed="false">
      <c r="A808" s="9" t="s">
        <v>567</v>
      </c>
      <c r="B808" s="9" t="s">
        <v>594</v>
      </c>
      <c r="C808" s="9" t="n">
        <v>1</v>
      </c>
      <c r="D808" s="10" t="n">
        <v>4.25</v>
      </c>
      <c r="E808" s="10" t="n">
        <f aca="false">C808*D808</f>
        <v>4.25</v>
      </c>
    </row>
    <row r="809" customFormat="false" ht="15" hidden="false" customHeight="false" outlineLevel="0" collapsed="false">
      <c r="A809" s="9" t="s">
        <v>567</v>
      </c>
      <c r="B809" s="9" t="s">
        <v>595</v>
      </c>
      <c r="C809" s="9" t="n">
        <v>3</v>
      </c>
      <c r="D809" s="10" t="n">
        <v>4.25</v>
      </c>
      <c r="E809" s="10" t="n">
        <f aca="false">C809*D809</f>
        <v>12.75</v>
      </c>
    </row>
    <row r="810" customFormat="false" ht="15" hidden="false" customHeight="false" outlineLevel="0" collapsed="false">
      <c r="A810" s="9" t="s">
        <v>567</v>
      </c>
      <c r="B810" s="9" t="s">
        <v>596</v>
      </c>
      <c r="C810" s="9" t="n">
        <v>1</v>
      </c>
      <c r="D810" s="10" t="n">
        <v>4.25</v>
      </c>
      <c r="E810" s="10" t="n">
        <f aca="false">C810*D810</f>
        <v>4.25</v>
      </c>
    </row>
    <row r="811" customFormat="false" ht="15" hidden="false" customHeight="false" outlineLevel="0" collapsed="false">
      <c r="A811" s="9" t="s">
        <v>567</v>
      </c>
      <c r="B811" s="9" t="s">
        <v>597</v>
      </c>
      <c r="C811" s="9" t="n">
        <v>1</v>
      </c>
      <c r="D811" s="10" t="n">
        <v>1.65</v>
      </c>
      <c r="E811" s="10" t="n">
        <f aca="false">C811*D811</f>
        <v>1.65</v>
      </c>
    </row>
    <row r="812" customFormat="false" ht="15" hidden="false" customHeight="false" outlineLevel="0" collapsed="false">
      <c r="A812" s="9" t="s">
        <v>567</v>
      </c>
      <c r="B812" s="9" t="s">
        <v>598</v>
      </c>
      <c r="C812" s="9" t="n">
        <v>3</v>
      </c>
      <c r="D812" s="10" t="n">
        <v>1.65</v>
      </c>
      <c r="E812" s="10" t="n">
        <f aca="false">C812*D812</f>
        <v>4.95</v>
      </c>
    </row>
    <row r="813" customFormat="false" ht="15" hidden="false" customHeight="false" outlineLevel="0" collapsed="false">
      <c r="A813" s="9" t="s">
        <v>567</v>
      </c>
      <c r="B813" s="9" t="s">
        <v>599</v>
      </c>
      <c r="C813" s="9" t="n">
        <v>2</v>
      </c>
      <c r="D813" s="10" t="n">
        <v>1.65</v>
      </c>
      <c r="E813" s="10" t="n">
        <f aca="false">C813*D813</f>
        <v>3.3</v>
      </c>
    </row>
    <row r="814" customFormat="false" ht="15" hidden="false" customHeight="false" outlineLevel="0" collapsed="false">
      <c r="A814" s="9" t="s">
        <v>567</v>
      </c>
      <c r="B814" s="9" t="s">
        <v>600</v>
      </c>
      <c r="C814" s="9" t="n">
        <v>2</v>
      </c>
      <c r="D814" s="10" t="n">
        <v>4.25</v>
      </c>
      <c r="E814" s="10" t="n">
        <f aca="false">C814*D814</f>
        <v>8.5</v>
      </c>
    </row>
    <row r="815" customFormat="false" ht="15" hidden="false" customHeight="false" outlineLevel="0" collapsed="false">
      <c r="A815" s="9" t="s">
        <v>567</v>
      </c>
      <c r="B815" s="9" t="s">
        <v>352</v>
      </c>
      <c r="C815" s="9" t="n">
        <v>1</v>
      </c>
      <c r="D815" s="10" t="n">
        <v>1.25</v>
      </c>
      <c r="E815" s="10" t="n">
        <f aca="false">C815*D815</f>
        <v>1.25</v>
      </c>
    </row>
    <row r="816" customFormat="false" ht="15" hidden="false" customHeight="false" outlineLevel="0" collapsed="false">
      <c r="A816" s="9" t="s">
        <v>567</v>
      </c>
      <c r="B816" s="9" t="s">
        <v>549</v>
      </c>
      <c r="C816" s="9" t="n">
        <v>1</v>
      </c>
      <c r="D816" s="10" t="n">
        <v>1.25</v>
      </c>
      <c r="E816" s="10" t="n">
        <f aca="false">C816*D816</f>
        <v>1.25</v>
      </c>
    </row>
    <row r="817" customFormat="false" ht="15" hidden="false" customHeight="false" outlineLevel="0" collapsed="false">
      <c r="A817" s="9" t="s">
        <v>567</v>
      </c>
      <c r="B817" s="9" t="s">
        <v>601</v>
      </c>
      <c r="C817" s="9" t="n">
        <v>1</v>
      </c>
      <c r="D817" s="10" t="n">
        <v>0.29</v>
      </c>
      <c r="E817" s="10" t="n">
        <f aca="false">C817*D817</f>
        <v>0.29</v>
      </c>
    </row>
    <row r="818" customFormat="false" ht="15" hidden="false" customHeight="false" outlineLevel="0" collapsed="false">
      <c r="A818" s="9" t="s">
        <v>567</v>
      </c>
      <c r="B818" s="9" t="s">
        <v>386</v>
      </c>
      <c r="C818" s="9" t="n">
        <v>2</v>
      </c>
      <c r="D818" s="10" t="n">
        <v>1.95</v>
      </c>
      <c r="E818" s="10" t="n">
        <f aca="false">C818*D818</f>
        <v>3.9</v>
      </c>
    </row>
    <row r="819" customFormat="false" ht="15" hidden="false" customHeight="false" outlineLevel="0" collapsed="false">
      <c r="A819" s="9" t="s">
        <v>567</v>
      </c>
      <c r="B819" s="9" t="s">
        <v>602</v>
      </c>
      <c r="C819" s="9" t="n">
        <v>1</v>
      </c>
      <c r="D819" s="10" t="n">
        <v>0.85</v>
      </c>
      <c r="E819" s="10" t="n">
        <f aca="false">C819*D819</f>
        <v>0.85</v>
      </c>
    </row>
    <row r="820" customFormat="false" ht="15" hidden="false" customHeight="false" outlineLevel="0" collapsed="false">
      <c r="A820" s="9" t="s">
        <v>567</v>
      </c>
      <c r="B820" s="9" t="s">
        <v>306</v>
      </c>
      <c r="C820" s="9" t="n">
        <v>1</v>
      </c>
      <c r="D820" s="10" t="n">
        <v>2.95</v>
      </c>
      <c r="E820" s="10" t="n">
        <f aca="false">C820*D820</f>
        <v>2.95</v>
      </c>
    </row>
    <row r="821" customFormat="false" ht="15" hidden="false" customHeight="false" outlineLevel="0" collapsed="false">
      <c r="A821" s="9" t="s">
        <v>567</v>
      </c>
      <c r="B821" s="9" t="s">
        <v>603</v>
      </c>
      <c r="C821" s="9" t="n">
        <v>2</v>
      </c>
      <c r="D821" s="10" t="n">
        <v>0.85</v>
      </c>
      <c r="E821" s="10" t="n">
        <f aca="false">C821*D821</f>
        <v>1.7</v>
      </c>
    </row>
    <row r="822" customFormat="false" ht="15" hidden="false" customHeight="false" outlineLevel="0" collapsed="false">
      <c r="A822" s="9" t="s">
        <v>567</v>
      </c>
      <c r="B822" s="9" t="s">
        <v>577</v>
      </c>
      <c r="C822" s="9" t="n">
        <v>2</v>
      </c>
      <c r="D822" s="10" t="n">
        <v>1.45</v>
      </c>
      <c r="E822" s="10" t="n">
        <f aca="false">C822*D822</f>
        <v>2.9</v>
      </c>
    </row>
    <row r="823" customFormat="false" ht="15" hidden="false" customHeight="false" outlineLevel="0" collapsed="false">
      <c r="A823" s="9" t="s">
        <v>567</v>
      </c>
      <c r="B823" s="9" t="s">
        <v>604</v>
      </c>
      <c r="C823" s="9" t="n">
        <v>1</v>
      </c>
      <c r="D823" s="10" t="n">
        <v>1.65</v>
      </c>
      <c r="E823" s="10" t="n">
        <f aca="false">C823*D823</f>
        <v>1.65</v>
      </c>
    </row>
    <row r="824" customFormat="false" ht="15" hidden="false" customHeight="false" outlineLevel="0" collapsed="false">
      <c r="A824" s="9" t="s">
        <v>567</v>
      </c>
      <c r="B824" s="9" t="s">
        <v>605</v>
      </c>
      <c r="C824" s="9" t="n">
        <v>2</v>
      </c>
      <c r="D824" s="10" t="n">
        <v>1.45</v>
      </c>
      <c r="E824" s="10" t="n">
        <f aca="false">C824*D824</f>
        <v>2.9</v>
      </c>
    </row>
    <row r="825" customFormat="false" ht="15" hidden="false" customHeight="false" outlineLevel="0" collapsed="false">
      <c r="A825" s="9" t="s">
        <v>567</v>
      </c>
      <c r="B825" s="9" t="s">
        <v>606</v>
      </c>
      <c r="C825" s="9" t="n">
        <v>6</v>
      </c>
      <c r="D825" s="10" t="n">
        <v>0.85</v>
      </c>
      <c r="E825" s="10" t="n">
        <f aca="false">C825*D825</f>
        <v>5.1</v>
      </c>
    </row>
    <row r="826" customFormat="false" ht="15" hidden="false" customHeight="false" outlineLevel="0" collapsed="false">
      <c r="A826" s="9" t="s">
        <v>567</v>
      </c>
      <c r="B826" s="9" t="s">
        <v>487</v>
      </c>
      <c r="C826" s="9" t="n">
        <v>2</v>
      </c>
      <c r="D826" s="10" t="n">
        <v>0.55</v>
      </c>
      <c r="E826" s="10" t="n">
        <f aca="false">C826*D826</f>
        <v>1.1</v>
      </c>
    </row>
    <row r="827" customFormat="false" ht="15" hidden="false" customHeight="false" outlineLevel="0" collapsed="false">
      <c r="A827" s="9" t="s">
        <v>567</v>
      </c>
      <c r="B827" s="9" t="s">
        <v>575</v>
      </c>
      <c r="C827" s="9" t="n">
        <v>4</v>
      </c>
      <c r="D827" s="10" t="n">
        <v>1.45</v>
      </c>
      <c r="E827" s="10" t="n">
        <f aca="false">C827*D827</f>
        <v>5.8</v>
      </c>
    </row>
    <row r="828" customFormat="false" ht="15" hidden="false" customHeight="false" outlineLevel="0" collapsed="false">
      <c r="A828" s="9" t="s">
        <v>567</v>
      </c>
      <c r="B828" s="9" t="s">
        <v>607</v>
      </c>
      <c r="C828" s="9" t="n">
        <v>1</v>
      </c>
      <c r="D828" s="10" t="n">
        <v>1.25</v>
      </c>
      <c r="E828" s="10" t="n">
        <f aca="false">C828*D828</f>
        <v>1.25</v>
      </c>
    </row>
    <row r="829" customFormat="false" ht="15" hidden="false" customHeight="false" outlineLevel="0" collapsed="false">
      <c r="A829" s="9" t="s">
        <v>567</v>
      </c>
      <c r="B829" s="9" t="s">
        <v>608</v>
      </c>
      <c r="C829" s="9" t="n">
        <v>2</v>
      </c>
      <c r="D829" s="10" t="n">
        <v>1.65</v>
      </c>
      <c r="E829" s="10" t="n">
        <f aca="false">C829*D829</f>
        <v>3.3</v>
      </c>
    </row>
    <row r="830" customFormat="false" ht="15" hidden="false" customHeight="false" outlineLevel="0" collapsed="false">
      <c r="A830" s="9" t="s">
        <v>567</v>
      </c>
      <c r="B830" s="9" t="s">
        <v>231</v>
      </c>
      <c r="C830" s="9" t="n">
        <v>5</v>
      </c>
      <c r="D830" s="10" t="n">
        <v>0.85</v>
      </c>
      <c r="E830" s="10" t="n">
        <f aca="false">C830*D830</f>
        <v>4.25</v>
      </c>
    </row>
    <row r="831" customFormat="false" ht="15" hidden="false" customHeight="false" outlineLevel="0" collapsed="false">
      <c r="A831" s="9" t="s">
        <v>567</v>
      </c>
      <c r="B831" s="9" t="s">
        <v>114</v>
      </c>
      <c r="C831" s="9" t="n">
        <v>1</v>
      </c>
      <c r="D831" s="10" t="n">
        <v>0.55</v>
      </c>
      <c r="E831" s="10" t="n">
        <f aca="false">C831*D831</f>
        <v>0.55</v>
      </c>
    </row>
    <row r="832" customFormat="false" ht="15" hidden="false" customHeight="false" outlineLevel="0" collapsed="false">
      <c r="A832" s="9" t="s">
        <v>567</v>
      </c>
      <c r="B832" s="9" t="s">
        <v>372</v>
      </c>
      <c r="C832" s="9" t="n">
        <v>6</v>
      </c>
      <c r="D832" s="10" t="n">
        <v>1.95</v>
      </c>
      <c r="E832" s="10" t="n">
        <f aca="false">C832*D832</f>
        <v>11.7</v>
      </c>
    </row>
    <row r="833" customFormat="false" ht="15" hidden="false" customHeight="false" outlineLevel="0" collapsed="false">
      <c r="A833" s="9" t="s">
        <v>567</v>
      </c>
      <c r="B833" s="9" t="s">
        <v>609</v>
      </c>
      <c r="C833" s="9" t="n">
        <v>1</v>
      </c>
      <c r="D833" s="10" t="n">
        <v>0.42</v>
      </c>
      <c r="E833" s="10" t="n">
        <f aca="false">C833*D833</f>
        <v>0.42</v>
      </c>
    </row>
    <row r="834" customFormat="false" ht="15" hidden="false" customHeight="false" outlineLevel="0" collapsed="false">
      <c r="A834" s="9" t="s">
        <v>567</v>
      </c>
      <c r="B834" s="9" t="s">
        <v>610</v>
      </c>
      <c r="C834" s="9" t="n">
        <v>1</v>
      </c>
      <c r="D834" s="10" t="n">
        <v>2.95</v>
      </c>
      <c r="E834" s="10" t="n">
        <f aca="false">C834*D834</f>
        <v>2.95</v>
      </c>
    </row>
    <row r="835" customFormat="false" ht="15" hidden="false" customHeight="false" outlineLevel="0" collapsed="false">
      <c r="A835" s="9" t="s">
        <v>567</v>
      </c>
      <c r="B835" s="9" t="s">
        <v>233</v>
      </c>
      <c r="C835" s="9" t="n">
        <v>1</v>
      </c>
      <c r="D835" s="10" t="n">
        <v>2.95</v>
      </c>
      <c r="E835" s="10" t="n">
        <f aca="false">C835*D835</f>
        <v>2.95</v>
      </c>
    </row>
    <row r="836" customFormat="false" ht="15" hidden="false" customHeight="false" outlineLevel="0" collapsed="false">
      <c r="A836" s="9" t="s">
        <v>567</v>
      </c>
      <c r="B836" s="9" t="s">
        <v>244</v>
      </c>
      <c r="C836" s="9" t="n">
        <v>1</v>
      </c>
      <c r="D836" s="10" t="n">
        <v>3.75</v>
      </c>
      <c r="E836" s="10" t="n">
        <f aca="false">C836*D836</f>
        <v>3.75</v>
      </c>
    </row>
    <row r="837" customFormat="false" ht="15" hidden="false" customHeight="false" outlineLevel="0" collapsed="false">
      <c r="A837" s="9" t="s">
        <v>611</v>
      </c>
      <c r="B837" s="9" t="s">
        <v>63</v>
      </c>
      <c r="C837" s="9" t="n">
        <v>6</v>
      </c>
      <c r="D837" s="10" t="n">
        <v>4.25</v>
      </c>
      <c r="E837" s="10" t="n">
        <f aca="false">C837*D837</f>
        <v>25.5</v>
      </c>
    </row>
    <row r="838" customFormat="false" ht="15" hidden="false" customHeight="false" outlineLevel="0" collapsed="false">
      <c r="A838" s="9" t="s">
        <v>611</v>
      </c>
      <c r="B838" s="9" t="s">
        <v>128</v>
      </c>
      <c r="C838" s="9" t="n">
        <v>12</v>
      </c>
      <c r="D838" s="10" t="n">
        <v>1.45</v>
      </c>
      <c r="E838" s="10" t="n">
        <f aca="false">C838*D838</f>
        <v>17.4</v>
      </c>
    </row>
    <row r="839" customFormat="false" ht="15" hidden="false" customHeight="false" outlineLevel="0" collapsed="false">
      <c r="A839" s="9" t="s">
        <v>612</v>
      </c>
      <c r="B839" s="9" t="s">
        <v>501</v>
      </c>
      <c r="C839" s="9" t="n">
        <v>144</v>
      </c>
      <c r="D839" s="10" t="n">
        <v>0.72</v>
      </c>
      <c r="E839" s="10" t="n">
        <f aca="false">C839*D839</f>
        <v>103.68</v>
      </c>
    </row>
    <row r="840" customFormat="false" ht="15" hidden="false" customHeight="false" outlineLevel="0" collapsed="false">
      <c r="A840" s="9" t="s">
        <v>612</v>
      </c>
      <c r="B840" s="9" t="s">
        <v>150</v>
      </c>
      <c r="C840" s="9" t="n">
        <v>10</v>
      </c>
      <c r="D840" s="10" t="n">
        <v>1.95</v>
      </c>
      <c r="E840" s="10" t="n">
        <f aca="false">C840*D840</f>
        <v>19.5</v>
      </c>
    </row>
    <row r="841" customFormat="false" ht="15" hidden="false" customHeight="false" outlineLevel="0" collapsed="false">
      <c r="A841" s="9" t="s">
        <v>612</v>
      </c>
      <c r="B841" s="9" t="s">
        <v>613</v>
      </c>
      <c r="C841" s="9" t="n">
        <v>16</v>
      </c>
      <c r="D841" s="10" t="n">
        <v>10.95</v>
      </c>
      <c r="E841" s="10" t="n">
        <f aca="false">C841*D841</f>
        <v>175.2</v>
      </c>
    </row>
    <row r="842" customFormat="false" ht="15" hidden="false" customHeight="false" outlineLevel="0" collapsed="false">
      <c r="A842" s="9" t="s">
        <v>612</v>
      </c>
      <c r="B842" s="9" t="s">
        <v>46</v>
      </c>
      <c r="C842" s="9" t="n">
        <v>12</v>
      </c>
      <c r="D842" s="10" t="n">
        <v>2.1</v>
      </c>
      <c r="E842" s="10" t="n">
        <f aca="false">C842*D842</f>
        <v>25.2</v>
      </c>
    </row>
    <row r="843" customFormat="false" ht="15" hidden="false" customHeight="false" outlineLevel="0" collapsed="false">
      <c r="A843" s="9" t="s">
        <v>612</v>
      </c>
      <c r="B843" s="9" t="s">
        <v>45</v>
      </c>
      <c r="C843" s="9" t="n">
        <v>12</v>
      </c>
      <c r="D843" s="10" t="n">
        <v>2.1</v>
      </c>
      <c r="E843" s="10" t="n">
        <f aca="false">C843*D843</f>
        <v>25.2</v>
      </c>
    </row>
    <row r="844" customFormat="false" ht="15" hidden="false" customHeight="false" outlineLevel="0" collapsed="false">
      <c r="A844" s="9" t="s">
        <v>612</v>
      </c>
      <c r="B844" s="9" t="s">
        <v>502</v>
      </c>
      <c r="C844" s="9" t="n">
        <v>144</v>
      </c>
      <c r="D844" s="10" t="n">
        <v>0.72</v>
      </c>
      <c r="E844" s="10" t="n">
        <f aca="false">C844*D844</f>
        <v>103.68</v>
      </c>
    </row>
    <row r="845" customFormat="false" ht="15" hidden="false" customHeight="false" outlineLevel="0" collapsed="false">
      <c r="A845" s="9" t="s">
        <v>612</v>
      </c>
      <c r="B845" s="9" t="s">
        <v>614</v>
      </c>
      <c r="C845" s="9" t="n">
        <v>96</v>
      </c>
      <c r="D845" s="10" t="n">
        <v>0.72</v>
      </c>
      <c r="E845" s="10" t="n">
        <f aca="false">C845*D845</f>
        <v>69.12</v>
      </c>
    </row>
    <row r="846" customFormat="false" ht="15" hidden="false" customHeight="false" outlineLevel="0" collapsed="false">
      <c r="A846" s="9" t="s">
        <v>612</v>
      </c>
      <c r="B846" s="9" t="s">
        <v>615</v>
      </c>
      <c r="C846" s="9" t="n">
        <v>480</v>
      </c>
      <c r="D846" s="10" t="n">
        <v>3.39</v>
      </c>
      <c r="E846" s="10" t="n">
        <f aca="false">C846*D846</f>
        <v>1627.2</v>
      </c>
    </row>
    <row r="847" customFormat="false" ht="15" hidden="false" customHeight="false" outlineLevel="0" collapsed="false">
      <c r="A847" s="9" t="s">
        <v>612</v>
      </c>
      <c r="B847" s="9" t="s">
        <v>616</v>
      </c>
      <c r="C847" s="9" t="n">
        <v>16</v>
      </c>
      <c r="D847" s="10" t="n">
        <v>1.25</v>
      </c>
      <c r="E847" s="10" t="n">
        <f aca="false">C847*D847</f>
        <v>20</v>
      </c>
    </row>
    <row r="848" customFormat="false" ht="15" hidden="false" customHeight="false" outlineLevel="0" collapsed="false">
      <c r="A848" s="9" t="s">
        <v>612</v>
      </c>
      <c r="B848" s="9" t="s">
        <v>617</v>
      </c>
      <c r="C848" s="9" t="n">
        <v>16</v>
      </c>
      <c r="D848" s="10" t="n">
        <v>1.25</v>
      </c>
      <c r="E848" s="10" t="n">
        <f aca="false">C848*D848</f>
        <v>20</v>
      </c>
    </row>
    <row r="849" customFormat="false" ht="15" hidden="false" customHeight="false" outlineLevel="0" collapsed="false">
      <c r="A849" s="9" t="s">
        <v>612</v>
      </c>
      <c r="B849" s="9" t="s">
        <v>618</v>
      </c>
      <c r="C849" s="9" t="n">
        <v>48</v>
      </c>
      <c r="D849" s="10" t="n">
        <v>2.1</v>
      </c>
      <c r="E849" s="10" t="n">
        <f aca="false">C849*D849</f>
        <v>100.8</v>
      </c>
    </row>
    <row r="850" customFormat="false" ht="15" hidden="false" customHeight="false" outlineLevel="0" collapsed="false">
      <c r="A850" s="9" t="s">
        <v>612</v>
      </c>
      <c r="B850" s="9" t="s">
        <v>244</v>
      </c>
      <c r="C850" s="9" t="n">
        <v>4</v>
      </c>
      <c r="D850" s="10" t="n">
        <v>3.75</v>
      </c>
      <c r="E850" s="10" t="n">
        <f aca="false">C850*D850</f>
        <v>15</v>
      </c>
    </row>
    <row r="851" customFormat="false" ht="15" hidden="false" customHeight="false" outlineLevel="0" collapsed="false">
      <c r="A851" s="9" t="s">
        <v>612</v>
      </c>
      <c r="B851" s="9" t="s">
        <v>41</v>
      </c>
      <c r="C851" s="9" t="n">
        <v>24</v>
      </c>
      <c r="D851" s="10" t="n">
        <v>3.39</v>
      </c>
      <c r="E851" s="10" t="n">
        <f aca="false">C851*D851</f>
        <v>81.36</v>
      </c>
    </row>
    <row r="852" customFormat="false" ht="15" hidden="false" customHeight="false" outlineLevel="0" collapsed="false">
      <c r="A852" s="9" t="s">
        <v>612</v>
      </c>
      <c r="B852" s="9" t="s">
        <v>263</v>
      </c>
      <c r="C852" s="9" t="n">
        <v>48</v>
      </c>
      <c r="D852" s="10" t="n">
        <v>1.85</v>
      </c>
      <c r="E852" s="10" t="n">
        <f aca="false">C852*D852</f>
        <v>88.8</v>
      </c>
    </row>
    <row r="853" customFormat="false" ht="15" hidden="false" customHeight="false" outlineLevel="0" collapsed="false">
      <c r="A853" s="9" t="s">
        <v>619</v>
      </c>
      <c r="B853" s="9" t="s">
        <v>277</v>
      </c>
      <c r="C853" s="9" t="n">
        <v>1</v>
      </c>
      <c r="D853" s="10" t="n">
        <v>6.75</v>
      </c>
      <c r="E853" s="10" t="n">
        <f aca="false">C853*D853</f>
        <v>6.75</v>
      </c>
    </row>
    <row r="854" customFormat="false" ht="15" hidden="false" customHeight="false" outlineLevel="0" collapsed="false">
      <c r="A854" s="9" t="s">
        <v>619</v>
      </c>
      <c r="B854" s="9" t="s">
        <v>435</v>
      </c>
      <c r="C854" s="9" t="n">
        <v>1</v>
      </c>
      <c r="D854" s="10" t="n">
        <v>0.95</v>
      </c>
      <c r="E854" s="10" t="n">
        <f aca="false">C854*D854</f>
        <v>0.95</v>
      </c>
    </row>
    <row r="855" customFormat="false" ht="15" hidden="false" customHeight="false" outlineLevel="0" collapsed="false">
      <c r="A855" s="9" t="s">
        <v>619</v>
      </c>
      <c r="B855" s="9" t="s">
        <v>620</v>
      </c>
      <c r="C855" s="9" t="n">
        <v>1</v>
      </c>
      <c r="D855" s="10" t="n">
        <v>4.25</v>
      </c>
      <c r="E855" s="10" t="n">
        <f aca="false">C855*D855</f>
        <v>4.25</v>
      </c>
    </row>
    <row r="856" customFormat="false" ht="15" hidden="false" customHeight="false" outlineLevel="0" collapsed="false">
      <c r="A856" s="9" t="s">
        <v>619</v>
      </c>
      <c r="B856" s="9" t="s">
        <v>258</v>
      </c>
      <c r="C856" s="9" t="n">
        <v>1</v>
      </c>
      <c r="D856" s="10" t="n">
        <v>2.1</v>
      </c>
      <c r="E856" s="10" t="n">
        <f aca="false">C856*D856</f>
        <v>2.1</v>
      </c>
    </row>
    <row r="857" customFormat="false" ht="15" hidden="false" customHeight="false" outlineLevel="0" collapsed="false">
      <c r="A857" s="9" t="s">
        <v>619</v>
      </c>
      <c r="B857" s="9" t="s">
        <v>444</v>
      </c>
      <c r="C857" s="9" t="n">
        <v>1</v>
      </c>
      <c r="D857" s="10" t="n">
        <v>2.1</v>
      </c>
      <c r="E857" s="10" t="n">
        <f aca="false">C857*D857</f>
        <v>2.1</v>
      </c>
    </row>
    <row r="858" customFormat="false" ht="15" hidden="false" customHeight="false" outlineLevel="0" collapsed="false">
      <c r="A858" s="9" t="s">
        <v>619</v>
      </c>
      <c r="B858" s="9" t="s">
        <v>621</v>
      </c>
      <c r="C858" s="9" t="n">
        <v>1</v>
      </c>
      <c r="D858" s="10" t="n">
        <v>1.65</v>
      </c>
      <c r="E858" s="10" t="n">
        <f aca="false">C858*D858</f>
        <v>1.65</v>
      </c>
    </row>
    <row r="859" customFormat="false" ht="15" hidden="false" customHeight="false" outlineLevel="0" collapsed="false">
      <c r="A859" s="9" t="s">
        <v>619</v>
      </c>
      <c r="B859" s="9" t="s">
        <v>622</v>
      </c>
      <c r="C859" s="9" t="n">
        <v>3</v>
      </c>
      <c r="D859" s="10" t="n">
        <v>1.25</v>
      </c>
      <c r="E859" s="10" t="n">
        <f aca="false">C859*D859</f>
        <v>3.75</v>
      </c>
    </row>
    <row r="860" customFormat="false" ht="15" hidden="false" customHeight="false" outlineLevel="0" collapsed="false">
      <c r="A860" s="9" t="s">
        <v>619</v>
      </c>
      <c r="B860" s="9" t="s">
        <v>623</v>
      </c>
      <c r="C860" s="9" t="n">
        <v>1</v>
      </c>
      <c r="D860" s="10" t="n">
        <v>1.65</v>
      </c>
      <c r="E860" s="10" t="n">
        <f aca="false">C860*D860</f>
        <v>1.65</v>
      </c>
    </row>
    <row r="861" customFormat="false" ht="15" hidden="false" customHeight="false" outlineLevel="0" collapsed="false">
      <c r="A861" s="9" t="s">
        <v>619</v>
      </c>
      <c r="B861" s="9" t="s">
        <v>465</v>
      </c>
      <c r="C861" s="9" t="n">
        <v>1</v>
      </c>
      <c r="D861" s="10" t="n">
        <v>4.25</v>
      </c>
      <c r="E861" s="10" t="n">
        <f aca="false">C861*D861</f>
        <v>4.25</v>
      </c>
    </row>
    <row r="862" customFormat="false" ht="15" hidden="false" customHeight="false" outlineLevel="0" collapsed="false">
      <c r="A862" s="9" t="s">
        <v>619</v>
      </c>
      <c r="B862" s="9" t="s">
        <v>624</v>
      </c>
      <c r="C862" s="9" t="n">
        <v>1</v>
      </c>
      <c r="D862" s="10" t="n">
        <v>4.25</v>
      </c>
      <c r="E862" s="10" t="n">
        <f aca="false">C862*D862</f>
        <v>4.25</v>
      </c>
    </row>
    <row r="863" customFormat="false" ht="15" hidden="false" customHeight="false" outlineLevel="0" collapsed="false">
      <c r="A863" s="9" t="s">
        <v>619</v>
      </c>
      <c r="B863" s="9" t="s">
        <v>375</v>
      </c>
      <c r="C863" s="9" t="n">
        <v>3</v>
      </c>
      <c r="D863" s="10" t="n">
        <v>2.55</v>
      </c>
      <c r="E863" s="10" t="n">
        <f aca="false">C863*D863</f>
        <v>7.65</v>
      </c>
    </row>
    <row r="864" customFormat="false" ht="15" hidden="false" customHeight="false" outlineLevel="0" collapsed="false">
      <c r="A864" s="9" t="s">
        <v>619</v>
      </c>
      <c r="B864" s="9" t="s">
        <v>245</v>
      </c>
      <c r="C864" s="9" t="n">
        <v>1</v>
      </c>
      <c r="D864" s="10" t="n">
        <v>1.95</v>
      </c>
      <c r="E864" s="10" t="n">
        <f aca="false">C864*D864</f>
        <v>1.95</v>
      </c>
    </row>
    <row r="865" customFormat="false" ht="15" hidden="false" customHeight="false" outlineLevel="0" collapsed="false">
      <c r="A865" s="9" t="s">
        <v>619</v>
      </c>
      <c r="B865" s="9" t="s">
        <v>505</v>
      </c>
      <c r="C865" s="9" t="n">
        <v>2</v>
      </c>
      <c r="D865" s="10" t="n">
        <v>2.1</v>
      </c>
      <c r="E865" s="10" t="n">
        <f aca="false">C865*D865</f>
        <v>4.2</v>
      </c>
    </row>
    <row r="866" customFormat="false" ht="15" hidden="false" customHeight="false" outlineLevel="0" collapsed="false">
      <c r="A866" s="9" t="s">
        <v>619</v>
      </c>
      <c r="B866" s="9" t="s">
        <v>444</v>
      </c>
      <c r="C866" s="9" t="n">
        <v>2</v>
      </c>
      <c r="D866" s="10" t="n">
        <v>2.1</v>
      </c>
      <c r="E866" s="10" t="n">
        <f aca="false">C866*D866</f>
        <v>4.2</v>
      </c>
    </row>
    <row r="867" customFormat="false" ht="15" hidden="false" customHeight="false" outlineLevel="0" collapsed="false">
      <c r="A867" s="9" t="s">
        <v>619</v>
      </c>
      <c r="B867" s="9" t="s">
        <v>623</v>
      </c>
      <c r="C867" s="9" t="n">
        <v>3</v>
      </c>
      <c r="D867" s="10" t="n">
        <v>1.65</v>
      </c>
      <c r="E867" s="10" t="n">
        <f aca="false">C867*D867</f>
        <v>4.95</v>
      </c>
    </row>
    <row r="868" customFormat="false" ht="15" hidden="false" customHeight="false" outlineLevel="0" collapsed="false">
      <c r="A868" s="9" t="s">
        <v>619</v>
      </c>
      <c r="B868" s="9" t="s">
        <v>128</v>
      </c>
      <c r="C868" s="9" t="n">
        <v>1</v>
      </c>
      <c r="D868" s="10" t="n">
        <v>1.45</v>
      </c>
      <c r="E868" s="10" t="n">
        <f aca="false">C868*D868</f>
        <v>1.45</v>
      </c>
    </row>
    <row r="869" customFormat="false" ht="15" hidden="false" customHeight="false" outlineLevel="0" collapsed="false">
      <c r="A869" s="9" t="s">
        <v>619</v>
      </c>
      <c r="B869" s="9" t="s">
        <v>625</v>
      </c>
      <c r="C869" s="9" t="n">
        <v>1</v>
      </c>
      <c r="D869" s="10" t="n">
        <v>4.25</v>
      </c>
      <c r="E869" s="10" t="n">
        <f aca="false">C869*D869</f>
        <v>4.25</v>
      </c>
    </row>
    <row r="870" customFormat="false" ht="15" hidden="false" customHeight="false" outlineLevel="0" collapsed="false">
      <c r="A870" s="9" t="s">
        <v>619</v>
      </c>
      <c r="B870" s="9" t="s">
        <v>626</v>
      </c>
      <c r="C870" s="9" t="n">
        <v>1</v>
      </c>
      <c r="D870" s="10" t="n">
        <v>2.95</v>
      </c>
      <c r="E870" s="10" t="n">
        <f aca="false">C870*D870</f>
        <v>2.95</v>
      </c>
    </row>
    <row r="871" customFormat="false" ht="15" hidden="false" customHeight="false" outlineLevel="0" collapsed="false">
      <c r="A871" s="9" t="s">
        <v>619</v>
      </c>
      <c r="B871" s="9" t="s">
        <v>489</v>
      </c>
      <c r="C871" s="9" t="n">
        <v>5</v>
      </c>
      <c r="D871" s="10" t="n">
        <v>1.65</v>
      </c>
      <c r="E871" s="10" t="n">
        <f aca="false">C871*D871</f>
        <v>8.25</v>
      </c>
    </row>
    <row r="872" customFormat="false" ht="15" hidden="false" customHeight="false" outlineLevel="0" collapsed="false">
      <c r="A872" s="9" t="s">
        <v>619</v>
      </c>
      <c r="B872" s="9" t="s">
        <v>627</v>
      </c>
      <c r="C872" s="9" t="n">
        <v>1</v>
      </c>
      <c r="D872" s="10" t="n">
        <v>8.5</v>
      </c>
      <c r="E872" s="10" t="n">
        <f aca="false">C872*D872</f>
        <v>8.5</v>
      </c>
    </row>
    <row r="873" customFormat="false" ht="15" hidden="false" customHeight="false" outlineLevel="0" collapsed="false">
      <c r="A873" s="9" t="s">
        <v>619</v>
      </c>
      <c r="B873" s="9" t="s">
        <v>63</v>
      </c>
      <c r="C873" s="9" t="n">
        <v>8</v>
      </c>
      <c r="D873" s="10" t="n">
        <v>4.25</v>
      </c>
      <c r="E873" s="10" t="n">
        <f aca="false">C873*D873</f>
        <v>34</v>
      </c>
    </row>
    <row r="874" customFormat="false" ht="15" hidden="false" customHeight="false" outlineLevel="0" collapsed="false">
      <c r="A874" s="9" t="s">
        <v>619</v>
      </c>
      <c r="B874" s="9" t="s">
        <v>578</v>
      </c>
      <c r="C874" s="9" t="n">
        <v>5</v>
      </c>
      <c r="D874" s="10" t="n">
        <v>1.65</v>
      </c>
      <c r="E874" s="10" t="n">
        <f aca="false">C874*D874</f>
        <v>8.25</v>
      </c>
    </row>
    <row r="875" customFormat="false" ht="15" hidden="false" customHeight="false" outlineLevel="0" collapsed="false">
      <c r="A875" s="9" t="s">
        <v>619</v>
      </c>
      <c r="B875" s="9" t="s">
        <v>628</v>
      </c>
      <c r="C875" s="9" t="n">
        <v>1</v>
      </c>
      <c r="D875" s="10" t="n">
        <v>3.75</v>
      </c>
      <c r="E875" s="10" t="n">
        <f aca="false">C875*D875</f>
        <v>3.75</v>
      </c>
    </row>
    <row r="876" customFormat="false" ht="15" hidden="false" customHeight="false" outlineLevel="0" collapsed="false">
      <c r="A876" s="9" t="s">
        <v>619</v>
      </c>
      <c r="B876" s="9" t="s">
        <v>629</v>
      </c>
      <c r="C876" s="9" t="n">
        <v>1</v>
      </c>
      <c r="D876" s="10" t="n">
        <v>2.55</v>
      </c>
      <c r="E876" s="10" t="n">
        <f aca="false">C876*D876</f>
        <v>2.55</v>
      </c>
    </row>
    <row r="877" customFormat="false" ht="15" hidden="false" customHeight="false" outlineLevel="0" collapsed="false">
      <c r="A877" s="9" t="s">
        <v>619</v>
      </c>
      <c r="B877" s="9" t="s">
        <v>285</v>
      </c>
      <c r="C877" s="9" t="n">
        <v>1</v>
      </c>
      <c r="D877" s="10" t="n">
        <v>1.25</v>
      </c>
      <c r="E877" s="10" t="n">
        <f aca="false">C877*D877</f>
        <v>1.25</v>
      </c>
    </row>
    <row r="878" customFormat="false" ht="15" hidden="false" customHeight="false" outlineLevel="0" collapsed="false">
      <c r="A878" s="9" t="s">
        <v>619</v>
      </c>
      <c r="B878" s="9" t="s">
        <v>579</v>
      </c>
      <c r="C878" s="9" t="n">
        <v>2</v>
      </c>
      <c r="D878" s="10" t="n">
        <v>1.25</v>
      </c>
      <c r="E878" s="10" t="n">
        <f aca="false">C878*D878</f>
        <v>2.5</v>
      </c>
    </row>
    <row r="879" customFormat="false" ht="15" hidden="false" customHeight="false" outlineLevel="0" collapsed="false">
      <c r="A879" s="9" t="s">
        <v>619</v>
      </c>
      <c r="B879" s="9" t="s">
        <v>630</v>
      </c>
      <c r="C879" s="9" t="n">
        <v>1</v>
      </c>
      <c r="D879" s="10" t="n">
        <v>2.25</v>
      </c>
      <c r="E879" s="10" t="n">
        <f aca="false">C879*D879</f>
        <v>2.25</v>
      </c>
    </row>
    <row r="880" customFormat="false" ht="15" hidden="false" customHeight="false" outlineLevel="0" collapsed="false">
      <c r="A880" s="9" t="s">
        <v>619</v>
      </c>
      <c r="B880" s="9" t="s">
        <v>490</v>
      </c>
      <c r="C880" s="9" t="n">
        <v>1</v>
      </c>
      <c r="D880" s="10" t="n">
        <v>0.85</v>
      </c>
      <c r="E880" s="10" t="n">
        <f aca="false">C880*D880</f>
        <v>0.85</v>
      </c>
    </row>
    <row r="881" customFormat="false" ht="15" hidden="false" customHeight="false" outlineLevel="0" collapsed="false">
      <c r="A881" s="9" t="s">
        <v>619</v>
      </c>
      <c r="B881" s="9" t="s">
        <v>631</v>
      </c>
      <c r="C881" s="9" t="n">
        <v>1</v>
      </c>
      <c r="D881" s="10" t="n">
        <v>2.95</v>
      </c>
      <c r="E881" s="10" t="n">
        <f aca="false">C881*D881</f>
        <v>2.95</v>
      </c>
    </row>
    <row r="882" customFormat="false" ht="15" hidden="false" customHeight="false" outlineLevel="0" collapsed="false">
      <c r="A882" s="9" t="s">
        <v>619</v>
      </c>
      <c r="B882" s="9" t="s">
        <v>632</v>
      </c>
      <c r="C882" s="9" t="n">
        <v>2</v>
      </c>
      <c r="D882" s="10" t="n">
        <v>0.85</v>
      </c>
      <c r="E882" s="10" t="n">
        <f aca="false">C882*D882</f>
        <v>1.7</v>
      </c>
    </row>
    <row r="883" customFormat="false" ht="15" hidden="false" customHeight="false" outlineLevel="0" collapsed="false">
      <c r="A883" s="9" t="s">
        <v>619</v>
      </c>
      <c r="B883" s="9" t="s">
        <v>633</v>
      </c>
      <c r="C883" s="9" t="n">
        <v>12</v>
      </c>
      <c r="D883" s="10" t="n">
        <v>0.42</v>
      </c>
      <c r="E883" s="10" t="n">
        <f aca="false">C883*D883</f>
        <v>5.04</v>
      </c>
    </row>
    <row r="884" customFormat="false" ht="15" hidden="false" customHeight="false" outlineLevel="0" collapsed="false">
      <c r="A884" s="9" t="s">
        <v>619</v>
      </c>
      <c r="B884" s="9" t="s">
        <v>233</v>
      </c>
      <c r="C884" s="9" t="n">
        <v>1</v>
      </c>
      <c r="D884" s="10" t="n">
        <v>2.95</v>
      </c>
      <c r="E884" s="10" t="n">
        <f aca="false">C884*D884</f>
        <v>2.95</v>
      </c>
    </row>
    <row r="885" customFormat="false" ht="15" hidden="false" customHeight="false" outlineLevel="0" collapsed="false">
      <c r="A885" s="9" t="s">
        <v>619</v>
      </c>
      <c r="B885" s="9" t="s">
        <v>634</v>
      </c>
      <c r="C885" s="9" t="n">
        <v>2</v>
      </c>
      <c r="D885" s="10" t="n">
        <v>6.35</v>
      </c>
      <c r="E885" s="10" t="n">
        <f aca="false">C885*D885</f>
        <v>12.7</v>
      </c>
    </row>
    <row r="886" customFormat="false" ht="15" hidden="false" customHeight="false" outlineLevel="0" collapsed="false">
      <c r="A886" s="9" t="s">
        <v>619</v>
      </c>
      <c r="B886" s="9" t="s">
        <v>375</v>
      </c>
      <c r="C886" s="9" t="n">
        <v>1</v>
      </c>
      <c r="D886" s="10" t="n">
        <v>2.55</v>
      </c>
      <c r="E886" s="10" t="n">
        <f aca="false">C886*D886</f>
        <v>2.55</v>
      </c>
    </row>
    <row r="887" customFormat="false" ht="15" hidden="false" customHeight="false" outlineLevel="0" collapsed="false">
      <c r="A887" s="9" t="s">
        <v>635</v>
      </c>
      <c r="B887" s="9" t="s">
        <v>636</v>
      </c>
      <c r="C887" s="9" t="n">
        <v>2</v>
      </c>
      <c r="D887" s="10" t="n">
        <v>3.95</v>
      </c>
      <c r="E887" s="10" t="n">
        <f aca="false">C887*D887</f>
        <v>7.9</v>
      </c>
    </row>
    <row r="888" customFormat="false" ht="15" hidden="false" customHeight="false" outlineLevel="0" collapsed="false">
      <c r="A888" s="9" t="s">
        <v>635</v>
      </c>
      <c r="B888" s="9" t="s">
        <v>637</v>
      </c>
      <c r="C888" s="9" t="n">
        <v>3</v>
      </c>
      <c r="D888" s="10" t="n">
        <v>2.95</v>
      </c>
      <c r="E888" s="10" t="n">
        <f aca="false">C888*D888</f>
        <v>8.85</v>
      </c>
    </row>
    <row r="889" customFormat="false" ht="15" hidden="false" customHeight="false" outlineLevel="0" collapsed="false">
      <c r="A889" s="9" t="s">
        <v>635</v>
      </c>
      <c r="B889" s="9" t="s">
        <v>41</v>
      </c>
      <c r="C889" s="9" t="n">
        <v>2</v>
      </c>
      <c r="D889" s="10" t="n">
        <v>3.75</v>
      </c>
      <c r="E889" s="10" t="n">
        <f aca="false">C889*D889</f>
        <v>7.5</v>
      </c>
    </row>
    <row r="890" customFormat="false" ht="15" hidden="false" customHeight="false" outlineLevel="0" collapsed="false">
      <c r="A890" s="9" t="s">
        <v>635</v>
      </c>
      <c r="B890" s="9" t="s">
        <v>50</v>
      </c>
      <c r="C890" s="9" t="n">
        <v>6</v>
      </c>
      <c r="D890" s="10" t="n">
        <v>5.95</v>
      </c>
      <c r="E890" s="10" t="n">
        <f aca="false">C890*D890</f>
        <v>35.7</v>
      </c>
    </row>
    <row r="891" customFormat="false" ht="15" hidden="false" customHeight="false" outlineLevel="0" collapsed="false">
      <c r="A891" s="9" t="s">
        <v>635</v>
      </c>
      <c r="B891" s="9" t="s">
        <v>53</v>
      </c>
      <c r="C891" s="9" t="n">
        <v>6</v>
      </c>
      <c r="D891" s="10" t="n">
        <v>5.95</v>
      </c>
      <c r="E891" s="10" t="n">
        <f aca="false">C891*D891</f>
        <v>35.7</v>
      </c>
    </row>
    <row r="892" customFormat="false" ht="15" hidden="false" customHeight="false" outlineLevel="0" collapsed="false">
      <c r="A892" s="9" t="s">
        <v>635</v>
      </c>
      <c r="B892" s="9" t="s">
        <v>78</v>
      </c>
      <c r="C892" s="9" t="n">
        <v>3</v>
      </c>
      <c r="D892" s="10" t="n">
        <v>2.95</v>
      </c>
      <c r="E892" s="10" t="n">
        <f aca="false">C892*D892</f>
        <v>8.85</v>
      </c>
    </row>
    <row r="893" customFormat="false" ht="15" hidden="false" customHeight="false" outlineLevel="0" collapsed="false">
      <c r="A893" s="9" t="s">
        <v>635</v>
      </c>
      <c r="B893" s="9" t="s">
        <v>515</v>
      </c>
      <c r="C893" s="9" t="n">
        <v>3</v>
      </c>
      <c r="D893" s="10" t="n">
        <v>3.75</v>
      </c>
      <c r="E893" s="10" t="n">
        <f aca="false">C893*D893</f>
        <v>11.25</v>
      </c>
    </row>
    <row r="894" customFormat="false" ht="15" hidden="false" customHeight="false" outlineLevel="0" collapsed="false">
      <c r="A894" s="9" t="s">
        <v>635</v>
      </c>
      <c r="B894" s="9" t="s">
        <v>72</v>
      </c>
      <c r="C894" s="9" t="n">
        <v>7</v>
      </c>
      <c r="D894" s="10" t="n">
        <v>2.95</v>
      </c>
      <c r="E894" s="10" t="n">
        <f aca="false">C894*D894</f>
        <v>20.65</v>
      </c>
    </row>
    <row r="895" customFormat="false" ht="15" hidden="false" customHeight="false" outlineLevel="0" collapsed="false">
      <c r="A895" s="9" t="s">
        <v>635</v>
      </c>
      <c r="B895" s="9" t="s">
        <v>638</v>
      </c>
      <c r="C895" s="9" t="n">
        <v>12</v>
      </c>
      <c r="D895" s="10" t="n">
        <v>0.42</v>
      </c>
      <c r="E895" s="10" t="n">
        <f aca="false">C895*D895</f>
        <v>5.04</v>
      </c>
    </row>
    <row r="896" customFormat="false" ht="15" hidden="false" customHeight="false" outlineLevel="0" collapsed="false">
      <c r="A896" s="9" t="s">
        <v>635</v>
      </c>
      <c r="B896" s="9" t="s">
        <v>639</v>
      </c>
      <c r="C896" s="9" t="n">
        <v>12</v>
      </c>
      <c r="D896" s="10" t="n">
        <v>0.42</v>
      </c>
      <c r="E896" s="10" t="n">
        <f aca="false">C896*D896</f>
        <v>5.04</v>
      </c>
    </row>
    <row r="897" customFormat="false" ht="15" hidden="false" customHeight="false" outlineLevel="0" collapsed="false">
      <c r="A897" s="9" t="s">
        <v>635</v>
      </c>
      <c r="B897" s="9" t="s">
        <v>640</v>
      </c>
      <c r="C897" s="9" t="n">
        <v>12</v>
      </c>
      <c r="D897" s="10" t="n">
        <v>0.42</v>
      </c>
      <c r="E897" s="10" t="n">
        <f aca="false">C897*D897</f>
        <v>5.04</v>
      </c>
    </row>
    <row r="898" customFormat="false" ht="15" hidden="false" customHeight="false" outlineLevel="0" collapsed="false">
      <c r="A898" s="9" t="s">
        <v>635</v>
      </c>
      <c r="B898" s="9" t="s">
        <v>498</v>
      </c>
      <c r="C898" s="9" t="n">
        <v>12</v>
      </c>
      <c r="D898" s="10" t="n">
        <v>0.29</v>
      </c>
      <c r="E898" s="10" t="n">
        <f aca="false">C898*D898</f>
        <v>3.48</v>
      </c>
    </row>
    <row r="899" customFormat="false" ht="15" hidden="false" customHeight="false" outlineLevel="0" collapsed="false">
      <c r="A899" s="9" t="s">
        <v>635</v>
      </c>
      <c r="B899" s="9" t="s">
        <v>462</v>
      </c>
      <c r="C899" s="9" t="n">
        <v>2</v>
      </c>
      <c r="D899" s="10" t="n">
        <v>1.95</v>
      </c>
      <c r="E899" s="10" t="n">
        <f aca="false">C899*D899</f>
        <v>3.9</v>
      </c>
    </row>
    <row r="900" customFormat="false" ht="15" hidden="false" customHeight="false" outlineLevel="0" collapsed="false">
      <c r="A900" s="9" t="s">
        <v>635</v>
      </c>
      <c r="B900" s="9" t="s">
        <v>641</v>
      </c>
      <c r="C900" s="9" t="n">
        <v>10</v>
      </c>
      <c r="D900" s="10" t="n">
        <v>1.55</v>
      </c>
      <c r="E900" s="10" t="n">
        <f aca="false">C900*D900</f>
        <v>15.5</v>
      </c>
    </row>
    <row r="901" customFormat="false" ht="15" hidden="false" customHeight="false" outlineLevel="0" collapsed="false">
      <c r="A901" s="9" t="s">
        <v>635</v>
      </c>
      <c r="B901" s="9" t="s">
        <v>219</v>
      </c>
      <c r="C901" s="9" t="n">
        <v>10</v>
      </c>
      <c r="D901" s="10" t="n">
        <v>4.95</v>
      </c>
      <c r="E901" s="10" t="n">
        <f aca="false">C901*D901</f>
        <v>49.5</v>
      </c>
    </row>
    <row r="902" customFormat="false" ht="15" hidden="false" customHeight="false" outlineLevel="0" collapsed="false">
      <c r="A902" s="9" t="s">
        <v>642</v>
      </c>
      <c r="B902" s="9" t="s">
        <v>59</v>
      </c>
      <c r="C902" s="9" t="n">
        <v>16</v>
      </c>
      <c r="D902" s="10" t="n">
        <v>1.69</v>
      </c>
      <c r="E902" s="10" t="n">
        <f aca="false">C902*D902</f>
        <v>27.04</v>
      </c>
    </row>
    <row r="903" customFormat="false" ht="15" hidden="false" customHeight="false" outlineLevel="0" collapsed="false">
      <c r="A903" s="9" t="s">
        <v>642</v>
      </c>
      <c r="B903" s="9" t="s">
        <v>643</v>
      </c>
      <c r="C903" s="9" t="n">
        <v>3</v>
      </c>
      <c r="D903" s="10" t="n">
        <v>4.95</v>
      </c>
      <c r="E903" s="10" t="n">
        <f aca="false">C903*D903</f>
        <v>14.85</v>
      </c>
    </row>
    <row r="904" customFormat="false" ht="15" hidden="false" customHeight="false" outlineLevel="0" collapsed="false">
      <c r="A904" s="9" t="s">
        <v>642</v>
      </c>
      <c r="B904" s="9" t="s">
        <v>644</v>
      </c>
      <c r="C904" s="9" t="n">
        <v>12</v>
      </c>
      <c r="D904" s="10" t="n">
        <v>0.85</v>
      </c>
      <c r="E904" s="10" t="n">
        <f aca="false">C904*D904</f>
        <v>10.2</v>
      </c>
    </row>
    <row r="905" customFormat="false" ht="15" hidden="false" customHeight="false" outlineLevel="0" collapsed="false">
      <c r="A905" s="9" t="s">
        <v>642</v>
      </c>
      <c r="B905" s="9" t="s">
        <v>37</v>
      </c>
      <c r="C905" s="9" t="n">
        <v>6</v>
      </c>
      <c r="D905" s="10" t="n">
        <v>2.95</v>
      </c>
      <c r="E905" s="10" t="n">
        <f aca="false">C905*D905</f>
        <v>17.7</v>
      </c>
    </row>
    <row r="906" customFormat="false" ht="15" hidden="false" customHeight="false" outlineLevel="0" collapsed="false">
      <c r="A906" s="9" t="s">
        <v>642</v>
      </c>
      <c r="B906" s="9" t="s">
        <v>613</v>
      </c>
      <c r="C906" s="9" t="n">
        <v>2</v>
      </c>
      <c r="D906" s="10" t="n">
        <v>12.75</v>
      </c>
      <c r="E906" s="10" t="n">
        <f aca="false">C906*D906</f>
        <v>25.5</v>
      </c>
    </row>
    <row r="907" customFormat="false" ht="15" hidden="false" customHeight="false" outlineLevel="0" collapsed="false">
      <c r="A907" s="9" t="s">
        <v>645</v>
      </c>
      <c r="B907" s="9" t="s">
        <v>646</v>
      </c>
      <c r="C907" s="9" t="n">
        <v>72</v>
      </c>
      <c r="D907" s="10" t="n">
        <v>1.06</v>
      </c>
      <c r="E907" s="10" t="n">
        <f aca="false">C907*D907</f>
        <v>76.32</v>
      </c>
    </row>
    <row r="908" customFormat="false" ht="15" hidden="false" customHeight="false" outlineLevel="0" collapsed="false">
      <c r="A908" s="9" t="s">
        <v>645</v>
      </c>
      <c r="B908" s="9" t="s">
        <v>402</v>
      </c>
      <c r="C908" s="9" t="n">
        <v>144</v>
      </c>
      <c r="D908" s="10" t="n">
        <v>0.55</v>
      </c>
      <c r="E908" s="10" t="n">
        <f aca="false">C908*D908</f>
        <v>79.2</v>
      </c>
    </row>
    <row r="909" customFormat="false" ht="15" hidden="false" customHeight="false" outlineLevel="0" collapsed="false">
      <c r="A909" s="9" t="s">
        <v>647</v>
      </c>
      <c r="B909" s="9" t="s">
        <v>254</v>
      </c>
      <c r="C909" s="9" t="n">
        <v>36</v>
      </c>
      <c r="D909" s="10" t="n">
        <v>2.1</v>
      </c>
      <c r="E909" s="10" t="n">
        <f aca="false">C909*D909</f>
        <v>75.6</v>
      </c>
    </row>
    <row r="910" customFormat="false" ht="15" hidden="false" customHeight="false" outlineLevel="0" collapsed="false">
      <c r="A910" s="9" t="s">
        <v>647</v>
      </c>
      <c r="B910" s="9" t="s">
        <v>483</v>
      </c>
      <c r="C910" s="9" t="n">
        <v>6</v>
      </c>
      <c r="D910" s="10" t="n">
        <v>2.95</v>
      </c>
      <c r="E910" s="10" t="n">
        <f aca="false">C910*D910</f>
        <v>17.7</v>
      </c>
    </row>
    <row r="911" customFormat="false" ht="15" hidden="false" customHeight="false" outlineLevel="0" collapsed="false">
      <c r="A911" s="9" t="s">
        <v>647</v>
      </c>
      <c r="B911" s="9" t="s">
        <v>45</v>
      </c>
      <c r="C911" s="9" t="n">
        <v>36</v>
      </c>
      <c r="D911" s="10" t="n">
        <v>2.1</v>
      </c>
      <c r="E911" s="10" t="n">
        <f aca="false">C911*D911</f>
        <v>75.6</v>
      </c>
    </row>
    <row r="912" customFormat="false" ht="15" hidden="false" customHeight="false" outlineLevel="0" collapsed="false">
      <c r="A912" s="9" t="s">
        <v>647</v>
      </c>
      <c r="B912" s="9" t="s">
        <v>255</v>
      </c>
      <c r="C912" s="9" t="n">
        <v>36</v>
      </c>
      <c r="D912" s="10" t="n">
        <v>2.1</v>
      </c>
      <c r="E912" s="10" t="n">
        <f aca="false">C912*D912</f>
        <v>75.6</v>
      </c>
    </row>
    <row r="913" customFormat="false" ht="15" hidden="false" customHeight="false" outlineLevel="0" collapsed="false">
      <c r="A913" s="9" t="s">
        <v>647</v>
      </c>
      <c r="B913" s="9" t="s">
        <v>648</v>
      </c>
      <c r="C913" s="9" t="n">
        <v>4</v>
      </c>
      <c r="D913" s="10" t="n">
        <v>12.75</v>
      </c>
      <c r="E913" s="10" t="n">
        <f aca="false">C913*D913</f>
        <v>51</v>
      </c>
    </row>
    <row r="914" customFormat="false" ht="15" hidden="false" customHeight="false" outlineLevel="0" collapsed="false">
      <c r="A914" s="9" t="s">
        <v>649</v>
      </c>
      <c r="B914" s="9" t="s">
        <v>650</v>
      </c>
      <c r="C914" s="9" t="n">
        <v>1</v>
      </c>
      <c r="D914" s="10" t="n">
        <v>1.25</v>
      </c>
      <c r="E914" s="10" t="n">
        <f aca="false">C914*D914</f>
        <v>1.25</v>
      </c>
    </row>
    <row r="915" customFormat="false" ht="15" hidden="false" customHeight="false" outlineLevel="0" collapsed="false">
      <c r="A915" s="9" t="s">
        <v>649</v>
      </c>
      <c r="B915" s="9" t="s">
        <v>311</v>
      </c>
      <c r="C915" s="9" t="n">
        <v>1</v>
      </c>
      <c r="D915" s="10" t="n">
        <v>1.25</v>
      </c>
      <c r="E915" s="10" t="n">
        <f aca="false">C915*D915</f>
        <v>1.25</v>
      </c>
    </row>
    <row r="916" customFormat="false" ht="15" hidden="false" customHeight="false" outlineLevel="0" collapsed="false">
      <c r="A916" s="9" t="s">
        <v>649</v>
      </c>
      <c r="B916" s="9" t="s">
        <v>179</v>
      </c>
      <c r="C916" s="9" t="n">
        <v>1</v>
      </c>
      <c r="D916" s="10" t="n">
        <v>1.65</v>
      </c>
      <c r="E916" s="10" t="n">
        <f aca="false">C916*D916</f>
        <v>1.65</v>
      </c>
    </row>
    <row r="917" customFormat="false" ht="15" hidden="false" customHeight="false" outlineLevel="0" collapsed="false">
      <c r="A917" s="9" t="s">
        <v>649</v>
      </c>
      <c r="B917" s="9" t="s">
        <v>651</v>
      </c>
      <c r="C917" s="9" t="n">
        <v>1</v>
      </c>
      <c r="D917" s="10" t="n">
        <v>1.25</v>
      </c>
      <c r="E917" s="10" t="n">
        <f aca="false">C917*D917</f>
        <v>1.25</v>
      </c>
    </row>
    <row r="918" customFormat="false" ht="15" hidden="false" customHeight="false" outlineLevel="0" collapsed="false">
      <c r="A918" s="9" t="s">
        <v>649</v>
      </c>
      <c r="B918" s="9" t="s">
        <v>231</v>
      </c>
      <c r="C918" s="9" t="n">
        <v>3</v>
      </c>
      <c r="D918" s="10" t="n">
        <v>0.85</v>
      </c>
      <c r="E918" s="10" t="n">
        <f aca="false">C918*D918</f>
        <v>2.55</v>
      </c>
    </row>
    <row r="919" customFormat="false" ht="15" hidden="false" customHeight="false" outlineLevel="0" collapsed="false">
      <c r="A919" s="9" t="s">
        <v>649</v>
      </c>
      <c r="B919" s="9" t="s">
        <v>652</v>
      </c>
      <c r="C919" s="9" t="n">
        <v>2</v>
      </c>
      <c r="D919" s="10" t="n">
        <v>2.95</v>
      </c>
      <c r="E919" s="10" t="n">
        <f aca="false">C919*D919</f>
        <v>5.9</v>
      </c>
    </row>
    <row r="920" customFormat="false" ht="15" hidden="false" customHeight="false" outlineLevel="0" collapsed="false">
      <c r="A920" s="9" t="s">
        <v>649</v>
      </c>
      <c r="B920" s="9" t="s">
        <v>653</v>
      </c>
      <c r="C920" s="9" t="n">
        <v>3</v>
      </c>
      <c r="D920" s="10" t="n">
        <v>2.95</v>
      </c>
      <c r="E920" s="10" t="n">
        <f aca="false">C920*D920</f>
        <v>8.85</v>
      </c>
    </row>
    <row r="921" customFormat="false" ht="15" hidden="false" customHeight="false" outlineLevel="0" collapsed="false">
      <c r="A921" s="9" t="s">
        <v>649</v>
      </c>
      <c r="B921" s="9" t="s">
        <v>654</v>
      </c>
      <c r="C921" s="9" t="n">
        <v>2</v>
      </c>
      <c r="D921" s="10" t="n">
        <v>1.25</v>
      </c>
      <c r="E921" s="10" t="n">
        <f aca="false">C921*D921</f>
        <v>2.5</v>
      </c>
    </row>
    <row r="922" customFormat="false" ht="15" hidden="false" customHeight="false" outlineLevel="0" collapsed="false">
      <c r="A922" s="9" t="s">
        <v>649</v>
      </c>
      <c r="B922" s="9" t="s">
        <v>655</v>
      </c>
      <c r="C922" s="9" t="n">
        <v>3</v>
      </c>
      <c r="D922" s="10" t="n">
        <v>2.55</v>
      </c>
      <c r="E922" s="10" t="n">
        <f aca="false">C922*D922</f>
        <v>7.65</v>
      </c>
    </row>
    <row r="923" customFormat="false" ht="15" hidden="false" customHeight="false" outlineLevel="0" collapsed="false">
      <c r="A923" s="9" t="s">
        <v>649</v>
      </c>
      <c r="B923" s="9" t="s">
        <v>568</v>
      </c>
      <c r="C923" s="9" t="n">
        <v>2</v>
      </c>
      <c r="D923" s="10" t="n">
        <v>2.55</v>
      </c>
      <c r="E923" s="10" t="n">
        <f aca="false">C923*D923</f>
        <v>5.1</v>
      </c>
    </row>
    <row r="924" customFormat="false" ht="15" hidden="false" customHeight="false" outlineLevel="0" collapsed="false">
      <c r="A924" s="9" t="s">
        <v>649</v>
      </c>
      <c r="B924" s="9" t="s">
        <v>569</v>
      </c>
      <c r="C924" s="9" t="n">
        <v>2</v>
      </c>
      <c r="D924" s="10" t="n">
        <v>2.1</v>
      </c>
      <c r="E924" s="10" t="n">
        <f aca="false">C924*D924</f>
        <v>4.2</v>
      </c>
    </row>
    <row r="925" customFormat="false" ht="15" hidden="false" customHeight="false" outlineLevel="0" collapsed="false">
      <c r="A925" s="9" t="s">
        <v>649</v>
      </c>
      <c r="B925" s="9" t="s">
        <v>656</v>
      </c>
      <c r="C925" s="9" t="n">
        <v>2</v>
      </c>
      <c r="D925" s="10" t="n">
        <v>2.1</v>
      </c>
      <c r="E925" s="10" t="n">
        <f aca="false">C925*D925</f>
        <v>4.2</v>
      </c>
    </row>
    <row r="926" customFormat="false" ht="15" hidden="false" customHeight="false" outlineLevel="0" collapsed="false">
      <c r="A926" s="9" t="s">
        <v>649</v>
      </c>
      <c r="B926" s="9" t="s">
        <v>333</v>
      </c>
      <c r="C926" s="9" t="n">
        <v>1</v>
      </c>
      <c r="D926" s="10" t="n">
        <v>2.1</v>
      </c>
      <c r="E926" s="10" t="n">
        <f aca="false">C926*D926</f>
        <v>2.1</v>
      </c>
    </row>
    <row r="927" customFormat="false" ht="15" hidden="false" customHeight="false" outlineLevel="0" collapsed="false">
      <c r="A927" s="9" t="s">
        <v>649</v>
      </c>
      <c r="B927" s="9" t="s">
        <v>542</v>
      </c>
      <c r="C927" s="9" t="n">
        <v>12</v>
      </c>
      <c r="D927" s="10" t="n">
        <v>0.42</v>
      </c>
      <c r="E927" s="10" t="n">
        <f aca="false">C927*D927</f>
        <v>5.04</v>
      </c>
    </row>
    <row r="928" customFormat="false" ht="15" hidden="false" customHeight="false" outlineLevel="0" collapsed="false">
      <c r="A928" s="9" t="s">
        <v>649</v>
      </c>
      <c r="B928" s="9" t="s">
        <v>657</v>
      </c>
      <c r="C928" s="9" t="n">
        <v>3</v>
      </c>
      <c r="D928" s="10" t="n">
        <v>2.55</v>
      </c>
      <c r="E928" s="10" t="n">
        <f aca="false">C928*D928</f>
        <v>7.65</v>
      </c>
    </row>
    <row r="929" customFormat="false" ht="15" hidden="false" customHeight="false" outlineLevel="0" collapsed="false">
      <c r="A929" s="9" t="s">
        <v>649</v>
      </c>
      <c r="B929" s="9" t="s">
        <v>655</v>
      </c>
      <c r="C929" s="9" t="n">
        <v>1</v>
      </c>
      <c r="D929" s="10" t="n">
        <v>2.55</v>
      </c>
      <c r="E929" s="10" t="n">
        <f aca="false">C929*D929</f>
        <v>2.55</v>
      </c>
    </row>
    <row r="930" customFormat="false" ht="15" hidden="false" customHeight="false" outlineLevel="0" collapsed="false">
      <c r="A930" s="9" t="s">
        <v>649</v>
      </c>
      <c r="B930" s="9" t="s">
        <v>658</v>
      </c>
      <c r="C930" s="9" t="n">
        <v>1</v>
      </c>
      <c r="D930" s="10" t="n">
        <v>1.95</v>
      </c>
      <c r="E930" s="10" t="n">
        <f aca="false">C930*D930</f>
        <v>1.95</v>
      </c>
    </row>
    <row r="931" customFormat="false" ht="15" hidden="false" customHeight="false" outlineLevel="0" collapsed="false">
      <c r="A931" s="9" t="s">
        <v>649</v>
      </c>
      <c r="B931" s="9" t="s">
        <v>659</v>
      </c>
      <c r="C931" s="9" t="n">
        <v>1</v>
      </c>
      <c r="D931" s="10" t="n">
        <v>9.95</v>
      </c>
      <c r="E931" s="10" t="n">
        <f aca="false">C931*D931</f>
        <v>9.95</v>
      </c>
    </row>
    <row r="932" customFormat="false" ht="15" hidden="false" customHeight="false" outlineLevel="0" collapsed="false">
      <c r="A932" s="9" t="s">
        <v>649</v>
      </c>
      <c r="B932" s="9" t="s">
        <v>572</v>
      </c>
      <c r="C932" s="9" t="n">
        <v>12</v>
      </c>
      <c r="D932" s="10" t="n">
        <v>1.65</v>
      </c>
      <c r="E932" s="10" t="n">
        <f aca="false">C932*D932</f>
        <v>19.8</v>
      </c>
    </row>
    <row r="933" customFormat="false" ht="15" hidden="false" customHeight="false" outlineLevel="0" collapsed="false">
      <c r="A933" s="9" t="s">
        <v>649</v>
      </c>
      <c r="B933" s="9" t="s">
        <v>660</v>
      </c>
      <c r="C933" s="9" t="n">
        <v>1</v>
      </c>
      <c r="D933" s="10" t="n">
        <v>2.95</v>
      </c>
      <c r="E933" s="10" t="n">
        <f aca="false">C933*D933</f>
        <v>2.95</v>
      </c>
    </row>
    <row r="934" customFormat="false" ht="15" hidden="false" customHeight="false" outlineLevel="0" collapsed="false">
      <c r="A934" s="9" t="s">
        <v>649</v>
      </c>
      <c r="B934" s="9" t="s">
        <v>661</v>
      </c>
      <c r="C934" s="9" t="n">
        <v>1</v>
      </c>
      <c r="D934" s="10" t="n">
        <v>1.25</v>
      </c>
      <c r="E934" s="10" t="n">
        <f aca="false">C934*D934</f>
        <v>1.25</v>
      </c>
    </row>
    <row r="935" customFormat="false" ht="15" hidden="false" customHeight="false" outlineLevel="0" collapsed="false">
      <c r="A935" s="9" t="s">
        <v>649</v>
      </c>
      <c r="B935" s="9" t="s">
        <v>662</v>
      </c>
      <c r="C935" s="9" t="n">
        <v>1</v>
      </c>
      <c r="D935" s="10" t="n">
        <v>2.1</v>
      </c>
      <c r="E935" s="10" t="n">
        <f aca="false">C935*D935</f>
        <v>2.1</v>
      </c>
    </row>
    <row r="936" customFormat="false" ht="15" hidden="false" customHeight="false" outlineLevel="0" collapsed="false">
      <c r="A936" s="9" t="s">
        <v>649</v>
      </c>
      <c r="B936" s="9" t="s">
        <v>663</v>
      </c>
      <c r="C936" s="9" t="n">
        <v>1</v>
      </c>
      <c r="D936" s="10" t="n">
        <v>1.45</v>
      </c>
      <c r="E936" s="10" t="n">
        <f aca="false">C936*D936</f>
        <v>1.45</v>
      </c>
    </row>
    <row r="937" customFormat="false" ht="15" hidden="false" customHeight="false" outlineLevel="0" collapsed="false">
      <c r="A937" s="9" t="s">
        <v>649</v>
      </c>
      <c r="B937" s="9" t="s">
        <v>664</v>
      </c>
      <c r="C937" s="9" t="n">
        <v>12</v>
      </c>
      <c r="D937" s="10" t="n">
        <v>0.42</v>
      </c>
      <c r="E937" s="10" t="n">
        <f aca="false">C937*D937</f>
        <v>5.04</v>
      </c>
    </row>
    <row r="938" customFormat="false" ht="15" hidden="false" customHeight="false" outlineLevel="0" collapsed="false">
      <c r="A938" s="9" t="s">
        <v>649</v>
      </c>
      <c r="B938" s="9" t="s">
        <v>179</v>
      </c>
      <c r="C938" s="9" t="n">
        <v>2</v>
      </c>
      <c r="D938" s="10" t="n">
        <v>1.65</v>
      </c>
      <c r="E938" s="10" t="n">
        <f aca="false">C938*D938</f>
        <v>3.3</v>
      </c>
    </row>
    <row r="939" customFormat="false" ht="15" hidden="false" customHeight="false" outlineLevel="0" collapsed="false">
      <c r="A939" s="9" t="s">
        <v>649</v>
      </c>
      <c r="B939" s="9" t="s">
        <v>665</v>
      </c>
      <c r="C939" s="9" t="n">
        <v>1</v>
      </c>
      <c r="D939" s="10" t="n">
        <v>2.55</v>
      </c>
      <c r="E939" s="10" t="n">
        <f aca="false">C939*D939</f>
        <v>2.55</v>
      </c>
    </row>
    <row r="940" customFormat="false" ht="15" hidden="false" customHeight="false" outlineLevel="0" collapsed="false">
      <c r="A940" s="9" t="s">
        <v>649</v>
      </c>
      <c r="B940" s="9" t="s">
        <v>435</v>
      </c>
      <c r="C940" s="9" t="n">
        <v>2</v>
      </c>
      <c r="D940" s="10" t="n">
        <v>0.95</v>
      </c>
      <c r="E940" s="10" t="n">
        <f aca="false">C940*D940</f>
        <v>1.9</v>
      </c>
    </row>
    <row r="941" customFormat="false" ht="15" hidden="false" customHeight="false" outlineLevel="0" collapsed="false">
      <c r="A941" s="9" t="s">
        <v>649</v>
      </c>
      <c r="B941" s="9" t="s">
        <v>666</v>
      </c>
      <c r="C941" s="9" t="n">
        <v>2</v>
      </c>
      <c r="D941" s="10" t="n">
        <v>2.1</v>
      </c>
      <c r="E941" s="10" t="n">
        <f aca="false">C941*D941</f>
        <v>4.2</v>
      </c>
    </row>
    <row r="942" customFormat="false" ht="15" hidden="false" customHeight="false" outlineLevel="0" collapsed="false">
      <c r="A942" s="9" t="s">
        <v>649</v>
      </c>
      <c r="B942" s="9" t="s">
        <v>601</v>
      </c>
      <c r="C942" s="9" t="n">
        <v>12</v>
      </c>
      <c r="D942" s="10" t="n">
        <v>0.29</v>
      </c>
      <c r="E942" s="10" t="n">
        <f aca="false">C942*D942</f>
        <v>3.48</v>
      </c>
    </row>
    <row r="943" customFormat="false" ht="15" hidden="false" customHeight="false" outlineLevel="0" collapsed="false">
      <c r="A943" s="9" t="s">
        <v>649</v>
      </c>
      <c r="B943" s="9" t="s">
        <v>349</v>
      </c>
      <c r="C943" s="9" t="n">
        <v>1</v>
      </c>
      <c r="D943" s="10" t="n">
        <v>1.25</v>
      </c>
      <c r="E943" s="10" t="n">
        <f aca="false">C943*D943</f>
        <v>1.25</v>
      </c>
    </row>
    <row r="944" customFormat="false" ht="15" hidden="false" customHeight="false" outlineLevel="0" collapsed="false">
      <c r="A944" s="9" t="s">
        <v>649</v>
      </c>
      <c r="B944" s="9" t="s">
        <v>334</v>
      </c>
      <c r="C944" s="9" t="n">
        <v>1</v>
      </c>
      <c r="D944" s="10" t="n">
        <v>1.25</v>
      </c>
      <c r="E944" s="10" t="n">
        <f aca="false">C944*D944</f>
        <v>1.25</v>
      </c>
    </row>
    <row r="945" customFormat="false" ht="15" hidden="false" customHeight="false" outlineLevel="0" collapsed="false">
      <c r="A945" s="9" t="s">
        <v>649</v>
      </c>
      <c r="B945" s="9" t="s">
        <v>607</v>
      </c>
      <c r="C945" s="9" t="n">
        <v>1</v>
      </c>
      <c r="D945" s="10" t="n">
        <v>1.25</v>
      </c>
      <c r="E945" s="10" t="n">
        <f aca="false">C945*D945</f>
        <v>1.25</v>
      </c>
    </row>
    <row r="946" customFormat="false" ht="15" hidden="false" customHeight="false" outlineLevel="0" collapsed="false">
      <c r="A946" s="9" t="s">
        <v>649</v>
      </c>
      <c r="B946" s="9" t="s">
        <v>667</v>
      </c>
      <c r="C946" s="9" t="n">
        <v>1</v>
      </c>
      <c r="D946" s="10" t="n">
        <v>1.25</v>
      </c>
      <c r="E946" s="10" t="n">
        <f aca="false">C946*D946</f>
        <v>1.25</v>
      </c>
    </row>
    <row r="947" customFormat="false" ht="15" hidden="false" customHeight="false" outlineLevel="0" collapsed="false">
      <c r="A947" s="9" t="s">
        <v>649</v>
      </c>
      <c r="B947" s="9" t="s">
        <v>668</v>
      </c>
      <c r="C947" s="9" t="n">
        <v>2</v>
      </c>
      <c r="D947" s="10" t="n">
        <v>1.25</v>
      </c>
      <c r="E947" s="10" t="n">
        <f aca="false">C947*D947</f>
        <v>2.5</v>
      </c>
    </row>
    <row r="948" customFormat="false" ht="15" hidden="false" customHeight="false" outlineLevel="0" collapsed="false">
      <c r="A948" s="9" t="s">
        <v>649</v>
      </c>
      <c r="B948" s="9" t="s">
        <v>669</v>
      </c>
      <c r="C948" s="9" t="n">
        <v>3</v>
      </c>
      <c r="D948" s="10" t="n">
        <v>3.75</v>
      </c>
      <c r="E948" s="10" t="n">
        <f aca="false">C948*D948</f>
        <v>11.25</v>
      </c>
    </row>
    <row r="949" customFormat="false" ht="15" hidden="false" customHeight="false" outlineLevel="0" collapsed="false">
      <c r="A949" s="9" t="s">
        <v>649</v>
      </c>
      <c r="B949" s="9" t="s">
        <v>670</v>
      </c>
      <c r="C949" s="9" t="n">
        <v>14</v>
      </c>
      <c r="D949" s="10" t="n">
        <v>0.42</v>
      </c>
      <c r="E949" s="10" t="n">
        <f aca="false">C949*D949</f>
        <v>5.88</v>
      </c>
    </row>
    <row r="950" customFormat="false" ht="15" hidden="false" customHeight="false" outlineLevel="0" collapsed="false">
      <c r="A950" s="9" t="s">
        <v>649</v>
      </c>
      <c r="B950" s="9" t="s">
        <v>37</v>
      </c>
      <c r="C950" s="9" t="n">
        <v>3</v>
      </c>
      <c r="D950" s="10" t="n">
        <v>2.95</v>
      </c>
      <c r="E950" s="10" t="n">
        <f aca="false">C950*D950</f>
        <v>8.85</v>
      </c>
    </row>
    <row r="951" customFormat="false" ht="15" hidden="false" customHeight="false" outlineLevel="0" collapsed="false">
      <c r="A951" s="9" t="s">
        <v>649</v>
      </c>
      <c r="B951" s="9" t="s">
        <v>185</v>
      </c>
      <c r="C951" s="9" t="n">
        <v>1</v>
      </c>
      <c r="D951" s="10" t="n">
        <v>2.95</v>
      </c>
      <c r="E951" s="10" t="n">
        <f aca="false">C951*D951</f>
        <v>2.95</v>
      </c>
    </row>
    <row r="952" customFormat="false" ht="15" hidden="false" customHeight="false" outlineLevel="0" collapsed="false">
      <c r="A952" s="9" t="s">
        <v>649</v>
      </c>
      <c r="B952" s="9" t="s">
        <v>671</v>
      </c>
      <c r="C952" s="9" t="n">
        <v>2</v>
      </c>
      <c r="D952" s="10" t="n">
        <v>3.75</v>
      </c>
      <c r="E952" s="10" t="n">
        <f aca="false">C952*D952</f>
        <v>7.5</v>
      </c>
    </row>
    <row r="953" customFormat="false" ht="15" hidden="false" customHeight="false" outlineLevel="0" collapsed="false">
      <c r="A953" s="9" t="s">
        <v>649</v>
      </c>
      <c r="B953" s="9" t="s">
        <v>672</v>
      </c>
      <c r="C953" s="9" t="n">
        <v>1</v>
      </c>
      <c r="D953" s="10" t="n">
        <v>12.75</v>
      </c>
      <c r="E953" s="10" t="n">
        <f aca="false">C953*D953</f>
        <v>12.75</v>
      </c>
    </row>
    <row r="954" customFormat="false" ht="15" hidden="false" customHeight="false" outlineLevel="0" collapsed="false">
      <c r="A954" s="9" t="s">
        <v>649</v>
      </c>
      <c r="B954" s="9" t="s">
        <v>400</v>
      </c>
      <c r="C954" s="9" t="n">
        <v>1</v>
      </c>
      <c r="D954" s="10" t="n">
        <v>1.25</v>
      </c>
      <c r="E954" s="10" t="n">
        <f aca="false">C954*D954</f>
        <v>1.25</v>
      </c>
    </row>
    <row r="955" customFormat="false" ht="15" hidden="false" customHeight="false" outlineLevel="0" collapsed="false">
      <c r="A955" s="9" t="s">
        <v>649</v>
      </c>
      <c r="B955" s="9" t="s">
        <v>564</v>
      </c>
      <c r="C955" s="9" t="n">
        <v>1</v>
      </c>
      <c r="D955" s="10" t="n">
        <v>1.25</v>
      </c>
      <c r="E955" s="10" t="n">
        <f aca="false">C955*D955</f>
        <v>1.25</v>
      </c>
    </row>
    <row r="956" customFormat="false" ht="15" hidden="false" customHeight="false" outlineLevel="0" collapsed="false">
      <c r="A956" s="9" t="s">
        <v>649</v>
      </c>
      <c r="B956" s="9" t="s">
        <v>45</v>
      </c>
      <c r="C956" s="9" t="n">
        <v>3</v>
      </c>
      <c r="D956" s="10" t="n">
        <v>2.1</v>
      </c>
      <c r="E956" s="10" t="n">
        <f aca="false">C956*D956</f>
        <v>6.3</v>
      </c>
    </row>
    <row r="957" customFormat="false" ht="15" hidden="false" customHeight="false" outlineLevel="0" collapsed="false">
      <c r="A957" s="9" t="s">
        <v>649</v>
      </c>
      <c r="B957" s="9" t="s">
        <v>673</v>
      </c>
      <c r="C957" s="9" t="n">
        <v>1</v>
      </c>
      <c r="D957" s="10" t="n">
        <v>3.75</v>
      </c>
      <c r="E957" s="10" t="n">
        <f aca="false">C957*D957</f>
        <v>3.75</v>
      </c>
    </row>
    <row r="958" customFormat="false" ht="15" hidden="false" customHeight="false" outlineLevel="0" collapsed="false">
      <c r="A958" s="9" t="s">
        <v>649</v>
      </c>
      <c r="B958" s="9" t="s">
        <v>46</v>
      </c>
      <c r="C958" s="9" t="n">
        <v>4</v>
      </c>
      <c r="D958" s="10" t="n">
        <v>2.1</v>
      </c>
      <c r="E958" s="10" t="n">
        <f aca="false">C958*D958</f>
        <v>8.4</v>
      </c>
    </row>
    <row r="959" customFormat="false" ht="15" hidden="false" customHeight="false" outlineLevel="0" collapsed="false">
      <c r="A959" s="9" t="s">
        <v>649</v>
      </c>
      <c r="B959" s="9" t="s">
        <v>674</v>
      </c>
      <c r="C959" s="9" t="n">
        <v>16</v>
      </c>
      <c r="D959" s="10" t="n">
        <v>0.85</v>
      </c>
      <c r="E959" s="10" t="n">
        <f aca="false">C959*D959</f>
        <v>13.6</v>
      </c>
    </row>
    <row r="960" customFormat="false" ht="15" hidden="false" customHeight="false" outlineLevel="0" collapsed="false">
      <c r="A960" s="9" t="s">
        <v>649</v>
      </c>
      <c r="B960" s="9" t="s">
        <v>675</v>
      </c>
      <c r="C960" s="9" t="n">
        <v>2</v>
      </c>
      <c r="D960" s="10" t="n">
        <v>2.55</v>
      </c>
      <c r="E960" s="10" t="n">
        <f aca="false">C960*D960</f>
        <v>5.1</v>
      </c>
    </row>
    <row r="961" customFormat="false" ht="15" hidden="false" customHeight="false" outlineLevel="0" collapsed="false">
      <c r="A961" s="9" t="s">
        <v>649</v>
      </c>
      <c r="B961" s="9" t="s">
        <v>676</v>
      </c>
      <c r="C961" s="9" t="n">
        <v>1</v>
      </c>
      <c r="D961" s="10" t="n">
        <v>1.95</v>
      </c>
      <c r="E961" s="10" t="n">
        <f aca="false">C961*D961</f>
        <v>1.95</v>
      </c>
    </row>
    <row r="962" customFormat="false" ht="15" hidden="false" customHeight="false" outlineLevel="0" collapsed="false">
      <c r="A962" s="9" t="s">
        <v>649</v>
      </c>
      <c r="B962" s="9" t="s">
        <v>159</v>
      </c>
      <c r="C962" s="9" t="n">
        <v>1</v>
      </c>
      <c r="D962" s="10" t="n">
        <v>2.1</v>
      </c>
      <c r="E962" s="10" t="n">
        <f aca="false">C962*D962</f>
        <v>2.1</v>
      </c>
    </row>
    <row r="963" customFormat="false" ht="15" hidden="false" customHeight="false" outlineLevel="0" collapsed="false">
      <c r="A963" s="9" t="s">
        <v>649</v>
      </c>
      <c r="B963" s="9" t="s">
        <v>677</v>
      </c>
      <c r="C963" s="9" t="n">
        <v>1</v>
      </c>
      <c r="D963" s="10" t="n">
        <v>1.25</v>
      </c>
      <c r="E963" s="10" t="n">
        <f aca="false">C963*D963</f>
        <v>1.25</v>
      </c>
    </row>
    <row r="964" customFormat="false" ht="15" hidden="false" customHeight="false" outlineLevel="0" collapsed="false">
      <c r="A964" s="9" t="s">
        <v>649</v>
      </c>
      <c r="B964" s="9" t="s">
        <v>678</v>
      </c>
      <c r="C964" s="9" t="n">
        <v>1</v>
      </c>
      <c r="D964" s="10" t="n">
        <v>6.75</v>
      </c>
      <c r="E964" s="10" t="n">
        <f aca="false">C964*D964</f>
        <v>6.75</v>
      </c>
    </row>
    <row r="965" customFormat="false" ht="15" hidden="false" customHeight="false" outlineLevel="0" collapsed="false">
      <c r="A965" s="9" t="s">
        <v>649</v>
      </c>
      <c r="B965" s="9" t="s">
        <v>519</v>
      </c>
      <c r="C965" s="9" t="n">
        <v>1</v>
      </c>
      <c r="D965" s="10" t="n">
        <v>2.95</v>
      </c>
      <c r="E965" s="10" t="n">
        <f aca="false">C965*D965</f>
        <v>2.95</v>
      </c>
    </row>
    <row r="966" customFormat="false" ht="15" hidden="false" customHeight="false" outlineLevel="0" collapsed="false">
      <c r="A966" s="9" t="s">
        <v>649</v>
      </c>
      <c r="B966" s="9" t="s">
        <v>679</v>
      </c>
      <c r="C966" s="9" t="n">
        <v>4</v>
      </c>
      <c r="D966" s="10" t="n">
        <v>2.55</v>
      </c>
      <c r="E966" s="10" t="n">
        <f aca="false">C966*D966</f>
        <v>10.2</v>
      </c>
    </row>
    <row r="967" customFormat="false" ht="15" hidden="false" customHeight="false" outlineLevel="0" collapsed="false">
      <c r="A967" s="9" t="s">
        <v>649</v>
      </c>
      <c r="B967" s="9" t="s">
        <v>167</v>
      </c>
      <c r="C967" s="9" t="n">
        <v>1</v>
      </c>
      <c r="D967" s="10" t="n">
        <v>5.95</v>
      </c>
      <c r="E967" s="10" t="n">
        <f aca="false">C967*D967</f>
        <v>5.95</v>
      </c>
    </row>
    <row r="968" customFormat="false" ht="15" hidden="false" customHeight="false" outlineLevel="0" collapsed="false">
      <c r="A968" s="9" t="s">
        <v>649</v>
      </c>
      <c r="B968" s="9" t="s">
        <v>680</v>
      </c>
      <c r="C968" s="9" t="n">
        <v>3</v>
      </c>
      <c r="D968" s="10" t="n">
        <v>2.55</v>
      </c>
      <c r="E968" s="10" t="n">
        <f aca="false">C968*D968</f>
        <v>7.65</v>
      </c>
    </row>
    <row r="969" customFormat="false" ht="15" hidden="false" customHeight="false" outlineLevel="0" collapsed="false">
      <c r="A969" s="9" t="s">
        <v>649</v>
      </c>
      <c r="B969" s="9" t="s">
        <v>681</v>
      </c>
      <c r="C969" s="9" t="n">
        <v>4</v>
      </c>
      <c r="D969" s="10" t="n">
        <v>2.55</v>
      </c>
      <c r="E969" s="10" t="n">
        <f aca="false">C969*D969</f>
        <v>10.2</v>
      </c>
    </row>
    <row r="970" customFormat="false" ht="15" hidden="false" customHeight="false" outlineLevel="0" collapsed="false">
      <c r="A970" s="9" t="s">
        <v>649</v>
      </c>
      <c r="B970" s="9" t="s">
        <v>682</v>
      </c>
      <c r="C970" s="9" t="n">
        <v>1</v>
      </c>
      <c r="D970" s="10" t="n">
        <v>0.65</v>
      </c>
      <c r="E970" s="10" t="n">
        <f aca="false">C970*D970</f>
        <v>0.65</v>
      </c>
    </row>
    <row r="971" customFormat="false" ht="15" hidden="false" customHeight="false" outlineLevel="0" collapsed="false">
      <c r="A971" s="9" t="s">
        <v>649</v>
      </c>
      <c r="B971" s="9" t="s">
        <v>683</v>
      </c>
      <c r="C971" s="9" t="n">
        <v>2</v>
      </c>
      <c r="D971" s="10" t="n">
        <v>0.65</v>
      </c>
      <c r="E971" s="10" t="n">
        <f aca="false">C971*D971</f>
        <v>1.3</v>
      </c>
    </row>
    <row r="972" customFormat="false" ht="15" hidden="false" customHeight="false" outlineLevel="0" collapsed="false">
      <c r="A972" s="9" t="s">
        <v>649</v>
      </c>
      <c r="B972" s="9" t="s">
        <v>684</v>
      </c>
      <c r="C972" s="9" t="n">
        <v>3</v>
      </c>
      <c r="D972" s="10" t="n">
        <v>0.65</v>
      </c>
      <c r="E972" s="10" t="n">
        <f aca="false">C972*D972</f>
        <v>1.95</v>
      </c>
    </row>
    <row r="973" customFormat="false" ht="15" hidden="false" customHeight="false" outlineLevel="0" collapsed="false">
      <c r="A973" s="9" t="s">
        <v>649</v>
      </c>
      <c r="B973" s="9" t="s">
        <v>685</v>
      </c>
      <c r="C973" s="9" t="n">
        <v>1</v>
      </c>
      <c r="D973" s="10" t="n">
        <v>0.65</v>
      </c>
      <c r="E973" s="10" t="n">
        <f aca="false">C973*D973</f>
        <v>0.65</v>
      </c>
    </row>
    <row r="974" customFormat="false" ht="15" hidden="false" customHeight="false" outlineLevel="0" collapsed="false">
      <c r="A974" s="9" t="s">
        <v>649</v>
      </c>
      <c r="B974" s="9" t="s">
        <v>686</v>
      </c>
      <c r="C974" s="9" t="n">
        <v>2</v>
      </c>
      <c r="D974" s="10" t="n">
        <v>0.65</v>
      </c>
      <c r="E974" s="10" t="n">
        <f aca="false">C974*D974</f>
        <v>1.3</v>
      </c>
    </row>
    <row r="975" customFormat="false" ht="15" hidden="false" customHeight="false" outlineLevel="0" collapsed="false">
      <c r="A975" s="9" t="s">
        <v>649</v>
      </c>
      <c r="B975" s="9" t="s">
        <v>372</v>
      </c>
      <c r="C975" s="9" t="n">
        <v>3</v>
      </c>
      <c r="D975" s="10" t="n">
        <v>1.95</v>
      </c>
      <c r="E975" s="10" t="n">
        <f aca="false">C975*D975</f>
        <v>5.85</v>
      </c>
    </row>
    <row r="976" customFormat="false" ht="15" hidden="false" customHeight="false" outlineLevel="0" collapsed="false">
      <c r="A976" s="9" t="s">
        <v>649</v>
      </c>
      <c r="B976" s="9" t="s">
        <v>687</v>
      </c>
      <c r="C976" s="9" t="n">
        <v>2</v>
      </c>
      <c r="D976" s="10" t="n">
        <v>0.65</v>
      </c>
      <c r="E976" s="10" t="n">
        <f aca="false">C976*D976</f>
        <v>1.3</v>
      </c>
    </row>
    <row r="977" customFormat="false" ht="15" hidden="false" customHeight="false" outlineLevel="0" collapsed="false">
      <c r="A977" s="9" t="s">
        <v>649</v>
      </c>
      <c r="B977" s="9" t="s">
        <v>688</v>
      </c>
      <c r="C977" s="9" t="n">
        <v>1</v>
      </c>
      <c r="D977" s="10" t="n">
        <v>0.85</v>
      </c>
      <c r="E977" s="10" t="n">
        <f aca="false">C977*D977</f>
        <v>0.85</v>
      </c>
    </row>
    <row r="978" customFormat="false" ht="15" hidden="false" customHeight="false" outlineLevel="0" collapsed="false">
      <c r="A978" s="9" t="s">
        <v>649</v>
      </c>
      <c r="B978" s="9" t="s">
        <v>689</v>
      </c>
      <c r="C978" s="9" t="n">
        <v>6</v>
      </c>
      <c r="D978" s="10" t="n">
        <v>1.65</v>
      </c>
      <c r="E978" s="10" t="n">
        <f aca="false">C978*D978</f>
        <v>9.9</v>
      </c>
    </row>
    <row r="979" customFormat="false" ht="15" hidden="false" customHeight="false" outlineLevel="0" collapsed="false">
      <c r="A979" s="9" t="s">
        <v>649</v>
      </c>
      <c r="B979" s="9" t="s">
        <v>475</v>
      </c>
      <c r="C979" s="9" t="n">
        <v>2</v>
      </c>
      <c r="D979" s="10" t="n">
        <v>1.65</v>
      </c>
      <c r="E979" s="10" t="n">
        <f aca="false">C979*D979</f>
        <v>3.3</v>
      </c>
    </row>
    <row r="980" customFormat="false" ht="15" hidden="false" customHeight="false" outlineLevel="0" collapsed="false">
      <c r="A980" s="9" t="s">
        <v>649</v>
      </c>
      <c r="B980" s="9" t="s">
        <v>690</v>
      </c>
      <c r="C980" s="9" t="n">
        <v>1</v>
      </c>
      <c r="D980" s="10" t="n">
        <v>1.95</v>
      </c>
      <c r="E980" s="10" t="n">
        <f aca="false">C980*D980</f>
        <v>1.95</v>
      </c>
    </row>
    <row r="981" customFormat="false" ht="15" hidden="false" customHeight="false" outlineLevel="0" collapsed="false">
      <c r="A981" s="9" t="s">
        <v>649</v>
      </c>
      <c r="B981" s="9" t="s">
        <v>476</v>
      </c>
      <c r="C981" s="9" t="n">
        <v>1</v>
      </c>
      <c r="D981" s="10" t="n">
        <v>1.65</v>
      </c>
      <c r="E981" s="10" t="n">
        <f aca="false">C981*D981</f>
        <v>1.65</v>
      </c>
    </row>
    <row r="982" customFormat="false" ht="15" hidden="false" customHeight="false" outlineLevel="0" collapsed="false">
      <c r="A982" s="9" t="s">
        <v>649</v>
      </c>
      <c r="B982" s="9" t="s">
        <v>379</v>
      </c>
      <c r="C982" s="9" t="n">
        <v>1</v>
      </c>
      <c r="D982" s="10" t="n">
        <v>1.65</v>
      </c>
      <c r="E982" s="10" t="n">
        <f aca="false">C982*D982</f>
        <v>1.65</v>
      </c>
    </row>
    <row r="983" customFormat="false" ht="15" hidden="false" customHeight="false" outlineLevel="0" collapsed="false">
      <c r="A983" s="9" t="s">
        <v>649</v>
      </c>
      <c r="B983" s="9" t="s">
        <v>510</v>
      </c>
      <c r="C983" s="9" t="n">
        <v>5</v>
      </c>
      <c r="D983" s="10" t="n">
        <v>1.95</v>
      </c>
      <c r="E983" s="10" t="n">
        <f aca="false">C983*D983</f>
        <v>9.75</v>
      </c>
    </row>
    <row r="984" customFormat="false" ht="15" hidden="false" customHeight="false" outlineLevel="0" collapsed="false">
      <c r="A984" s="9" t="s">
        <v>649</v>
      </c>
      <c r="B984" s="9" t="s">
        <v>691</v>
      </c>
      <c r="C984" s="9" t="n">
        <v>2</v>
      </c>
      <c r="D984" s="10" t="n">
        <v>1.25</v>
      </c>
      <c r="E984" s="10" t="n">
        <f aca="false">C984*D984</f>
        <v>2.5</v>
      </c>
    </row>
    <row r="985" customFormat="false" ht="15" hidden="false" customHeight="false" outlineLevel="0" collapsed="false">
      <c r="A985" s="9" t="s">
        <v>692</v>
      </c>
      <c r="B985" s="9" t="s">
        <v>693</v>
      </c>
      <c r="C985" s="9" t="n">
        <v>1</v>
      </c>
      <c r="D985" s="10" t="n">
        <v>4.95</v>
      </c>
      <c r="E985" s="10" t="n">
        <f aca="false">C985*D985</f>
        <v>4.95</v>
      </c>
    </row>
    <row r="986" customFormat="false" ht="15" hidden="false" customHeight="false" outlineLevel="0" collapsed="false">
      <c r="A986" s="9" t="s">
        <v>694</v>
      </c>
      <c r="B986" s="9" t="s">
        <v>695</v>
      </c>
      <c r="C986" s="9" t="n">
        <v>1</v>
      </c>
      <c r="D986" s="10" t="n">
        <v>1.25</v>
      </c>
      <c r="E986" s="10" t="n">
        <f aca="false">C986*D986</f>
        <v>1.25</v>
      </c>
    </row>
    <row r="987" customFormat="false" ht="15" hidden="false" customHeight="false" outlineLevel="0" collapsed="false">
      <c r="A987" s="9" t="s">
        <v>694</v>
      </c>
      <c r="B987" s="9" t="s">
        <v>121</v>
      </c>
      <c r="C987" s="9" t="n">
        <v>1</v>
      </c>
      <c r="D987" s="10" t="n">
        <v>3.75</v>
      </c>
      <c r="E987" s="10" t="n">
        <f aca="false">C987*D987</f>
        <v>3.75</v>
      </c>
    </row>
    <row r="988" customFormat="false" ht="15" hidden="false" customHeight="false" outlineLevel="0" collapsed="false">
      <c r="A988" s="9" t="s">
        <v>694</v>
      </c>
      <c r="B988" s="9" t="s">
        <v>621</v>
      </c>
      <c r="C988" s="9" t="n">
        <v>1</v>
      </c>
      <c r="D988" s="10" t="n">
        <v>1.65</v>
      </c>
      <c r="E988" s="10" t="n">
        <f aca="false">C988*D988</f>
        <v>1.65</v>
      </c>
    </row>
    <row r="989" customFormat="false" ht="15" hidden="false" customHeight="false" outlineLevel="0" collapsed="false">
      <c r="A989" s="9" t="s">
        <v>694</v>
      </c>
      <c r="B989" s="9" t="s">
        <v>55</v>
      </c>
      <c r="C989" s="9" t="n">
        <v>2</v>
      </c>
      <c r="D989" s="10" t="n">
        <v>3.75</v>
      </c>
      <c r="E989" s="10" t="n">
        <f aca="false">C989*D989</f>
        <v>7.5</v>
      </c>
    </row>
    <row r="990" customFormat="false" ht="15" hidden="false" customHeight="false" outlineLevel="0" collapsed="false">
      <c r="A990" s="9" t="s">
        <v>694</v>
      </c>
      <c r="B990" s="9" t="s">
        <v>363</v>
      </c>
      <c r="C990" s="9" t="n">
        <v>1</v>
      </c>
      <c r="D990" s="10" t="n">
        <v>2.95</v>
      </c>
      <c r="E990" s="10" t="n">
        <f aca="false">C990*D990</f>
        <v>2.95</v>
      </c>
    </row>
    <row r="991" customFormat="false" ht="15" hidden="false" customHeight="false" outlineLevel="0" collapsed="false">
      <c r="A991" s="9" t="s">
        <v>694</v>
      </c>
      <c r="B991" s="9" t="s">
        <v>109</v>
      </c>
      <c r="C991" s="9" t="n">
        <v>1</v>
      </c>
      <c r="D991" s="10" t="n">
        <v>1.95</v>
      </c>
      <c r="E991" s="10" t="n">
        <f aca="false">C991*D991</f>
        <v>1.95</v>
      </c>
    </row>
    <row r="992" customFormat="false" ht="15" hidden="false" customHeight="false" outlineLevel="0" collapsed="false">
      <c r="A992" s="9" t="s">
        <v>694</v>
      </c>
      <c r="B992" s="9" t="s">
        <v>670</v>
      </c>
      <c r="C992" s="9" t="n">
        <v>1</v>
      </c>
      <c r="D992" s="10" t="n">
        <v>0.42</v>
      </c>
      <c r="E992" s="10" t="n">
        <f aca="false">C992*D992</f>
        <v>0.42</v>
      </c>
    </row>
    <row r="993" customFormat="false" ht="15" hidden="false" customHeight="false" outlineLevel="0" collapsed="false">
      <c r="A993" s="9" t="s">
        <v>694</v>
      </c>
      <c r="B993" s="9" t="s">
        <v>696</v>
      </c>
      <c r="C993" s="9" t="n">
        <v>2</v>
      </c>
      <c r="D993" s="10" t="n">
        <v>1.25</v>
      </c>
      <c r="E993" s="10" t="n">
        <f aca="false">C993*D993</f>
        <v>2.5</v>
      </c>
    </row>
    <row r="994" customFormat="false" ht="15" hidden="false" customHeight="false" outlineLevel="0" collapsed="false">
      <c r="A994" s="9" t="s">
        <v>694</v>
      </c>
      <c r="B994" s="9" t="s">
        <v>215</v>
      </c>
      <c r="C994" s="9" t="n">
        <v>1</v>
      </c>
      <c r="D994" s="10" t="n">
        <v>8.5</v>
      </c>
      <c r="E994" s="10" t="n">
        <f aca="false">C994*D994</f>
        <v>8.5</v>
      </c>
    </row>
    <row r="995" customFormat="false" ht="15" hidden="false" customHeight="false" outlineLevel="0" collapsed="false">
      <c r="A995" s="9" t="s">
        <v>694</v>
      </c>
      <c r="B995" s="9" t="s">
        <v>697</v>
      </c>
      <c r="C995" s="9" t="n">
        <v>3</v>
      </c>
      <c r="D995" s="10" t="n">
        <v>1.65</v>
      </c>
      <c r="E995" s="10" t="n">
        <f aca="false">C995*D995</f>
        <v>4.95</v>
      </c>
    </row>
    <row r="996" customFormat="false" ht="15" hidden="false" customHeight="false" outlineLevel="0" collapsed="false">
      <c r="A996" s="9" t="s">
        <v>694</v>
      </c>
      <c r="B996" s="9" t="s">
        <v>553</v>
      </c>
      <c r="C996" s="9" t="n">
        <v>1</v>
      </c>
      <c r="D996" s="10" t="n">
        <v>1.25</v>
      </c>
      <c r="E996" s="10" t="n">
        <f aca="false">C996*D996</f>
        <v>1.25</v>
      </c>
    </row>
    <row r="997" customFormat="false" ht="15" hidden="false" customHeight="false" outlineLevel="0" collapsed="false">
      <c r="A997" s="9" t="s">
        <v>694</v>
      </c>
      <c r="B997" s="9" t="s">
        <v>220</v>
      </c>
      <c r="C997" s="9" t="n">
        <v>1</v>
      </c>
      <c r="D997" s="10" t="n">
        <v>5.95</v>
      </c>
      <c r="E997" s="10" t="n">
        <f aca="false">C997*D997</f>
        <v>5.95</v>
      </c>
    </row>
    <row r="998" customFormat="false" ht="15" hidden="false" customHeight="false" outlineLevel="0" collapsed="false">
      <c r="A998" s="9" t="s">
        <v>694</v>
      </c>
      <c r="B998" s="9" t="s">
        <v>698</v>
      </c>
      <c r="C998" s="9" t="n">
        <v>1</v>
      </c>
      <c r="D998" s="10" t="n">
        <v>3.75</v>
      </c>
      <c r="E998" s="10" t="n">
        <f aca="false">C998*D998</f>
        <v>3.75</v>
      </c>
    </row>
    <row r="999" customFormat="false" ht="15" hidden="false" customHeight="false" outlineLevel="0" collapsed="false">
      <c r="A999" s="9" t="s">
        <v>694</v>
      </c>
      <c r="B999" s="9" t="s">
        <v>699</v>
      </c>
      <c r="C999" s="9" t="n">
        <v>2</v>
      </c>
      <c r="D999" s="10" t="n">
        <v>2.55</v>
      </c>
      <c r="E999" s="10" t="n">
        <f aca="false">C999*D999</f>
        <v>5.1</v>
      </c>
    </row>
    <row r="1000" customFormat="false" ht="15" hidden="false" customHeight="false" outlineLevel="0" collapsed="false">
      <c r="A1000" s="9" t="s">
        <v>694</v>
      </c>
      <c r="B1000" s="9" t="s">
        <v>700</v>
      </c>
      <c r="C1000" s="9" t="n">
        <v>1</v>
      </c>
      <c r="D1000" s="10" t="n">
        <v>5.95</v>
      </c>
      <c r="E1000" s="10" t="n">
        <f aca="false">C1000*D1000</f>
        <v>5.95</v>
      </c>
    </row>
    <row r="1001" customFormat="false" ht="15" hidden="false" customHeight="false" outlineLevel="0" collapsed="false">
      <c r="A1001" s="9" t="s">
        <v>694</v>
      </c>
      <c r="B1001" s="9" t="s">
        <v>671</v>
      </c>
      <c r="C1001" s="9" t="n">
        <v>2</v>
      </c>
      <c r="D1001" s="10" t="n">
        <v>3.75</v>
      </c>
      <c r="E1001" s="10" t="n">
        <f aca="false">C1001*D1001</f>
        <v>7.5</v>
      </c>
    </row>
    <row r="1002" customFormat="false" ht="15" hidden="false" customHeight="false" outlineLevel="0" collapsed="false">
      <c r="A1002" s="9" t="s">
        <v>694</v>
      </c>
      <c r="B1002" s="9" t="s">
        <v>701</v>
      </c>
      <c r="C1002" s="9" t="n">
        <v>1</v>
      </c>
      <c r="D1002" s="10" t="n">
        <v>1.95</v>
      </c>
      <c r="E1002" s="10" t="n">
        <f aca="false">C1002*D1002</f>
        <v>1.95</v>
      </c>
    </row>
    <row r="1003" customFormat="false" ht="15" hidden="false" customHeight="false" outlineLevel="0" collapsed="false">
      <c r="A1003" s="9" t="s">
        <v>694</v>
      </c>
      <c r="B1003" s="9" t="s">
        <v>334</v>
      </c>
      <c r="C1003" s="9" t="n">
        <v>1</v>
      </c>
      <c r="D1003" s="10" t="n">
        <v>1.25</v>
      </c>
      <c r="E1003" s="10" t="n">
        <f aca="false">C1003*D1003</f>
        <v>1.25</v>
      </c>
    </row>
    <row r="1004" customFormat="false" ht="15" hidden="false" customHeight="false" outlineLevel="0" collapsed="false">
      <c r="A1004" s="9" t="s">
        <v>694</v>
      </c>
      <c r="B1004" s="9" t="s">
        <v>702</v>
      </c>
      <c r="C1004" s="9" t="n">
        <v>1</v>
      </c>
      <c r="D1004" s="10" t="n">
        <v>5.95</v>
      </c>
      <c r="E1004" s="10" t="n">
        <f aca="false">C1004*D1004</f>
        <v>5.95</v>
      </c>
    </row>
    <row r="1005" customFormat="false" ht="15" hidden="false" customHeight="false" outlineLevel="0" collapsed="false">
      <c r="A1005" s="9" t="s">
        <v>694</v>
      </c>
      <c r="B1005" s="9" t="s">
        <v>473</v>
      </c>
      <c r="C1005" s="9" t="n">
        <v>1</v>
      </c>
      <c r="D1005" s="10" t="n">
        <v>0.85</v>
      </c>
      <c r="E1005" s="10" t="n">
        <f aca="false">C1005*D1005</f>
        <v>0.85</v>
      </c>
    </row>
    <row r="1006" customFormat="false" ht="15" hidden="false" customHeight="false" outlineLevel="0" collapsed="false">
      <c r="A1006" s="9" t="s">
        <v>694</v>
      </c>
      <c r="B1006" s="9" t="s">
        <v>46</v>
      </c>
      <c r="C1006" s="9" t="n">
        <v>1</v>
      </c>
      <c r="D1006" s="10" t="n">
        <v>2.1</v>
      </c>
      <c r="E1006" s="10" t="n">
        <f aca="false">C1006*D1006</f>
        <v>2.1</v>
      </c>
    </row>
    <row r="1007" customFormat="false" ht="15" hidden="false" customHeight="false" outlineLevel="0" collapsed="false">
      <c r="A1007" s="9" t="s">
        <v>694</v>
      </c>
      <c r="B1007" s="9" t="s">
        <v>703</v>
      </c>
      <c r="C1007" s="9" t="n">
        <v>3</v>
      </c>
      <c r="D1007" s="10" t="n">
        <v>1.25</v>
      </c>
      <c r="E1007" s="10" t="n">
        <f aca="false">C1007*D1007</f>
        <v>3.75</v>
      </c>
    </row>
    <row r="1008" customFormat="false" ht="15" hidden="false" customHeight="false" outlineLevel="0" collapsed="false">
      <c r="A1008" s="9" t="s">
        <v>694</v>
      </c>
      <c r="B1008" s="9" t="s">
        <v>193</v>
      </c>
      <c r="C1008" s="9" t="n">
        <v>1</v>
      </c>
      <c r="D1008" s="10" t="n">
        <v>1.95</v>
      </c>
      <c r="E1008" s="10" t="n">
        <f aca="false">C1008*D1008</f>
        <v>1.95</v>
      </c>
    </row>
    <row r="1009" customFormat="false" ht="15" hidden="false" customHeight="false" outlineLevel="0" collapsed="false">
      <c r="A1009" s="9" t="s">
        <v>694</v>
      </c>
      <c r="B1009" s="9" t="s">
        <v>97</v>
      </c>
      <c r="C1009" s="9" t="n">
        <v>2</v>
      </c>
      <c r="D1009" s="10" t="n">
        <v>1.25</v>
      </c>
      <c r="E1009" s="10" t="n">
        <f aca="false">C1009*D1009</f>
        <v>2.5</v>
      </c>
    </row>
    <row r="1010" customFormat="false" ht="15" hidden="false" customHeight="false" outlineLevel="0" collapsed="false">
      <c r="A1010" s="9" t="s">
        <v>694</v>
      </c>
      <c r="B1010" s="9" t="s">
        <v>607</v>
      </c>
      <c r="C1010" s="9" t="n">
        <v>2</v>
      </c>
      <c r="D1010" s="10" t="n">
        <v>1.25</v>
      </c>
      <c r="E1010" s="10" t="n">
        <f aca="false">C1010*D1010</f>
        <v>2.5</v>
      </c>
    </row>
    <row r="1011" customFormat="false" ht="15" hidden="false" customHeight="false" outlineLevel="0" collapsed="false">
      <c r="A1011" s="9" t="s">
        <v>694</v>
      </c>
      <c r="B1011" s="9" t="s">
        <v>488</v>
      </c>
      <c r="C1011" s="9" t="n">
        <v>5</v>
      </c>
      <c r="D1011" s="10" t="n">
        <v>1.65</v>
      </c>
      <c r="E1011" s="10" t="n">
        <f aca="false">C1011*D1011</f>
        <v>8.25</v>
      </c>
    </row>
    <row r="1012" customFormat="false" ht="15" hidden="false" customHeight="false" outlineLevel="0" collapsed="false">
      <c r="A1012" s="9" t="s">
        <v>694</v>
      </c>
      <c r="B1012" s="9" t="s">
        <v>553</v>
      </c>
      <c r="C1012" s="9" t="n">
        <v>2</v>
      </c>
      <c r="D1012" s="10" t="n">
        <v>1.25</v>
      </c>
      <c r="E1012" s="10" t="n">
        <f aca="false">C1012*D1012</f>
        <v>2.5</v>
      </c>
    </row>
    <row r="1013" customFormat="false" ht="15" hidden="false" customHeight="false" outlineLevel="0" collapsed="false">
      <c r="A1013" s="9" t="s">
        <v>694</v>
      </c>
      <c r="B1013" s="9" t="s">
        <v>704</v>
      </c>
      <c r="C1013" s="9" t="n">
        <v>1</v>
      </c>
      <c r="D1013" s="10" t="n">
        <v>12.75</v>
      </c>
      <c r="E1013" s="10" t="n">
        <f aca="false">C1013*D1013</f>
        <v>12.75</v>
      </c>
    </row>
    <row r="1014" customFormat="false" ht="15" hidden="false" customHeight="false" outlineLevel="0" collapsed="false">
      <c r="A1014" s="9" t="s">
        <v>694</v>
      </c>
      <c r="B1014" s="9" t="s">
        <v>576</v>
      </c>
      <c r="C1014" s="9" t="n">
        <v>1</v>
      </c>
      <c r="D1014" s="10" t="n">
        <v>0.85</v>
      </c>
      <c r="E1014" s="10" t="n">
        <f aca="false">C1014*D1014</f>
        <v>0.85</v>
      </c>
    </row>
    <row r="1015" customFormat="false" ht="15" hidden="false" customHeight="false" outlineLevel="0" collapsed="false">
      <c r="A1015" s="9" t="s">
        <v>694</v>
      </c>
      <c r="B1015" s="9" t="s">
        <v>705</v>
      </c>
      <c r="C1015" s="9" t="n">
        <v>1</v>
      </c>
      <c r="D1015" s="10" t="n">
        <v>2.1</v>
      </c>
      <c r="E1015" s="10" t="n">
        <f aca="false">C1015*D1015</f>
        <v>2.1</v>
      </c>
    </row>
    <row r="1016" customFormat="false" ht="15" hidden="false" customHeight="false" outlineLevel="0" collapsed="false">
      <c r="A1016" s="9" t="s">
        <v>694</v>
      </c>
      <c r="B1016" s="9" t="s">
        <v>706</v>
      </c>
      <c r="C1016" s="9" t="n">
        <v>1</v>
      </c>
      <c r="D1016" s="10" t="n">
        <v>2.1</v>
      </c>
      <c r="E1016" s="10" t="n">
        <f aca="false">C1016*D1016</f>
        <v>2.1</v>
      </c>
    </row>
    <row r="1017" customFormat="false" ht="15" hidden="false" customHeight="false" outlineLevel="0" collapsed="false">
      <c r="A1017" s="9" t="s">
        <v>694</v>
      </c>
      <c r="B1017" s="9" t="s">
        <v>55</v>
      </c>
      <c r="C1017" s="9" t="n">
        <v>1</v>
      </c>
      <c r="D1017" s="10" t="n">
        <v>3.75</v>
      </c>
      <c r="E1017" s="10" t="n">
        <f aca="false">C1017*D1017</f>
        <v>3.75</v>
      </c>
    </row>
    <row r="1018" customFormat="false" ht="15" hidden="false" customHeight="false" outlineLevel="0" collapsed="false">
      <c r="A1018" s="9" t="s">
        <v>694</v>
      </c>
      <c r="B1018" s="9" t="s">
        <v>707</v>
      </c>
      <c r="C1018" s="9" t="n">
        <v>1</v>
      </c>
      <c r="D1018" s="10" t="n">
        <v>1.25</v>
      </c>
      <c r="E1018" s="10" t="n">
        <f aca="false">C1018*D1018</f>
        <v>1.25</v>
      </c>
    </row>
    <row r="1019" customFormat="false" ht="15" hidden="false" customHeight="false" outlineLevel="0" collapsed="false">
      <c r="A1019" s="9" t="s">
        <v>694</v>
      </c>
      <c r="B1019" s="9" t="s">
        <v>445</v>
      </c>
      <c r="C1019" s="9" t="n">
        <v>1</v>
      </c>
      <c r="D1019" s="10" t="n">
        <v>3.75</v>
      </c>
      <c r="E1019" s="10" t="n">
        <f aca="false">C1019*D1019</f>
        <v>3.75</v>
      </c>
    </row>
    <row r="1020" customFormat="false" ht="15" hidden="false" customHeight="false" outlineLevel="0" collapsed="false">
      <c r="A1020" s="9" t="s">
        <v>694</v>
      </c>
      <c r="B1020" s="9" t="s">
        <v>708</v>
      </c>
      <c r="C1020" s="9" t="n">
        <v>1</v>
      </c>
      <c r="D1020" s="10" t="n">
        <v>2.95</v>
      </c>
      <c r="E1020" s="10" t="n">
        <f aca="false">C1020*D1020</f>
        <v>2.95</v>
      </c>
    </row>
    <row r="1021" customFormat="false" ht="15" hidden="false" customHeight="false" outlineLevel="0" collapsed="false">
      <c r="A1021" s="9" t="s">
        <v>694</v>
      </c>
      <c r="B1021" s="9" t="s">
        <v>698</v>
      </c>
      <c r="C1021" s="9" t="n">
        <v>2</v>
      </c>
      <c r="D1021" s="10" t="n">
        <v>3.75</v>
      </c>
      <c r="E1021" s="10" t="n">
        <f aca="false">C1021*D1021</f>
        <v>7.5</v>
      </c>
    </row>
    <row r="1022" customFormat="false" ht="15" hidden="false" customHeight="false" outlineLevel="0" collapsed="false">
      <c r="A1022" s="9" t="s">
        <v>694</v>
      </c>
      <c r="B1022" s="9" t="s">
        <v>56</v>
      </c>
      <c r="C1022" s="9" t="n">
        <v>1</v>
      </c>
      <c r="D1022" s="10" t="n">
        <v>4.25</v>
      </c>
      <c r="E1022" s="10" t="n">
        <f aca="false">C1022*D1022</f>
        <v>4.25</v>
      </c>
    </row>
    <row r="1023" customFormat="false" ht="15" hidden="false" customHeight="false" outlineLevel="0" collapsed="false">
      <c r="A1023" s="9" t="s">
        <v>694</v>
      </c>
      <c r="B1023" s="9" t="s">
        <v>709</v>
      </c>
      <c r="C1023" s="9" t="n">
        <v>1</v>
      </c>
      <c r="D1023" s="10" t="n">
        <v>0.85</v>
      </c>
      <c r="E1023" s="10" t="n">
        <f aca="false">C1023*D1023</f>
        <v>0.85</v>
      </c>
    </row>
    <row r="1024" customFormat="false" ht="15" hidden="false" customHeight="false" outlineLevel="0" collapsed="false">
      <c r="A1024" s="9" t="s">
        <v>694</v>
      </c>
      <c r="B1024" s="9" t="s">
        <v>255</v>
      </c>
      <c r="C1024" s="9" t="n">
        <v>2</v>
      </c>
      <c r="D1024" s="10" t="n">
        <v>2.1</v>
      </c>
      <c r="E1024" s="10" t="n">
        <f aca="false">C1024*D1024</f>
        <v>4.2</v>
      </c>
    </row>
    <row r="1025" customFormat="false" ht="15" hidden="false" customHeight="false" outlineLevel="0" collapsed="false">
      <c r="A1025" s="9" t="s">
        <v>694</v>
      </c>
      <c r="B1025" s="9" t="s">
        <v>710</v>
      </c>
      <c r="C1025" s="9" t="n">
        <v>1</v>
      </c>
      <c r="D1025" s="10" t="n">
        <v>3.75</v>
      </c>
      <c r="E1025" s="10" t="n">
        <f aca="false">C1025*D1025</f>
        <v>3.75</v>
      </c>
    </row>
    <row r="1026" customFormat="false" ht="15" hidden="false" customHeight="false" outlineLevel="0" collapsed="false">
      <c r="A1026" s="9" t="s">
        <v>694</v>
      </c>
      <c r="B1026" s="9" t="s">
        <v>46</v>
      </c>
      <c r="C1026" s="9" t="n">
        <v>2</v>
      </c>
      <c r="D1026" s="10" t="n">
        <v>2.1</v>
      </c>
      <c r="E1026" s="10" t="n">
        <f aca="false">C1026*D1026</f>
        <v>4.2</v>
      </c>
    </row>
    <row r="1027" customFormat="false" ht="15" hidden="false" customHeight="false" outlineLevel="0" collapsed="false">
      <c r="A1027" s="9" t="s">
        <v>694</v>
      </c>
      <c r="B1027" s="9" t="s">
        <v>711</v>
      </c>
      <c r="C1027" s="9" t="n">
        <v>1</v>
      </c>
      <c r="D1027" s="10" t="n">
        <v>4.25</v>
      </c>
      <c r="E1027" s="10" t="n">
        <f aca="false">C1027*D1027</f>
        <v>4.25</v>
      </c>
    </row>
    <row r="1028" customFormat="false" ht="15" hidden="false" customHeight="false" outlineLevel="0" collapsed="false">
      <c r="A1028" s="9" t="s">
        <v>694</v>
      </c>
      <c r="B1028" s="9" t="s">
        <v>402</v>
      </c>
      <c r="C1028" s="9" t="n">
        <v>12</v>
      </c>
      <c r="D1028" s="10" t="n">
        <v>0.65</v>
      </c>
      <c r="E1028" s="10" t="n">
        <f aca="false">C1028*D1028</f>
        <v>7.8</v>
      </c>
    </row>
    <row r="1029" customFormat="false" ht="15" hidden="false" customHeight="false" outlineLevel="0" collapsed="false">
      <c r="A1029" s="9" t="s">
        <v>694</v>
      </c>
      <c r="B1029" s="9" t="s">
        <v>254</v>
      </c>
      <c r="C1029" s="9" t="n">
        <v>1</v>
      </c>
      <c r="D1029" s="10" t="n">
        <v>2.1</v>
      </c>
      <c r="E1029" s="10" t="n">
        <f aca="false">C1029*D1029</f>
        <v>2.1</v>
      </c>
    </row>
    <row r="1030" customFormat="false" ht="15" hidden="false" customHeight="false" outlineLevel="0" collapsed="false">
      <c r="A1030" s="9" t="s">
        <v>694</v>
      </c>
      <c r="B1030" s="9" t="s">
        <v>558</v>
      </c>
      <c r="C1030" s="9" t="n">
        <v>1</v>
      </c>
      <c r="D1030" s="10" t="n">
        <v>1.25</v>
      </c>
      <c r="E1030" s="10" t="n">
        <f aca="false">C1030*D1030</f>
        <v>1.25</v>
      </c>
    </row>
    <row r="1031" customFormat="false" ht="15" hidden="false" customHeight="false" outlineLevel="0" collapsed="false">
      <c r="A1031" s="9" t="s">
        <v>694</v>
      </c>
      <c r="B1031" s="9" t="s">
        <v>582</v>
      </c>
      <c r="C1031" s="9" t="n">
        <v>1</v>
      </c>
      <c r="D1031" s="10" t="n">
        <v>0.85</v>
      </c>
      <c r="E1031" s="10" t="n">
        <f aca="false">C1031*D1031</f>
        <v>0.85</v>
      </c>
    </row>
    <row r="1032" customFormat="false" ht="15" hidden="false" customHeight="false" outlineLevel="0" collapsed="false">
      <c r="A1032" s="9" t="s">
        <v>694</v>
      </c>
      <c r="B1032" s="9" t="s">
        <v>670</v>
      </c>
      <c r="C1032" s="9" t="n">
        <v>2</v>
      </c>
      <c r="D1032" s="10" t="n">
        <v>0.42</v>
      </c>
      <c r="E1032" s="10" t="n">
        <f aca="false">C1032*D1032</f>
        <v>0.84</v>
      </c>
    </row>
    <row r="1033" customFormat="false" ht="15" hidden="false" customHeight="false" outlineLevel="0" collapsed="false">
      <c r="A1033" s="9" t="s">
        <v>694</v>
      </c>
      <c r="B1033" s="9" t="s">
        <v>273</v>
      </c>
      <c r="C1033" s="9" t="n">
        <v>1</v>
      </c>
      <c r="D1033" s="10" t="n">
        <v>3.35</v>
      </c>
      <c r="E1033" s="10" t="n">
        <f aca="false">C1033*D1033</f>
        <v>3.35</v>
      </c>
    </row>
    <row r="1034" customFormat="false" ht="15" hidden="false" customHeight="false" outlineLevel="0" collapsed="false">
      <c r="A1034" s="9" t="s">
        <v>694</v>
      </c>
      <c r="B1034" s="9" t="s">
        <v>695</v>
      </c>
      <c r="C1034" s="9" t="n">
        <v>2</v>
      </c>
      <c r="D1034" s="10" t="n">
        <v>1.25</v>
      </c>
      <c r="E1034" s="10" t="n">
        <f aca="false">C1034*D1034</f>
        <v>2.5</v>
      </c>
    </row>
    <row r="1035" customFormat="false" ht="15" hidden="false" customHeight="false" outlineLevel="0" collapsed="false">
      <c r="A1035" s="9" t="s">
        <v>694</v>
      </c>
      <c r="B1035" s="9" t="s">
        <v>238</v>
      </c>
      <c r="C1035" s="9" t="n">
        <v>2</v>
      </c>
      <c r="D1035" s="10" t="n">
        <v>0.65</v>
      </c>
      <c r="E1035" s="10" t="n">
        <f aca="false">C1035*D1035</f>
        <v>1.3</v>
      </c>
    </row>
    <row r="1036" customFormat="false" ht="15" hidden="false" customHeight="false" outlineLevel="0" collapsed="false">
      <c r="A1036" s="9" t="s">
        <v>694</v>
      </c>
      <c r="B1036" s="9" t="s">
        <v>712</v>
      </c>
      <c r="C1036" s="9" t="n">
        <v>1</v>
      </c>
      <c r="D1036" s="10" t="n">
        <v>9.95</v>
      </c>
      <c r="E1036" s="10" t="n">
        <f aca="false">C1036*D1036</f>
        <v>9.95</v>
      </c>
    </row>
    <row r="1037" customFormat="false" ht="15" hidden="false" customHeight="false" outlineLevel="0" collapsed="false">
      <c r="A1037" s="9" t="s">
        <v>694</v>
      </c>
      <c r="B1037" s="9" t="s">
        <v>713</v>
      </c>
      <c r="C1037" s="9" t="n">
        <v>1</v>
      </c>
      <c r="D1037" s="10" t="n">
        <v>1.65</v>
      </c>
      <c r="E1037" s="10" t="n">
        <f aca="false">C1037*D1037</f>
        <v>1.65</v>
      </c>
    </row>
    <row r="1038" customFormat="false" ht="15" hidden="false" customHeight="false" outlineLevel="0" collapsed="false">
      <c r="A1038" s="9" t="s">
        <v>714</v>
      </c>
      <c r="B1038" s="9" t="s">
        <v>549</v>
      </c>
      <c r="C1038" s="9" t="n">
        <v>24</v>
      </c>
      <c r="D1038" s="10" t="n">
        <v>1.25</v>
      </c>
      <c r="E1038" s="10" t="n">
        <f aca="false">C1038*D1038</f>
        <v>30</v>
      </c>
    </row>
    <row r="1039" customFormat="false" ht="15" hidden="false" customHeight="false" outlineLevel="0" collapsed="false">
      <c r="A1039" s="9" t="s">
        <v>714</v>
      </c>
      <c r="B1039" s="9" t="s">
        <v>272</v>
      </c>
      <c r="C1039" s="9" t="n">
        <v>3</v>
      </c>
      <c r="D1039" s="10" t="n">
        <v>4.95</v>
      </c>
      <c r="E1039" s="10" t="n">
        <f aca="false">C1039*D1039</f>
        <v>14.85</v>
      </c>
    </row>
    <row r="1040" customFormat="false" ht="15" hidden="false" customHeight="false" outlineLevel="0" collapsed="false">
      <c r="A1040" s="9" t="s">
        <v>714</v>
      </c>
      <c r="B1040" s="9" t="s">
        <v>380</v>
      </c>
      <c r="C1040" s="9" t="n">
        <v>12</v>
      </c>
      <c r="D1040" s="10" t="n">
        <v>0.85</v>
      </c>
      <c r="E1040" s="10" t="n">
        <f aca="false">C1040*D1040</f>
        <v>10.2</v>
      </c>
    </row>
    <row r="1041" customFormat="false" ht="15" hidden="false" customHeight="false" outlineLevel="0" collapsed="false">
      <c r="A1041" s="9" t="s">
        <v>714</v>
      </c>
      <c r="B1041" s="9" t="s">
        <v>715</v>
      </c>
      <c r="C1041" s="9" t="n">
        <v>24</v>
      </c>
      <c r="D1041" s="10" t="n">
        <v>0.65</v>
      </c>
      <c r="E1041" s="10" t="n">
        <f aca="false">C1041*D1041</f>
        <v>15.6</v>
      </c>
    </row>
    <row r="1042" customFormat="false" ht="15" hidden="false" customHeight="false" outlineLevel="0" collapsed="false">
      <c r="A1042" s="9" t="s">
        <v>714</v>
      </c>
      <c r="B1042" s="9" t="s">
        <v>716</v>
      </c>
      <c r="C1042" s="9" t="n">
        <v>12</v>
      </c>
      <c r="D1042" s="10" t="n">
        <v>1.25</v>
      </c>
      <c r="E1042" s="10" t="n">
        <f aca="false">C1042*D1042</f>
        <v>15</v>
      </c>
    </row>
    <row r="1043" customFormat="false" ht="15" hidden="false" customHeight="false" outlineLevel="0" collapsed="false">
      <c r="A1043" s="9" t="s">
        <v>714</v>
      </c>
      <c r="B1043" s="9" t="s">
        <v>717</v>
      </c>
      <c r="C1043" s="9" t="n">
        <v>6</v>
      </c>
      <c r="D1043" s="10" t="n">
        <v>2.95</v>
      </c>
      <c r="E1043" s="10" t="n">
        <f aca="false">C1043*D1043</f>
        <v>17.7</v>
      </c>
    </row>
    <row r="1044" customFormat="false" ht="15" hidden="false" customHeight="false" outlineLevel="0" collapsed="false">
      <c r="A1044" s="9" t="s">
        <v>714</v>
      </c>
      <c r="B1044" s="9" t="s">
        <v>560</v>
      </c>
      <c r="C1044" s="9" t="n">
        <v>2</v>
      </c>
      <c r="D1044" s="10" t="n">
        <v>5.95</v>
      </c>
      <c r="E1044" s="10" t="n">
        <f aca="false">C1044*D1044</f>
        <v>11.9</v>
      </c>
    </row>
    <row r="1045" customFormat="false" ht="15" hidden="false" customHeight="false" outlineLevel="0" collapsed="false">
      <c r="A1045" s="9" t="s">
        <v>714</v>
      </c>
      <c r="B1045" s="9" t="s">
        <v>225</v>
      </c>
      <c r="C1045" s="9" t="n">
        <v>3</v>
      </c>
      <c r="D1045" s="10" t="n">
        <v>4.95</v>
      </c>
      <c r="E1045" s="10" t="n">
        <f aca="false">C1045*D1045</f>
        <v>14.85</v>
      </c>
    </row>
    <row r="1046" customFormat="false" ht="15" hidden="false" customHeight="false" outlineLevel="0" collapsed="false">
      <c r="A1046" s="9" t="s">
        <v>714</v>
      </c>
      <c r="B1046" s="9" t="s">
        <v>505</v>
      </c>
      <c r="C1046" s="9" t="n">
        <v>6</v>
      </c>
      <c r="D1046" s="10" t="n">
        <v>2.1</v>
      </c>
      <c r="E1046" s="10" t="n">
        <f aca="false">C1046*D1046</f>
        <v>12.6</v>
      </c>
    </row>
    <row r="1047" customFormat="false" ht="15" hidden="false" customHeight="false" outlineLevel="0" collapsed="false">
      <c r="A1047" s="9" t="s">
        <v>714</v>
      </c>
      <c r="B1047" s="9" t="s">
        <v>277</v>
      </c>
      <c r="C1047" s="9" t="n">
        <v>2</v>
      </c>
      <c r="D1047" s="10" t="n">
        <v>6.75</v>
      </c>
      <c r="E1047" s="10" t="n">
        <f aca="false">C1047*D1047</f>
        <v>13.5</v>
      </c>
    </row>
    <row r="1048" customFormat="false" ht="15" hidden="false" customHeight="false" outlineLevel="0" collapsed="false">
      <c r="A1048" s="9" t="s">
        <v>714</v>
      </c>
      <c r="B1048" s="9" t="s">
        <v>718</v>
      </c>
      <c r="C1048" s="9" t="n">
        <v>6</v>
      </c>
      <c r="D1048" s="10" t="n">
        <v>4.95</v>
      </c>
      <c r="E1048" s="10" t="n">
        <f aca="false">C1048*D1048</f>
        <v>29.7</v>
      </c>
    </row>
    <row r="1049" customFormat="false" ht="15" hidden="false" customHeight="false" outlineLevel="0" collapsed="false">
      <c r="A1049" s="9" t="s">
        <v>714</v>
      </c>
      <c r="B1049" s="9" t="s">
        <v>200</v>
      </c>
      <c r="C1049" s="9" t="n">
        <v>12</v>
      </c>
      <c r="D1049" s="10" t="n">
        <v>1.45</v>
      </c>
      <c r="E1049" s="10" t="n">
        <f aca="false">C1049*D1049</f>
        <v>17.4</v>
      </c>
    </row>
    <row r="1050" customFormat="false" ht="15" hidden="false" customHeight="false" outlineLevel="0" collapsed="false">
      <c r="A1050" s="9" t="s">
        <v>719</v>
      </c>
      <c r="B1050" s="9" t="s">
        <v>660</v>
      </c>
      <c r="C1050" s="9" t="n">
        <v>6</v>
      </c>
      <c r="D1050" s="10" t="n">
        <v>2.95</v>
      </c>
      <c r="E1050" s="10" t="n">
        <f aca="false">C1050*D1050</f>
        <v>17.7</v>
      </c>
    </row>
    <row r="1051" customFormat="false" ht="15" hidden="false" customHeight="false" outlineLevel="0" collapsed="false">
      <c r="A1051" s="9" t="s">
        <v>719</v>
      </c>
      <c r="B1051" s="9" t="s">
        <v>720</v>
      </c>
      <c r="C1051" s="9" t="n">
        <v>6</v>
      </c>
      <c r="D1051" s="10" t="n">
        <v>2.95</v>
      </c>
      <c r="E1051" s="10" t="n">
        <f aca="false">C1051*D1051</f>
        <v>17.7</v>
      </c>
    </row>
    <row r="1052" customFormat="false" ht="15" hidden="false" customHeight="false" outlineLevel="0" collapsed="false">
      <c r="A1052" s="9" t="s">
        <v>719</v>
      </c>
      <c r="B1052" s="9" t="s">
        <v>721</v>
      </c>
      <c r="C1052" s="9" t="n">
        <v>6</v>
      </c>
      <c r="D1052" s="10" t="n">
        <v>2.95</v>
      </c>
      <c r="E1052" s="10" t="n">
        <f aca="false">C1052*D1052</f>
        <v>17.7</v>
      </c>
    </row>
    <row r="1053" customFormat="false" ht="15" hidden="false" customHeight="false" outlineLevel="0" collapsed="false">
      <c r="A1053" s="9" t="s">
        <v>719</v>
      </c>
      <c r="B1053" s="9" t="s">
        <v>722</v>
      </c>
      <c r="C1053" s="9" t="n">
        <v>6</v>
      </c>
      <c r="D1053" s="10" t="n">
        <v>2.95</v>
      </c>
      <c r="E1053" s="10" t="n">
        <f aca="false">C1053*D1053</f>
        <v>17.7</v>
      </c>
    </row>
    <row r="1054" customFormat="false" ht="15" hidden="false" customHeight="false" outlineLevel="0" collapsed="false">
      <c r="A1054" s="9" t="s">
        <v>723</v>
      </c>
      <c r="B1054" s="9" t="s">
        <v>174</v>
      </c>
      <c r="C1054" s="9" t="n">
        <v>1</v>
      </c>
      <c r="D1054" s="10" t="n">
        <v>6.95</v>
      </c>
      <c r="E1054" s="10" t="n">
        <f aca="false">C1054*D1054</f>
        <v>6.95</v>
      </c>
    </row>
    <row r="1055" customFormat="false" ht="15" hidden="false" customHeight="false" outlineLevel="0" collapsed="false">
      <c r="A1055" s="9" t="s">
        <v>723</v>
      </c>
      <c r="B1055" s="9" t="s">
        <v>446</v>
      </c>
      <c r="C1055" s="9" t="n">
        <v>10</v>
      </c>
      <c r="D1055" s="10" t="n">
        <v>7.95</v>
      </c>
      <c r="E1055" s="10" t="n">
        <f aca="false">C1055*D1055</f>
        <v>79.5</v>
      </c>
    </row>
    <row r="1056" customFormat="false" ht="15" hidden="false" customHeight="false" outlineLevel="0" collapsed="false">
      <c r="A1056" s="9" t="s">
        <v>723</v>
      </c>
      <c r="B1056" s="9" t="s">
        <v>181</v>
      </c>
      <c r="C1056" s="9" t="n">
        <v>2</v>
      </c>
      <c r="D1056" s="10" t="n">
        <v>2.95</v>
      </c>
      <c r="E1056" s="10" t="n">
        <f aca="false">C1056*D1056</f>
        <v>5.9</v>
      </c>
    </row>
    <row r="1057" customFormat="false" ht="15" hidden="false" customHeight="false" outlineLevel="0" collapsed="false">
      <c r="A1057" s="9" t="s">
        <v>723</v>
      </c>
      <c r="B1057" s="9" t="s">
        <v>724</v>
      </c>
      <c r="C1057" s="9" t="n">
        <v>1</v>
      </c>
      <c r="D1057" s="10" t="n">
        <v>2.95</v>
      </c>
      <c r="E1057" s="10" t="n">
        <f aca="false">C1057*D1057</f>
        <v>2.95</v>
      </c>
    </row>
    <row r="1058" customFormat="false" ht="15" hidden="false" customHeight="false" outlineLevel="0" collapsed="false">
      <c r="A1058" s="9" t="s">
        <v>723</v>
      </c>
      <c r="B1058" s="9" t="s">
        <v>725</v>
      </c>
      <c r="C1058" s="9" t="n">
        <v>3</v>
      </c>
      <c r="D1058" s="10" t="n">
        <v>0.65</v>
      </c>
      <c r="E1058" s="10" t="n">
        <f aca="false">C1058*D1058</f>
        <v>1.95</v>
      </c>
    </row>
    <row r="1059" customFormat="false" ht="15" hidden="false" customHeight="false" outlineLevel="0" collapsed="false">
      <c r="A1059" s="9" t="s">
        <v>723</v>
      </c>
      <c r="B1059" s="9" t="s">
        <v>726</v>
      </c>
      <c r="C1059" s="9" t="n">
        <v>1</v>
      </c>
      <c r="D1059" s="10" t="n">
        <v>4.25</v>
      </c>
      <c r="E1059" s="10" t="n">
        <f aca="false">C1059*D1059</f>
        <v>4.25</v>
      </c>
    </row>
    <row r="1060" customFormat="false" ht="15" hidden="false" customHeight="false" outlineLevel="0" collapsed="false">
      <c r="A1060" s="9" t="s">
        <v>723</v>
      </c>
      <c r="B1060" s="9" t="s">
        <v>727</v>
      </c>
      <c r="C1060" s="9" t="n">
        <v>2</v>
      </c>
      <c r="D1060" s="10" t="n">
        <v>0.65</v>
      </c>
      <c r="E1060" s="10" t="n">
        <f aca="false">C1060*D1060</f>
        <v>1.3</v>
      </c>
    </row>
    <row r="1061" customFormat="false" ht="15" hidden="false" customHeight="false" outlineLevel="0" collapsed="false">
      <c r="A1061" s="9" t="s">
        <v>723</v>
      </c>
      <c r="B1061" s="9" t="s">
        <v>728</v>
      </c>
      <c r="C1061" s="9" t="n">
        <v>2</v>
      </c>
      <c r="D1061" s="10" t="n">
        <v>0.42</v>
      </c>
      <c r="E1061" s="10" t="n">
        <f aca="false">C1061*D1061</f>
        <v>0.84</v>
      </c>
    </row>
    <row r="1062" customFormat="false" ht="15" hidden="false" customHeight="false" outlineLevel="0" collapsed="false">
      <c r="A1062" s="9" t="s">
        <v>723</v>
      </c>
      <c r="B1062" s="9" t="s">
        <v>505</v>
      </c>
      <c r="C1062" s="9" t="n">
        <v>1</v>
      </c>
      <c r="D1062" s="10" t="n">
        <v>2.1</v>
      </c>
      <c r="E1062" s="10" t="n">
        <f aca="false">C1062*D1062</f>
        <v>2.1</v>
      </c>
    </row>
    <row r="1063" customFormat="false" ht="15" hidden="false" customHeight="false" outlineLevel="0" collapsed="false">
      <c r="A1063" s="9" t="s">
        <v>723</v>
      </c>
      <c r="B1063" s="9" t="s">
        <v>613</v>
      </c>
      <c r="C1063" s="9" t="n">
        <v>2</v>
      </c>
      <c r="D1063" s="10" t="n">
        <v>12.75</v>
      </c>
      <c r="E1063" s="10" t="n">
        <f aca="false">C1063*D1063</f>
        <v>25.5</v>
      </c>
    </row>
    <row r="1064" customFormat="false" ht="15" hidden="false" customHeight="false" outlineLevel="0" collapsed="false">
      <c r="A1064" s="9" t="s">
        <v>723</v>
      </c>
      <c r="B1064" s="9" t="s">
        <v>729</v>
      </c>
      <c r="C1064" s="9" t="n">
        <v>1</v>
      </c>
      <c r="D1064" s="10" t="n">
        <v>1.25</v>
      </c>
      <c r="E1064" s="10" t="n">
        <f aca="false">C1064*D1064</f>
        <v>1.25</v>
      </c>
    </row>
    <row r="1065" customFormat="false" ht="15" hidden="false" customHeight="false" outlineLevel="0" collapsed="false">
      <c r="A1065" s="9" t="s">
        <v>723</v>
      </c>
      <c r="B1065" s="9" t="s">
        <v>79</v>
      </c>
      <c r="C1065" s="9" t="n">
        <v>1</v>
      </c>
      <c r="D1065" s="10" t="n">
        <v>1.25</v>
      </c>
      <c r="E1065" s="10" t="n">
        <f aca="false">C1065*D1065</f>
        <v>1.25</v>
      </c>
    </row>
    <row r="1066" customFormat="false" ht="15" hidden="false" customHeight="false" outlineLevel="0" collapsed="false">
      <c r="A1066" s="9" t="s">
        <v>723</v>
      </c>
      <c r="B1066" s="9" t="s">
        <v>730</v>
      </c>
      <c r="C1066" s="9" t="n">
        <v>2</v>
      </c>
      <c r="D1066" s="10" t="n">
        <v>1.25</v>
      </c>
      <c r="E1066" s="10" t="n">
        <f aca="false">C1066*D1066</f>
        <v>2.5</v>
      </c>
    </row>
    <row r="1067" customFormat="false" ht="15" hidden="false" customHeight="false" outlineLevel="0" collapsed="false">
      <c r="A1067" s="9" t="s">
        <v>731</v>
      </c>
      <c r="B1067" s="9" t="s">
        <v>515</v>
      </c>
      <c r="C1067" s="9" t="n">
        <v>8</v>
      </c>
      <c r="D1067" s="10" t="n">
        <v>3.75</v>
      </c>
      <c r="E1067" s="10" t="n">
        <f aca="false">C1067*D1067</f>
        <v>30</v>
      </c>
    </row>
    <row r="1068" customFormat="false" ht="15" hidden="false" customHeight="false" outlineLevel="0" collapsed="false">
      <c r="A1068" s="9" t="s">
        <v>731</v>
      </c>
      <c r="B1068" s="9" t="s">
        <v>150</v>
      </c>
      <c r="C1068" s="9" t="n">
        <v>10</v>
      </c>
      <c r="D1068" s="10" t="n">
        <v>1.95</v>
      </c>
      <c r="E1068" s="10" t="n">
        <f aca="false">C1068*D1068</f>
        <v>19.5</v>
      </c>
    </row>
    <row r="1069" customFormat="false" ht="15" hidden="false" customHeight="false" outlineLevel="0" collapsed="false">
      <c r="A1069" s="9" t="s">
        <v>731</v>
      </c>
      <c r="B1069" s="9" t="s">
        <v>193</v>
      </c>
      <c r="C1069" s="9" t="n">
        <v>10</v>
      </c>
      <c r="D1069" s="10" t="n">
        <v>1.95</v>
      </c>
      <c r="E1069" s="10" t="n">
        <f aca="false">C1069*D1069</f>
        <v>19.5</v>
      </c>
    </row>
    <row r="1070" customFormat="false" ht="15" hidden="false" customHeight="false" outlineLevel="0" collapsed="false">
      <c r="A1070" s="9" t="s">
        <v>731</v>
      </c>
      <c r="B1070" s="9" t="s">
        <v>117</v>
      </c>
      <c r="C1070" s="9" t="n">
        <v>20</v>
      </c>
      <c r="D1070" s="10" t="n">
        <v>1.95</v>
      </c>
      <c r="E1070" s="10" t="n">
        <f aca="false">C1070*D1070</f>
        <v>39</v>
      </c>
    </row>
    <row r="1071" customFormat="false" ht="15" hidden="false" customHeight="false" outlineLevel="0" collapsed="false">
      <c r="A1071" s="9" t="s">
        <v>731</v>
      </c>
      <c r="B1071" s="9" t="s">
        <v>732</v>
      </c>
      <c r="C1071" s="9" t="n">
        <v>6</v>
      </c>
      <c r="D1071" s="10" t="n">
        <v>8.5</v>
      </c>
      <c r="E1071" s="10" t="n">
        <f aca="false">C1071*D1071</f>
        <v>51</v>
      </c>
    </row>
    <row r="1072" customFormat="false" ht="15" hidden="false" customHeight="false" outlineLevel="0" collapsed="false">
      <c r="A1072" s="9" t="s">
        <v>731</v>
      </c>
      <c r="B1072" s="9" t="s">
        <v>733</v>
      </c>
      <c r="C1072" s="9" t="n">
        <v>6</v>
      </c>
      <c r="D1072" s="10" t="n">
        <v>8.5</v>
      </c>
      <c r="E1072" s="10" t="n">
        <f aca="false">C1072*D1072</f>
        <v>51</v>
      </c>
    </row>
    <row r="1073" customFormat="false" ht="15" hidden="false" customHeight="false" outlineLevel="0" collapsed="false">
      <c r="A1073" s="9" t="s">
        <v>731</v>
      </c>
      <c r="B1073" s="9" t="s">
        <v>734</v>
      </c>
      <c r="C1073" s="9" t="n">
        <v>2</v>
      </c>
      <c r="D1073" s="10" t="n">
        <v>8.5</v>
      </c>
      <c r="E1073" s="10" t="n">
        <f aca="false">C1073*D1073</f>
        <v>17</v>
      </c>
    </row>
    <row r="1074" customFormat="false" ht="15" hidden="false" customHeight="false" outlineLevel="0" collapsed="false">
      <c r="A1074" s="9" t="s">
        <v>731</v>
      </c>
      <c r="B1074" s="9" t="s">
        <v>735</v>
      </c>
      <c r="C1074" s="9" t="n">
        <v>16</v>
      </c>
      <c r="D1074" s="10" t="n">
        <v>2.95</v>
      </c>
      <c r="E1074" s="10" t="n">
        <f aca="false">C1074*D1074</f>
        <v>47.2</v>
      </c>
    </row>
    <row r="1075" customFormat="false" ht="15" hidden="false" customHeight="false" outlineLevel="0" collapsed="false">
      <c r="A1075" s="9" t="s">
        <v>731</v>
      </c>
      <c r="B1075" s="9" t="s">
        <v>736</v>
      </c>
      <c r="C1075" s="9" t="n">
        <v>16</v>
      </c>
      <c r="D1075" s="10" t="n">
        <v>1.69</v>
      </c>
      <c r="E1075" s="10" t="n">
        <f aca="false">C1075*D1075</f>
        <v>27.04</v>
      </c>
    </row>
    <row r="1076" customFormat="false" ht="15" hidden="false" customHeight="false" outlineLevel="0" collapsed="false">
      <c r="A1076" s="9" t="s">
        <v>737</v>
      </c>
      <c r="B1076" s="9" t="s">
        <v>738</v>
      </c>
      <c r="C1076" s="9" t="n">
        <v>12</v>
      </c>
      <c r="D1076" s="10" t="n">
        <v>1.25</v>
      </c>
      <c r="E1076" s="10" t="n">
        <f aca="false">C1076*D1076</f>
        <v>15</v>
      </c>
    </row>
    <row r="1077" customFormat="false" ht="15" hidden="false" customHeight="false" outlineLevel="0" collapsed="false">
      <c r="A1077" s="9" t="s">
        <v>737</v>
      </c>
      <c r="B1077" s="9" t="s">
        <v>314</v>
      </c>
      <c r="C1077" s="9" t="n">
        <v>12</v>
      </c>
      <c r="D1077" s="10" t="n">
        <v>1.45</v>
      </c>
      <c r="E1077" s="10" t="n">
        <f aca="false">C1077*D1077</f>
        <v>17.4</v>
      </c>
    </row>
    <row r="1078" customFormat="false" ht="15" hidden="false" customHeight="false" outlineLevel="0" collapsed="false">
      <c r="A1078" s="9" t="s">
        <v>737</v>
      </c>
      <c r="B1078" s="9" t="s">
        <v>200</v>
      </c>
      <c r="C1078" s="9" t="n">
        <v>12</v>
      </c>
      <c r="D1078" s="10" t="n">
        <v>1.45</v>
      </c>
      <c r="E1078" s="10" t="n">
        <f aca="false">C1078*D1078</f>
        <v>17.4</v>
      </c>
    </row>
    <row r="1079" customFormat="false" ht="15" hidden="false" customHeight="false" outlineLevel="0" collapsed="false">
      <c r="A1079" s="9" t="s">
        <v>737</v>
      </c>
      <c r="B1079" s="9" t="s">
        <v>337</v>
      </c>
      <c r="C1079" s="9" t="n">
        <v>4</v>
      </c>
      <c r="D1079" s="10" t="n">
        <v>4.65</v>
      </c>
      <c r="E1079" s="10" t="n">
        <f aca="false">C1079*D1079</f>
        <v>18.6</v>
      </c>
    </row>
    <row r="1080" customFormat="false" ht="15" hidden="false" customHeight="false" outlineLevel="0" collapsed="false">
      <c r="A1080" s="9" t="s">
        <v>737</v>
      </c>
      <c r="B1080" s="9" t="s">
        <v>405</v>
      </c>
      <c r="C1080" s="9" t="n">
        <v>10</v>
      </c>
      <c r="D1080" s="10" t="n">
        <v>1.95</v>
      </c>
      <c r="E1080" s="10" t="n">
        <f aca="false">C1080*D1080</f>
        <v>19.5</v>
      </c>
    </row>
    <row r="1081" customFormat="false" ht="15" hidden="false" customHeight="false" outlineLevel="0" collapsed="false">
      <c r="A1081" s="9" t="s">
        <v>737</v>
      </c>
      <c r="B1081" s="9" t="s">
        <v>739</v>
      </c>
      <c r="C1081" s="9" t="n">
        <v>10</v>
      </c>
      <c r="D1081" s="10" t="n">
        <v>1.95</v>
      </c>
      <c r="E1081" s="10" t="n">
        <f aca="false">C1081*D1081</f>
        <v>19.5</v>
      </c>
    </row>
    <row r="1082" customFormat="false" ht="15" hidden="false" customHeight="false" outlineLevel="0" collapsed="false">
      <c r="A1082" s="9" t="s">
        <v>737</v>
      </c>
      <c r="B1082" s="9" t="s">
        <v>740</v>
      </c>
      <c r="C1082" s="9" t="n">
        <v>12</v>
      </c>
      <c r="D1082" s="10" t="n">
        <v>1.65</v>
      </c>
      <c r="E1082" s="10" t="n">
        <f aca="false">C1082*D1082</f>
        <v>19.8</v>
      </c>
    </row>
    <row r="1083" customFormat="false" ht="15" hidden="false" customHeight="false" outlineLevel="0" collapsed="false">
      <c r="A1083" s="9" t="s">
        <v>737</v>
      </c>
      <c r="B1083" s="9" t="s">
        <v>441</v>
      </c>
      <c r="C1083" s="9" t="n">
        <v>12</v>
      </c>
      <c r="D1083" s="10" t="n">
        <v>1.65</v>
      </c>
      <c r="E1083" s="10" t="n">
        <f aca="false">C1083*D1083</f>
        <v>19.8</v>
      </c>
    </row>
    <row r="1084" customFormat="false" ht="15" hidden="false" customHeight="false" outlineLevel="0" collapsed="false">
      <c r="A1084" s="9" t="s">
        <v>737</v>
      </c>
      <c r="B1084" s="9" t="s">
        <v>741</v>
      </c>
      <c r="C1084" s="9" t="n">
        <v>12</v>
      </c>
      <c r="D1084" s="10" t="n">
        <v>1.95</v>
      </c>
      <c r="E1084" s="10" t="n">
        <f aca="false">C1084*D1084</f>
        <v>23.4</v>
      </c>
    </row>
    <row r="1085" customFormat="false" ht="15" hidden="false" customHeight="false" outlineLevel="0" collapsed="false">
      <c r="A1085" s="9" t="s">
        <v>737</v>
      </c>
      <c r="B1085" s="9" t="s">
        <v>203</v>
      </c>
      <c r="C1085" s="9" t="n">
        <v>12</v>
      </c>
      <c r="D1085" s="10" t="n">
        <v>1.65</v>
      </c>
      <c r="E1085" s="10" t="n">
        <f aca="false">C1085*D1085</f>
        <v>19.8</v>
      </c>
    </row>
    <row r="1086" customFormat="false" ht="15" hidden="false" customHeight="false" outlineLevel="0" collapsed="false">
      <c r="A1086" s="9" t="s">
        <v>737</v>
      </c>
      <c r="B1086" s="9" t="s">
        <v>742</v>
      </c>
      <c r="C1086" s="9" t="n">
        <v>12</v>
      </c>
      <c r="D1086" s="10" t="n">
        <v>0.85</v>
      </c>
      <c r="E1086" s="10" t="n">
        <f aca="false">C1086*D1086</f>
        <v>10.2</v>
      </c>
    </row>
    <row r="1087" customFormat="false" ht="15" hidden="false" customHeight="false" outlineLevel="0" collapsed="false">
      <c r="A1087" s="9" t="s">
        <v>737</v>
      </c>
      <c r="B1087" s="9" t="s">
        <v>375</v>
      </c>
      <c r="C1087" s="9" t="n">
        <v>6</v>
      </c>
      <c r="D1087" s="10" t="n">
        <v>2.55</v>
      </c>
      <c r="E1087" s="10" t="n">
        <f aca="false">C1087*D1087</f>
        <v>15.3</v>
      </c>
    </row>
    <row r="1088" customFormat="false" ht="15" hidden="false" customHeight="false" outlineLevel="0" collapsed="false">
      <c r="A1088" s="9" t="s">
        <v>737</v>
      </c>
      <c r="B1088" s="9" t="s">
        <v>295</v>
      </c>
      <c r="C1088" s="9" t="n">
        <v>6</v>
      </c>
      <c r="D1088" s="10" t="n">
        <v>2.95</v>
      </c>
      <c r="E1088" s="10" t="n">
        <f aca="false">C1088*D1088</f>
        <v>17.7</v>
      </c>
    </row>
    <row r="1089" customFormat="false" ht="15" hidden="false" customHeight="false" outlineLevel="0" collapsed="false">
      <c r="A1089" s="9" t="s">
        <v>737</v>
      </c>
      <c r="B1089" s="9" t="s">
        <v>743</v>
      </c>
      <c r="C1089" s="9" t="n">
        <v>24</v>
      </c>
      <c r="D1089" s="10" t="n">
        <v>0.42</v>
      </c>
      <c r="E1089" s="10" t="n">
        <f aca="false">C1089*D1089</f>
        <v>10.08</v>
      </c>
    </row>
    <row r="1090" customFormat="false" ht="15" hidden="false" customHeight="false" outlineLevel="0" collapsed="false">
      <c r="A1090" s="9" t="s">
        <v>744</v>
      </c>
      <c r="B1090" s="9" t="s">
        <v>745</v>
      </c>
      <c r="C1090" s="9" t="n">
        <v>1</v>
      </c>
      <c r="D1090" s="10" t="n">
        <v>2.95</v>
      </c>
      <c r="E1090" s="10" t="n">
        <f aca="false">C1090*D1090</f>
        <v>2.95</v>
      </c>
    </row>
    <row r="1091" customFormat="false" ht="15" hidden="false" customHeight="false" outlineLevel="0" collapsed="false">
      <c r="A1091" s="9" t="s">
        <v>744</v>
      </c>
      <c r="B1091" s="9" t="s">
        <v>591</v>
      </c>
      <c r="C1091" s="9" t="n">
        <v>2</v>
      </c>
      <c r="D1091" s="10" t="n">
        <v>2.95</v>
      </c>
      <c r="E1091" s="10" t="n">
        <f aca="false">C1091*D1091</f>
        <v>5.9</v>
      </c>
    </row>
    <row r="1092" customFormat="false" ht="15" hidden="false" customHeight="false" outlineLevel="0" collapsed="false">
      <c r="A1092" s="9" t="s">
        <v>744</v>
      </c>
      <c r="B1092" s="9" t="s">
        <v>372</v>
      </c>
      <c r="C1092" s="9" t="n">
        <v>3</v>
      </c>
      <c r="D1092" s="10" t="n">
        <v>1.95</v>
      </c>
      <c r="E1092" s="10" t="n">
        <f aca="false">C1092*D1092</f>
        <v>5.85</v>
      </c>
    </row>
    <row r="1093" customFormat="false" ht="15" hidden="false" customHeight="false" outlineLevel="0" collapsed="false">
      <c r="A1093" s="9" t="s">
        <v>744</v>
      </c>
      <c r="B1093" s="9" t="s">
        <v>510</v>
      </c>
      <c r="C1093" s="9" t="n">
        <v>1</v>
      </c>
      <c r="D1093" s="10" t="n">
        <v>1.95</v>
      </c>
      <c r="E1093" s="10" t="n">
        <f aca="false">C1093*D1093</f>
        <v>1.95</v>
      </c>
    </row>
    <row r="1094" customFormat="false" ht="15" hidden="false" customHeight="false" outlineLevel="0" collapsed="false">
      <c r="A1094" s="9" t="s">
        <v>744</v>
      </c>
      <c r="B1094" s="9" t="s">
        <v>746</v>
      </c>
      <c r="C1094" s="9" t="n">
        <v>2</v>
      </c>
      <c r="D1094" s="10" t="n">
        <v>1.65</v>
      </c>
      <c r="E1094" s="10" t="n">
        <f aca="false">C1094*D1094</f>
        <v>3.3</v>
      </c>
    </row>
    <row r="1095" customFormat="false" ht="15" hidden="false" customHeight="false" outlineLevel="0" collapsed="false">
      <c r="A1095" s="9" t="s">
        <v>744</v>
      </c>
      <c r="B1095" s="9" t="s">
        <v>613</v>
      </c>
      <c r="C1095" s="9" t="n">
        <v>1</v>
      </c>
      <c r="D1095" s="10" t="n">
        <v>12.75</v>
      </c>
      <c r="E1095" s="10" t="n">
        <f aca="false">C1095*D1095</f>
        <v>12.75</v>
      </c>
    </row>
    <row r="1096" customFormat="false" ht="15" hidden="false" customHeight="false" outlineLevel="0" collapsed="false">
      <c r="A1096" s="9" t="s">
        <v>744</v>
      </c>
      <c r="B1096" s="9" t="s">
        <v>747</v>
      </c>
      <c r="C1096" s="9" t="n">
        <v>1</v>
      </c>
      <c r="D1096" s="10" t="n">
        <v>2.95</v>
      </c>
      <c r="E1096" s="10" t="n">
        <f aca="false">C1096*D1096</f>
        <v>2.95</v>
      </c>
    </row>
    <row r="1097" customFormat="false" ht="15" hidden="false" customHeight="false" outlineLevel="0" collapsed="false">
      <c r="A1097" s="9" t="s">
        <v>744</v>
      </c>
      <c r="B1097" s="9" t="s">
        <v>748</v>
      </c>
      <c r="C1097" s="9" t="n">
        <v>1</v>
      </c>
      <c r="D1097" s="10" t="n">
        <v>1.65</v>
      </c>
      <c r="E1097" s="10" t="n">
        <f aca="false">C1097*D1097</f>
        <v>1.65</v>
      </c>
    </row>
    <row r="1098" customFormat="false" ht="15" hidden="false" customHeight="false" outlineLevel="0" collapsed="false">
      <c r="A1098" s="9" t="s">
        <v>744</v>
      </c>
      <c r="B1098" s="9" t="s">
        <v>63</v>
      </c>
      <c r="C1098" s="9" t="n">
        <v>1</v>
      </c>
      <c r="D1098" s="10" t="n">
        <v>4.25</v>
      </c>
      <c r="E1098" s="10" t="n">
        <f aca="false">C1098*D1098</f>
        <v>4.25</v>
      </c>
    </row>
    <row r="1099" customFormat="false" ht="15" hidden="false" customHeight="false" outlineLevel="0" collapsed="false">
      <c r="A1099" s="9" t="s">
        <v>744</v>
      </c>
      <c r="B1099" s="9" t="s">
        <v>749</v>
      </c>
      <c r="C1099" s="9" t="n">
        <v>2</v>
      </c>
      <c r="D1099" s="10" t="n">
        <v>2.95</v>
      </c>
      <c r="E1099" s="10" t="n">
        <f aca="false">C1099*D1099</f>
        <v>5.9</v>
      </c>
    </row>
    <row r="1100" customFormat="false" ht="15" hidden="false" customHeight="false" outlineLevel="0" collapsed="false">
      <c r="A1100" s="9" t="s">
        <v>744</v>
      </c>
      <c r="B1100" s="9" t="s">
        <v>531</v>
      </c>
      <c r="C1100" s="9" t="n">
        <v>5</v>
      </c>
      <c r="D1100" s="10" t="n">
        <v>1.25</v>
      </c>
      <c r="E1100" s="10" t="n">
        <f aca="false">C1100*D1100</f>
        <v>6.25</v>
      </c>
    </row>
    <row r="1101" customFormat="false" ht="15" hidden="false" customHeight="false" outlineLevel="0" collapsed="false">
      <c r="A1101" s="9" t="s">
        <v>744</v>
      </c>
      <c r="B1101" s="9" t="s">
        <v>750</v>
      </c>
      <c r="C1101" s="9" t="n">
        <v>2</v>
      </c>
      <c r="D1101" s="10" t="n">
        <v>2.95</v>
      </c>
      <c r="E1101" s="10" t="n">
        <f aca="false">C1101*D1101</f>
        <v>5.9</v>
      </c>
    </row>
    <row r="1102" customFormat="false" ht="15" hidden="false" customHeight="false" outlineLevel="0" collapsed="false">
      <c r="A1102" s="9" t="s">
        <v>744</v>
      </c>
      <c r="B1102" s="9" t="s">
        <v>128</v>
      </c>
      <c r="C1102" s="9" t="n">
        <v>1</v>
      </c>
      <c r="D1102" s="10" t="n">
        <v>1.45</v>
      </c>
      <c r="E1102" s="10" t="n">
        <f aca="false">C1102*D1102</f>
        <v>1.45</v>
      </c>
    </row>
    <row r="1103" customFormat="false" ht="15" hidden="false" customHeight="false" outlineLevel="0" collapsed="false">
      <c r="A1103" s="9" t="s">
        <v>744</v>
      </c>
      <c r="B1103" s="9" t="s">
        <v>751</v>
      </c>
      <c r="C1103" s="9" t="n">
        <v>1</v>
      </c>
      <c r="D1103" s="10" t="n">
        <v>2.95</v>
      </c>
      <c r="E1103" s="10" t="n">
        <f aca="false">C1103*D1103</f>
        <v>2.95</v>
      </c>
    </row>
    <row r="1104" customFormat="false" ht="15" hidden="false" customHeight="false" outlineLevel="0" collapsed="false">
      <c r="A1104" s="9" t="s">
        <v>744</v>
      </c>
      <c r="B1104" s="9" t="s">
        <v>234</v>
      </c>
      <c r="C1104" s="9" t="n">
        <v>3</v>
      </c>
      <c r="D1104" s="10" t="n">
        <v>9.95</v>
      </c>
      <c r="E1104" s="10" t="n">
        <f aca="false">C1104*D1104</f>
        <v>29.85</v>
      </c>
    </row>
    <row r="1105" customFormat="false" ht="15" hidden="false" customHeight="false" outlineLevel="0" collapsed="false">
      <c r="A1105" s="9" t="s">
        <v>744</v>
      </c>
      <c r="B1105" s="9" t="s">
        <v>752</v>
      </c>
      <c r="C1105" s="9" t="n">
        <v>4</v>
      </c>
      <c r="D1105" s="10" t="n">
        <v>2.95</v>
      </c>
      <c r="E1105" s="10" t="n">
        <f aca="false">C1105*D1105</f>
        <v>11.8</v>
      </c>
    </row>
    <row r="1106" customFormat="false" ht="15" hidden="false" customHeight="false" outlineLevel="0" collapsed="false">
      <c r="A1106" s="9" t="s">
        <v>744</v>
      </c>
      <c r="B1106" s="9" t="s">
        <v>416</v>
      </c>
      <c r="C1106" s="9" t="n">
        <v>3</v>
      </c>
      <c r="D1106" s="10" t="n">
        <v>3.75</v>
      </c>
      <c r="E1106" s="10" t="n">
        <f aca="false">C1106*D1106</f>
        <v>11.25</v>
      </c>
    </row>
    <row r="1107" customFormat="false" ht="15" hidden="false" customHeight="false" outlineLevel="0" collapsed="false">
      <c r="A1107" s="9" t="s">
        <v>744</v>
      </c>
      <c r="B1107" s="9" t="s">
        <v>451</v>
      </c>
      <c r="C1107" s="9" t="n">
        <v>1</v>
      </c>
      <c r="D1107" s="10" t="n">
        <v>3.75</v>
      </c>
      <c r="E1107" s="10" t="n">
        <f aca="false">C1107*D1107</f>
        <v>3.75</v>
      </c>
    </row>
    <row r="1108" customFormat="false" ht="15" hidden="false" customHeight="false" outlineLevel="0" collapsed="false">
      <c r="A1108" s="9" t="s">
        <v>744</v>
      </c>
      <c r="B1108" s="9" t="s">
        <v>753</v>
      </c>
      <c r="C1108" s="9" t="n">
        <v>1</v>
      </c>
      <c r="D1108" s="10" t="n">
        <v>9.95</v>
      </c>
      <c r="E1108" s="10" t="n">
        <f aca="false">C1108*D1108</f>
        <v>9.95</v>
      </c>
    </row>
    <row r="1109" customFormat="false" ht="15" hidden="false" customHeight="false" outlineLevel="0" collapsed="false">
      <c r="A1109" s="9" t="s">
        <v>744</v>
      </c>
      <c r="B1109" s="9" t="s">
        <v>754</v>
      </c>
      <c r="C1109" s="9" t="n">
        <v>1</v>
      </c>
      <c r="D1109" s="10" t="n">
        <v>9.95</v>
      </c>
      <c r="E1109" s="10" t="n">
        <f aca="false">C1109*D1109</f>
        <v>9.95</v>
      </c>
    </row>
    <row r="1110" customFormat="false" ht="15" hidden="false" customHeight="false" outlineLevel="0" collapsed="false">
      <c r="A1110" s="9" t="s">
        <v>744</v>
      </c>
      <c r="B1110" s="9" t="s">
        <v>755</v>
      </c>
      <c r="C1110" s="9" t="n">
        <v>1</v>
      </c>
      <c r="D1110" s="10" t="n">
        <v>9.95</v>
      </c>
      <c r="E1110" s="10" t="n">
        <f aca="false">C1110*D1110</f>
        <v>9.95</v>
      </c>
    </row>
    <row r="1111" customFormat="false" ht="15" hidden="false" customHeight="false" outlineLevel="0" collapsed="false">
      <c r="A1111" s="9" t="s">
        <v>744</v>
      </c>
      <c r="B1111" s="9" t="s">
        <v>235</v>
      </c>
      <c r="C1111" s="9" t="n">
        <v>2</v>
      </c>
      <c r="D1111" s="10" t="n">
        <v>0.85</v>
      </c>
      <c r="E1111" s="10" t="n">
        <f aca="false">C1111*D1111</f>
        <v>1.7</v>
      </c>
    </row>
    <row r="1112" customFormat="false" ht="15" hidden="false" customHeight="false" outlineLevel="0" collapsed="false">
      <c r="A1112" s="9" t="s">
        <v>744</v>
      </c>
      <c r="B1112" s="9" t="s">
        <v>72</v>
      </c>
      <c r="C1112" s="9" t="n">
        <v>1</v>
      </c>
      <c r="D1112" s="10" t="n">
        <v>2.95</v>
      </c>
      <c r="E1112" s="10" t="n">
        <f aca="false">C1112*D1112</f>
        <v>2.95</v>
      </c>
    </row>
    <row r="1113" customFormat="false" ht="15" hidden="false" customHeight="false" outlineLevel="0" collapsed="false">
      <c r="A1113" s="9" t="s">
        <v>744</v>
      </c>
      <c r="B1113" s="9" t="s">
        <v>233</v>
      </c>
      <c r="C1113" s="9" t="n">
        <v>3</v>
      </c>
      <c r="D1113" s="10" t="n">
        <v>2.95</v>
      </c>
      <c r="E1113" s="10" t="n">
        <f aca="false">C1113*D1113</f>
        <v>8.85</v>
      </c>
    </row>
    <row r="1114" customFormat="false" ht="15" hidden="false" customHeight="false" outlineLevel="0" collapsed="false">
      <c r="A1114" s="9" t="s">
        <v>744</v>
      </c>
      <c r="B1114" s="9" t="s">
        <v>386</v>
      </c>
      <c r="C1114" s="9" t="n">
        <v>3</v>
      </c>
      <c r="D1114" s="10" t="n">
        <v>1.95</v>
      </c>
      <c r="E1114" s="10" t="n">
        <f aca="false">C1114*D1114</f>
        <v>5.85</v>
      </c>
    </row>
    <row r="1115" customFormat="false" ht="15" hidden="false" customHeight="false" outlineLevel="0" collapsed="false">
      <c r="A1115" s="9" t="s">
        <v>744</v>
      </c>
      <c r="B1115" s="9" t="s">
        <v>255</v>
      </c>
      <c r="C1115" s="9" t="n">
        <v>2</v>
      </c>
      <c r="D1115" s="10" t="n">
        <v>2.1</v>
      </c>
      <c r="E1115" s="10" t="n">
        <f aca="false">C1115*D1115</f>
        <v>4.2</v>
      </c>
    </row>
    <row r="1116" customFormat="false" ht="15" hidden="false" customHeight="false" outlineLevel="0" collapsed="false">
      <c r="A1116" s="9" t="s">
        <v>744</v>
      </c>
      <c r="B1116" s="9" t="s">
        <v>258</v>
      </c>
      <c r="C1116" s="9" t="n">
        <v>3</v>
      </c>
      <c r="D1116" s="10" t="n">
        <v>2.1</v>
      </c>
      <c r="E1116" s="10" t="n">
        <f aca="false">C1116*D1116</f>
        <v>6.3</v>
      </c>
    </row>
    <row r="1117" customFormat="false" ht="15" hidden="false" customHeight="false" outlineLevel="0" collapsed="false">
      <c r="A1117" s="9" t="s">
        <v>744</v>
      </c>
      <c r="B1117" s="9" t="s">
        <v>255</v>
      </c>
      <c r="C1117" s="9" t="n">
        <v>1</v>
      </c>
      <c r="D1117" s="10" t="n">
        <v>2.1</v>
      </c>
      <c r="E1117" s="10" t="n">
        <f aca="false">C1117*D1117</f>
        <v>2.1</v>
      </c>
    </row>
    <row r="1118" customFormat="false" ht="15" hidden="false" customHeight="false" outlineLevel="0" collapsed="false">
      <c r="A1118" s="9" t="s">
        <v>744</v>
      </c>
      <c r="B1118" s="9" t="s">
        <v>531</v>
      </c>
      <c r="C1118" s="9" t="n">
        <v>6</v>
      </c>
      <c r="D1118" s="10" t="n">
        <v>1.25</v>
      </c>
      <c r="E1118" s="10" t="n">
        <f aca="false">C1118*D1118</f>
        <v>7.5</v>
      </c>
    </row>
    <row r="1119" customFormat="false" ht="15" hidden="false" customHeight="false" outlineLevel="0" collapsed="false">
      <c r="A1119" s="9" t="s">
        <v>744</v>
      </c>
      <c r="B1119" s="9" t="s">
        <v>284</v>
      </c>
      <c r="C1119" s="9" t="n">
        <v>1</v>
      </c>
      <c r="D1119" s="10" t="n">
        <v>2.55</v>
      </c>
      <c r="E1119" s="10" t="n">
        <f aca="false">C1119*D1119</f>
        <v>2.55</v>
      </c>
    </row>
    <row r="1120" customFormat="false" ht="15" hidden="false" customHeight="false" outlineLevel="0" collapsed="false">
      <c r="A1120" s="9" t="s">
        <v>744</v>
      </c>
      <c r="B1120" s="9" t="s">
        <v>663</v>
      </c>
      <c r="C1120" s="9" t="n">
        <v>1</v>
      </c>
      <c r="D1120" s="10" t="n">
        <v>1.45</v>
      </c>
      <c r="E1120" s="10" t="n">
        <f aca="false">C1120*D1120</f>
        <v>1.45</v>
      </c>
    </row>
    <row r="1121" customFormat="false" ht="15" hidden="false" customHeight="false" outlineLevel="0" collapsed="false">
      <c r="A1121" s="9" t="s">
        <v>744</v>
      </c>
      <c r="B1121" s="9" t="s">
        <v>756</v>
      </c>
      <c r="C1121" s="9" t="n">
        <v>1</v>
      </c>
      <c r="D1121" s="10" t="n">
        <v>1.65</v>
      </c>
      <c r="E1121" s="10" t="n">
        <f aca="false">C1121*D1121</f>
        <v>1.65</v>
      </c>
    </row>
    <row r="1122" customFormat="false" ht="15" hidden="false" customHeight="false" outlineLevel="0" collapsed="false">
      <c r="A1122" s="9" t="s">
        <v>744</v>
      </c>
      <c r="B1122" s="9" t="s">
        <v>240</v>
      </c>
      <c r="C1122" s="9" t="n">
        <v>6</v>
      </c>
      <c r="D1122" s="10" t="n">
        <v>1.25</v>
      </c>
      <c r="E1122" s="10" t="n">
        <f aca="false">C1122*D1122</f>
        <v>7.5</v>
      </c>
    </row>
    <row r="1123" customFormat="false" ht="15" hidden="false" customHeight="false" outlineLevel="0" collapsed="false">
      <c r="A1123" s="9" t="s">
        <v>744</v>
      </c>
      <c r="B1123" s="9" t="s">
        <v>166</v>
      </c>
      <c r="C1123" s="9" t="n">
        <v>1</v>
      </c>
      <c r="D1123" s="10" t="n">
        <v>14.95</v>
      </c>
      <c r="E1123" s="10" t="n">
        <f aca="false">C1123*D1123</f>
        <v>14.95</v>
      </c>
    </row>
    <row r="1124" customFormat="false" ht="15" hidden="false" customHeight="false" outlineLevel="0" collapsed="false">
      <c r="A1124" s="9" t="s">
        <v>744</v>
      </c>
      <c r="B1124" s="9" t="s">
        <v>757</v>
      </c>
      <c r="C1124" s="9" t="n">
        <v>2</v>
      </c>
      <c r="D1124" s="10" t="n">
        <v>2.55</v>
      </c>
      <c r="E1124" s="10" t="n">
        <f aca="false">C1124*D1124</f>
        <v>5.1</v>
      </c>
    </row>
    <row r="1125" customFormat="false" ht="15" hidden="false" customHeight="false" outlineLevel="0" collapsed="false">
      <c r="A1125" s="9" t="s">
        <v>744</v>
      </c>
      <c r="B1125" s="9" t="s">
        <v>497</v>
      </c>
      <c r="C1125" s="9" t="n">
        <v>12</v>
      </c>
      <c r="D1125" s="10" t="n">
        <v>0.85</v>
      </c>
      <c r="E1125" s="10" t="n">
        <f aca="false">C1125*D1125</f>
        <v>10.2</v>
      </c>
    </row>
    <row r="1126" customFormat="false" ht="15" hidden="false" customHeight="false" outlineLevel="0" collapsed="false">
      <c r="A1126" s="9" t="s">
        <v>744</v>
      </c>
      <c r="B1126" s="9" t="s">
        <v>758</v>
      </c>
      <c r="C1126" s="9" t="n">
        <v>12</v>
      </c>
      <c r="D1126" s="10" t="n">
        <v>0.42</v>
      </c>
      <c r="E1126" s="10" t="n">
        <f aca="false">C1126*D1126</f>
        <v>5.04</v>
      </c>
    </row>
    <row r="1127" customFormat="false" ht="15" hidden="false" customHeight="false" outlineLevel="0" collapsed="false">
      <c r="A1127" s="9" t="s">
        <v>744</v>
      </c>
      <c r="B1127" s="9" t="s">
        <v>150</v>
      </c>
      <c r="C1127" s="9" t="n">
        <v>1</v>
      </c>
      <c r="D1127" s="10" t="n">
        <v>1.95</v>
      </c>
      <c r="E1127" s="10" t="n">
        <f aca="false">C1127*D1127</f>
        <v>1.95</v>
      </c>
    </row>
    <row r="1128" customFormat="false" ht="15" hidden="false" customHeight="false" outlineLevel="0" collapsed="false">
      <c r="A1128" s="9" t="s">
        <v>744</v>
      </c>
      <c r="B1128" s="9" t="s">
        <v>73</v>
      </c>
      <c r="C1128" s="9" t="n">
        <v>2</v>
      </c>
      <c r="D1128" s="10" t="n">
        <v>1.65</v>
      </c>
      <c r="E1128" s="10" t="n">
        <f aca="false">C1128*D1128</f>
        <v>3.3</v>
      </c>
    </row>
    <row r="1129" customFormat="false" ht="15" hidden="false" customHeight="false" outlineLevel="0" collapsed="false">
      <c r="A1129" s="9" t="s">
        <v>744</v>
      </c>
      <c r="B1129" s="9" t="s">
        <v>498</v>
      </c>
      <c r="C1129" s="9" t="n">
        <v>1</v>
      </c>
      <c r="D1129" s="10" t="n">
        <v>0.29</v>
      </c>
      <c r="E1129" s="10" t="n">
        <f aca="false">C1129*D1129</f>
        <v>0.29</v>
      </c>
    </row>
    <row r="1130" customFormat="false" ht="15" hidden="false" customHeight="false" outlineLevel="0" collapsed="false">
      <c r="A1130" s="9" t="s">
        <v>744</v>
      </c>
      <c r="B1130" s="9" t="s">
        <v>750</v>
      </c>
      <c r="C1130" s="9" t="n">
        <v>1</v>
      </c>
      <c r="D1130" s="10" t="n">
        <v>2.95</v>
      </c>
      <c r="E1130" s="10" t="n">
        <f aca="false">C1130*D1130</f>
        <v>2.95</v>
      </c>
    </row>
    <row r="1131" customFormat="false" ht="15" hidden="false" customHeight="false" outlineLevel="0" collapsed="false">
      <c r="A1131" s="9" t="s">
        <v>744</v>
      </c>
      <c r="B1131" s="9" t="s">
        <v>610</v>
      </c>
      <c r="C1131" s="9" t="n">
        <v>1</v>
      </c>
      <c r="D1131" s="10" t="n">
        <v>2.95</v>
      </c>
      <c r="E1131" s="10" t="n">
        <f aca="false">C1131*D1131</f>
        <v>2.95</v>
      </c>
    </row>
    <row r="1132" customFormat="false" ht="15" hidden="false" customHeight="false" outlineLevel="0" collapsed="false">
      <c r="A1132" s="9" t="s">
        <v>744</v>
      </c>
      <c r="B1132" s="9" t="s">
        <v>83</v>
      </c>
      <c r="C1132" s="9" t="n">
        <v>4</v>
      </c>
      <c r="D1132" s="10" t="n">
        <v>2.95</v>
      </c>
      <c r="E1132" s="10" t="n">
        <f aca="false">C1132*D1132</f>
        <v>11.8</v>
      </c>
    </row>
    <row r="1133" customFormat="false" ht="15" hidden="false" customHeight="false" outlineLevel="0" collapsed="false">
      <c r="A1133" s="9" t="s">
        <v>744</v>
      </c>
      <c r="B1133" s="9" t="s">
        <v>578</v>
      </c>
      <c r="C1133" s="9" t="n">
        <v>1</v>
      </c>
      <c r="D1133" s="10" t="n">
        <v>1.65</v>
      </c>
      <c r="E1133" s="10" t="n">
        <f aca="false">C1133*D1133</f>
        <v>1.65</v>
      </c>
    </row>
    <row r="1134" customFormat="false" ht="15" hidden="false" customHeight="false" outlineLevel="0" collapsed="false">
      <c r="A1134" s="9" t="s">
        <v>744</v>
      </c>
      <c r="B1134" s="9" t="s">
        <v>315</v>
      </c>
      <c r="C1134" s="9" t="n">
        <v>1</v>
      </c>
      <c r="D1134" s="10" t="n">
        <v>1.25</v>
      </c>
      <c r="E1134" s="10" t="n">
        <f aca="false">C1134*D1134</f>
        <v>1.25</v>
      </c>
    </row>
    <row r="1135" customFormat="false" ht="15" hidden="false" customHeight="false" outlineLevel="0" collapsed="false">
      <c r="A1135" s="9" t="s">
        <v>744</v>
      </c>
      <c r="B1135" s="9" t="s">
        <v>449</v>
      </c>
      <c r="C1135" s="9" t="n">
        <v>2</v>
      </c>
      <c r="D1135" s="10" t="n">
        <v>1.65</v>
      </c>
      <c r="E1135" s="10" t="n">
        <f aca="false">C1135*D1135</f>
        <v>3.3</v>
      </c>
    </row>
    <row r="1136" customFormat="false" ht="15" hidden="false" customHeight="false" outlineLevel="0" collapsed="false">
      <c r="A1136" s="9" t="s">
        <v>744</v>
      </c>
      <c r="B1136" s="9" t="s">
        <v>190</v>
      </c>
      <c r="C1136" s="9" t="n">
        <v>1</v>
      </c>
      <c r="D1136" s="10" t="n">
        <v>1.25</v>
      </c>
      <c r="E1136" s="10" t="n">
        <f aca="false">C1136*D1136</f>
        <v>1.25</v>
      </c>
    </row>
    <row r="1137" customFormat="false" ht="15" hidden="false" customHeight="false" outlineLevel="0" collapsed="false">
      <c r="A1137" s="9" t="s">
        <v>744</v>
      </c>
      <c r="B1137" s="9" t="s">
        <v>510</v>
      </c>
      <c r="C1137" s="9" t="n">
        <v>3</v>
      </c>
      <c r="D1137" s="10" t="n">
        <v>1.95</v>
      </c>
      <c r="E1137" s="10" t="n">
        <f aca="false">C1137*D1137</f>
        <v>5.85</v>
      </c>
    </row>
    <row r="1138" customFormat="false" ht="15" hidden="false" customHeight="false" outlineLevel="0" collapsed="false">
      <c r="A1138" s="9" t="s">
        <v>759</v>
      </c>
      <c r="B1138" s="9" t="s">
        <v>760</v>
      </c>
      <c r="C1138" s="9" t="n">
        <v>2</v>
      </c>
      <c r="D1138" s="10" t="n">
        <v>9.95</v>
      </c>
      <c r="E1138" s="10" t="n">
        <f aca="false">C1138*D1138</f>
        <v>19.9</v>
      </c>
    </row>
    <row r="1139" customFormat="false" ht="15" hidden="false" customHeight="false" outlineLevel="0" collapsed="false">
      <c r="A1139" s="9" t="s">
        <v>759</v>
      </c>
      <c r="B1139" s="9" t="s">
        <v>761</v>
      </c>
      <c r="C1139" s="9" t="n">
        <v>2</v>
      </c>
      <c r="D1139" s="10" t="n">
        <v>8.5</v>
      </c>
      <c r="E1139" s="10" t="n">
        <f aca="false">C1139*D1139</f>
        <v>17</v>
      </c>
    </row>
    <row r="1140" customFormat="false" ht="15" hidden="false" customHeight="false" outlineLevel="0" collapsed="false">
      <c r="A1140" s="9" t="s">
        <v>759</v>
      </c>
      <c r="B1140" s="9" t="s">
        <v>101</v>
      </c>
      <c r="C1140" s="9" t="n">
        <v>1</v>
      </c>
      <c r="D1140" s="10" t="n">
        <v>12.75</v>
      </c>
      <c r="E1140" s="10" t="n">
        <f aca="false">C1140*D1140</f>
        <v>12.75</v>
      </c>
    </row>
    <row r="1141" customFormat="false" ht="15" hidden="false" customHeight="false" outlineLevel="0" collapsed="false">
      <c r="A1141" s="9" t="s">
        <v>759</v>
      </c>
      <c r="B1141" s="9" t="s">
        <v>762</v>
      </c>
      <c r="C1141" s="9" t="n">
        <v>12</v>
      </c>
      <c r="D1141" s="10" t="n">
        <v>0.85</v>
      </c>
      <c r="E1141" s="10" t="n">
        <f aca="false">C1141*D1141</f>
        <v>10.2</v>
      </c>
    </row>
    <row r="1142" customFormat="false" ht="15" hidden="false" customHeight="false" outlineLevel="0" collapsed="false">
      <c r="A1142" s="9" t="s">
        <v>759</v>
      </c>
      <c r="B1142" s="9" t="s">
        <v>763</v>
      </c>
      <c r="C1142" s="9" t="n">
        <v>6</v>
      </c>
      <c r="D1142" s="10" t="n">
        <v>2.95</v>
      </c>
      <c r="E1142" s="10" t="n">
        <f aca="false">C1142*D1142</f>
        <v>17.7</v>
      </c>
    </row>
    <row r="1143" customFormat="false" ht="15" hidden="false" customHeight="false" outlineLevel="0" collapsed="false">
      <c r="A1143" s="9" t="s">
        <v>759</v>
      </c>
      <c r="B1143" s="9" t="s">
        <v>288</v>
      </c>
      <c r="C1143" s="9" t="n">
        <v>6</v>
      </c>
      <c r="D1143" s="10" t="n">
        <v>2.95</v>
      </c>
      <c r="E1143" s="10" t="n">
        <f aca="false">C1143*D1143</f>
        <v>17.7</v>
      </c>
    </row>
    <row r="1144" customFormat="false" ht="15" hidden="false" customHeight="false" outlineLevel="0" collapsed="false">
      <c r="A1144" s="9" t="s">
        <v>759</v>
      </c>
      <c r="B1144" s="9" t="s">
        <v>764</v>
      </c>
      <c r="C1144" s="9" t="n">
        <v>2</v>
      </c>
      <c r="D1144" s="10" t="n">
        <v>16.95</v>
      </c>
      <c r="E1144" s="10" t="n">
        <f aca="false">C1144*D1144</f>
        <v>33.9</v>
      </c>
    </row>
    <row r="1145" customFormat="false" ht="15" hidden="false" customHeight="false" outlineLevel="0" collapsed="false">
      <c r="A1145" s="9" t="s">
        <v>759</v>
      </c>
      <c r="B1145" s="9" t="s">
        <v>765</v>
      </c>
      <c r="C1145" s="9" t="n">
        <v>3</v>
      </c>
      <c r="D1145" s="10" t="n">
        <v>4.95</v>
      </c>
      <c r="E1145" s="10" t="n">
        <f aca="false">C1145*D1145</f>
        <v>14.85</v>
      </c>
    </row>
    <row r="1146" customFormat="false" ht="15" hidden="false" customHeight="false" outlineLevel="0" collapsed="false">
      <c r="A1146" s="9" t="s">
        <v>759</v>
      </c>
      <c r="B1146" s="9" t="s">
        <v>766</v>
      </c>
      <c r="C1146" s="9" t="n">
        <v>4</v>
      </c>
      <c r="D1146" s="10" t="n">
        <v>4.25</v>
      </c>
      <c r="E1146" s="10" t="n">
        <f aca="false">C1146*D1146</f>
        <v>17</v>
      </c>
    </row>
    <row r="1147" customFormat="false" ht="15" hidden="false" customHeight="false" outlineLevel="0" collapsed="false">
      <c r="A1147" s="9" t="s">
        <v>767</v>
      </c>
      <c r="B1147" s="9" t="s">
        <v>150</v>
      </c>
      <c r="C1147" s="9" t="n">
        <v>6</v>
      </c>
      <c r="D1147" s="10" t="n">
        <v>1.95</v>
      </c>
      <c r="E1147" s="10" t="n">
        <f aca="false">C1147*D1147</f>
        <v>11.7</v>
      </c>
    </row>
    <row r="1148" customFormat="false" ht="15" hidden="false" customHeight="false" outlineLevel="0" collapsed="false">
      <c r="A1148" s="9" t="s">
        <v>767</v>
      </c>
      <c r="B1148" s="9" t="s">
        <v>566</v>
      </c>
      <c r="C1148" s="9" t="n">
        <v>1</v>
      </c>
      <c r="D1148" s="10" t="n">
        <v>1.45</v>
      </c>
      <c r="E1148" s="10" t="n">
        <f aca="false">C1148*D1148</f>
        <v>1.45</v>
      </c>
    </row>
    <row r="1149" customFormat="false" ht="15" hidden="false" customHeight="false" outlineLevel="0" collapsed="false">
      <c r="A1149" s="9" t="s">
        <v>767</v>
      </c>
      <c r="B1149" s="9" t="s">
        <v>718</v>
      </c>
      <c r="C1149" s="9" t="n">
        <v>2</v>
      </c>
      <c r="D1149" s="10" t="n">
        <v>4.95</v>
      </c>
      <c r="E1149" s="10" t="n">
        <f aca="false">C1149*D1149</f>
        <v>9.9</v>
      </c>
    </row>
    <row r="1150" customFormat="false" ht="15" hidden="false" customHeight="false" outlineLevel="0" collapsed="false">
      <c r="A1150" s="9" t="s">
        <v>767</v>
      </c>
      <c r="B1150" s="9" t="s">
        <v>698</v>
      </c>
      <c r="C1150" s="9" t="n">
        <v>2</v>
      </c>
      <c r="D1150" s="10" t="n">
        <v>3.75</v>
      </c>
      <c r="E1150" s="10" t="n">
        <f aca="false">C1150*D1150</f>
        <v>7.5</v>
      </c>
    </row>
    <row r="1151" customFormat="false" ht="15" hidden="false" customHeight="false" outlineLevel="0" collapsed="false">
      <c r="A1151" s="9" t="s">
        <v>767</v>
      </c>
      <c r="B1151" s="9" t="s">
        <v>768</v>
      </c>
      <c r="C1151" s="9" t="n">
        <v>1</v>
      </c>
      <c r="D1151" s="10" t="n">
        <v>3.95</v>
      </c>
      <c r="E1151" s="10" t="n">
        <f aca="false">C1151*D1151</f>
        <v>3.95</v>
      </c>
    </row>
    <row r="1152" customFormat="false" ht="15" hidden="false" customHeight="false" outlineLevel="0" collapsed="false">
      <c r="A1152" s="9" t="s">
        <v>767</v>
      </c>
      <c r="B1152" s="9" t="s">
        <v>769</v>
      </c>
      <c r="C1152" s="9" t="n">
        <v>6</v>
      </c>
      <c r="D1152" s="10" t="n">
        <v>1.45</v>
      </c>
      <c r="E1152" s="10" t="n">
        <f aca="false">C1152*D1152</f>
        <v>8.7</v>
      </c>
    </row>
    <row r="1153" customFormat="false" ht="15" hidden="false" customHeight="false" outlineLevel="0" collapsed="false">
      <c r="A1153" s="9" t="s">
        <v>767</v>
      </c>
      <c r="B1153" s="9" t="s">
        <v>770</v>
      </c>
      <c r="C1153" s="9" t="n">
        <v>8</v>
      </c>
      <c r="D1153" s="10" t="n">
        <v>2.95</v>
      </c>
      <c r="E1153" s="10" t="n">
        <f aca="false">C1153*D1153</f>
        <v>23.6</v>
      </c>
    </row>
    <row r="1154" customFormat="false" ht="15" hidden="false" customHeight="false" outlineLevel="0" collapsed="false">
      <c r="A1154" s="9" t="s">
        <v>767</v>
      </c>
      <c r="B1154" s="9" t="s">
        <v>771</v>
      </c>
      <c r="C1154" s="9" t="n">
        <v>1</v>
      </c>
      <c r="D1154" s="10" t="n">
        <v>5.95</v>
      </c>
      <c r="E1154" s="10" t="n">
        <f aca="false">C1154*D1154</f>
        <v>5.95</v>
      </c>
    </row>
    <row r="1155" customFormat="false" ht="15" hidden="false" customHeight="false" outlineLevel="0" collapsed="false">
      <c r="A1155" s="9" t="s">
        <v>767</v>
      </c>
      <c r="B1155" s="9" t="s">
        <v>772</v>
      </c>
      <c r="C1155" s="9" t="n">
        <v>4</v>
      </c>
      <c r="D1155" s="10" t="n">
        <v>1.65</v>
      </c>
      <c r="E1155" s="10" t="n">
        <f aca="false">C1155*D1155</f>
        <v>6.6</v>
      </c>
    </row>
    <row r="1156" customFormat="false" ht="15" hidden="false" customHeight="false" outlineLevel="0" collapsed="false">
      <c r="A1156" s="9" t="s">
        <v>767</v>
      </c>
      <c r="B1156" s="9" t="s">
        <v>773</v>
      </c>
      <c r="C1156" s="9" t="n">
        <v>1</v>
      </c>
      <c r="D1156" s="10" t="n">
        <v>1.25</v>
      </c>
      <c r="E1156" s="10" t="n">
        <f aca="false">C1156*D1156</f>
        <v>1.25</v>
      </c>
    </row>
    <row r="1157" customFormat="false" ht="15" hidden="false" customHeight="false" outlineLevel="0" collapsed="false">
      <c r="A1157" s="9" t="s">
        <v>767</v>
      </c>
      <c r="B1157" s="9" t="s">
        <v>774</v>
      </c>
      <c r="C1157" s="9" t="n">
        <v>1</v>
      </c>
      <c r="D1157" s="10" t="n">
        <v>1.25</v>
      </c>
      <c r="E1157" s="10" t="n">
        <f aca="false">C1157*D1157</f>
        <v>1.25</v>
      </c>
    </row>
    <row r="1158" customFormat="false" ht="15" hidden="false" customHeight="false" outlineLevel="0" collapsed="false">
      <c r="A1158" s="9" t="s">
        <v>767</v>
      </c>
      <c r="B1158" s="9" t="s">
        <v>775</v>
      </c>
      <c r="C1158" s="9" t="n">
        <v>2</v>
      </c>
      <c r="D1158" s="10" t="n">
        <v>2.95</v>
      </c>
      <c r="E1158" s="10" t="n">
        <f aca="false">C1158*D1158</f>
        <v>5.9</v>
      </c>
    </row>
    <row r="1159" customFormat="false" ht="15" hidden="false" customHeight="false" outlineLevel="0" collapsed="false">
      <c r="A1159" s="9" t="s">
        <v>767</v>
      </c>
      <c r="B1159" s="9" t="s">
        <v>776</v>
      </c>
      <c r="C1159" s="9" t="n">
        <v>1</v>
      </c>
      <c r="D1159" s="10" t="n">
        <v>6.95</v>
      </c>
      <c r="E1159" s="10" t="n">
        <f aca="false">C1159*D1159</f>
        <v>6.95</v>
      </c>
    </row>
    <row r="1160" customFormat="false" ht="15" hidden="false" customHeight="false" outlineLevel="0" collapsed="false">
      <c r="A1160" s="9" t="s">
        <v>767</v>
      </c>
      <c r="B1160" s="9" t="s">
        <v>777</v>
      </c>
      <c r="C1160" s="9" t="n">
        <v>1</v>
      </c>
      <c r="D1160" s="10" t="n">
        <v>2.95</v>
      </c>
      <c r="E1160" s="10" t="n">
        <f aca="false">C1160*D1160</f>
        <v>2.95</v>
      </c>
    </row>
    <row r="1161" customFormat="false" ht="15" hidden="false" customHeight="false" outlineLevel="0" collapsed="false">
      <c r="A1161" s="9" t="s">
        <v>767</v>
      </c>
      <c r="B1161" s="9" t="s">
        <v>613</v>
      </c>
      <c r="C1161" s="9" t="n">
        <v>1</v>
      </c>
      <c r="D1161" s="10" t="n">
        <v>12.75</v>
      </c>
      <c r="E1161" s="10" t="n">
        <f aca="false">C1161*D1161</f>
        <v>12.75</v>
      </c>
    </row>
    <row r="1162" customFormat="false" ht="15" hidden="false" customHeight="false" outlineLevel="0" collapsed="false">
      <c r="A1162" s="9" t="s">
        <v>767</v>
      </c>
      <c r="B1162" s="9" t="s">
        <v>778</v>
      </c>
      <c r="C1162" s="9" t="n">
        <v>1</v>
      </c>
      <c r="D1162" s="10" t="n">
        <v>9.95</v>
      </c>
      <c r="E1162" s="10" t="n">
        <f aca="false">C1162*D1162</f>
        <v>9.95</v>
      </c>
    </row>
    <row r="1163" customFormat="false" ht="15" hidden="false" customHeight="false" outlineLevel="0" collapsed="false">
      <c r="A1163" s="9" t="s">
        <v>767</v>
      </c>
      <c r="B1163" s="9" t="s">
        <v>215</v>
      </c>
      <c r="C1163" s="9" t="n">
        <v>1</v>
      </c>
      <c r="D1163" s="10" t="n">
        <v>8.5</v>
      </c>
      <c r="E1163" s="10" t="n">
        <f aca="false">C1163*D1163</f>
        <v>8.5</v>
      </c>
    </row>
    <row r="1164" customFormat="false" ht="15" hidden="false" customHeight="false" outlineLevel="0" collapsed="false">
      <c r="A1164" s="9" t="s">
        <v>767</v>
      </c>
      <c r="B1164" s="9" t="s">
        <v>95</v>
      </c>
      <c r="C1164" s="9" t="n">
        <v>24</v>
      </c>
      <c r="D1164" s="10" t="n">
        <v>1.25</v>
      </c>
      <c r="E1164" s="10" t="n">
        <f aca="false">C1164*D1164</f>
        <v>30</v>
      </c>
    </row>
    <row r="1165" customFormat="false" ht="15" hidden="false" customHeight="false" outlineLevel="0" collapsed="false">
      <c r="A1165" s="9" t="s">
        <v>767</v>
      </c>
      <c r="B1165" s="9" t="s">
        <v>717</v>
      </c>
      <c r="C1165" s="9" t="n">
        <v>4</v>
      </c>
      <c r="D1165" s="10" t="n">
        <v>2.95</v>
      </c>
      <c r="E1165" s="10" t="n">
        <f aca="false">C1165*D1165</f>
        <v>11.8</v>
      </c>
    </row>
    <row r="1166" customFormat="false" ht="15" hidden="false" customHeight="false" outlineLevel="0" collapsed="false">
      <c r="A1166" s="9" t="s">
        <v>767</v>
      </c>
      <c r="B1166" s="9" t="s">
        <v>779</v>
      </c>
      <c r="C1166" s="9" t="n">
        <v>1</v>
      </c>
      <c r="D1166" s="10" t="n">
        <v>6.95</v>
      </c>
      <c r="E1166" s="10" t="n">
        <f aca="false">C1166*D1166</f>
        <v>6.95</v>
      </c>
    </row>
    <row r="1167" customFormat="false" ht="15" hidden="false" customHeight="false" outlineLevel="0" collapsed="false">
      <c r="A1167" s="9" t="s">
        <v>767</v>
      </c>
      <c r="B1167" s="9" t="s">
        <v>780</v>
      </c>
      <c r="C1167" s="9" t="n">
        <v>1</v>
      </c>
      <c r="D1167" s="10" t="n">
        <v>2.95</v>
      </c>
      <c r="E1167" s="10" t="n">
        <f aca="false">C1167*D1167</f>
        <v>2.95</v>
      </c>
    </row>
    <row r="1168" customFormat="false" ht="15" hidden="false" customHeight="false" outlineLevel="0" collapsed="false">
      <c r="A1168" s="9" t="s">
        <v>767</v>
      </c>
      <c r="B1168" s="9" t="s">
        <v>164</v>
      </c>
      <c r="C1168" s="9" t="n">
        <v>1</v>
      </c>
      <c r="D1168" s="10" t="n">
        <v>19.95</v>
      </c>
      <c r="E1168" s="10" t="n">
        <f aca="false">C1168*D1168</f>
        <v>19.95</v>
      </c>
    </row>
    <row r="1169" customFormat="false" ht="15" hidden="false" customHeight="false" outlineLevel="0" collapsed="false">
      <c r="A1169" s="9" t="s">
        <v>781</v>
      </c>
      <c r="B1169" s="9" t="s">
        <v>84</v>
      </c>
      <c r="C1169" s="9" t="n">
        <v>9</v>
      </c>
      <c r="D1169" s="10" t="n">
        <v>3.75</v>
      </c>
      <c r="E1169" s="10" t="n">
        <f aca="false">C1169*D1169</f>
        <v>33.75</v>
      </c>
    </row>
    <row r="1170" customFormat="false" ht="15" hidden="false" customHeight="false" outlineLevel="0" collapsed="false">
      <c r="A1170" s="9" t="s">
        <v>781</v>
      </c>
      <c r="B1170" s="9" t="s">
        <v>260</v>
      </c>
      <c r="C1170" s="9" t="n">
        <v>9</v>
      </c>
      <c r="D1170" s="10" t="n">
        <v>3.75</v>
      </c>
      <c r="E1170" s="10" t="n">
        <f aca="false">C1170*D1170</f>
        <v>33.75</v>
      </c>
    </row>
    <row r="1171" customFormat="false" ht="15" hidden="false" customHeight="false" outlineLevel="0" collapsed="false">
      <c r="A1171" s="9" t="s">
        <v>781</v>
      </c>
      <c r="B1171" s="9" t="s">
        <v>88</v>
      </c>
      <c r="C1171" s="9" t="n">
        <v>80</v>
      </c>
      <c r="D1171" s="10" t="n">
        <v>2.55</v>
      </c>
      <c r="E1171" s="10" t="n">
        <f aca="false">C1171*D1171</f>
        <v>204</v>
      </c>
    </row>
    <row r="1172" customFormat="false" ht="15" hidden="false" customHeight="false" outlineLevel="0" collapsed="false">
      <c r="A1172" s="9" t="s">
        <v>781</v>
      </c>
      <c r="B1172" s="9" t="s">
        <v>233</v>
      </c>
      <c r="C1172" s="9" t="n">
        <v>40</v>
      </c>
      <c r="D1172" s="10" t="n">
        <v>2.55</v>
      </c>
      <c r="E1172" s="10" t="n">
        <f aca="false">C1172*D1172</f>
        <v>102</v>
      </c>
    </row>
    <row r="1173" customFormat="false" ht="15" hidden="false" customHeight="false" outlineLevel="0" collapsed="false">
      <c r="A1173" s="9" t="s">
        <v>781</v>
      </c>
      <c r="B1173" s="9" t="s">
        <v>782</v>
      </c>
      <c r="C1173" s="9" t="n">
        <v>4</v>
      </c>
      <c r="D1173" s="10" t="n">
        <v>7.95</v>
      </c>
      <c r="E1173" s="10" t="n">
        <f aca="false">C1173*D1173</f>
        <v>31.8</v>
      </c>
    </row>
    <row r="1174" customFormat="false" ht="15" hidden="false" customHeight="false" outlineLevel="0" collapsed="false">
      <c r="A1174" s="9" t="s">
        <v>781</v>
      </c>
      <c r="B1174" s="9" t="s">
        <v>213</v>
      </c>
      <c r="C1174" s="9" t="n">
        <v>4</v>
      </c>
      <c r="D1174" s="10" t="n">
        <v>8.5</v>
      </c>
      <c r="E1174" s="10" t="n">
        <f aca="false">C1174*D1174</f>
        <v>34</v>
      </c>
    </row>
    <row r="1175" customFormat="false" ht="15" hidden="false" customHeight="false" outlineLevel="0" collapsed="false">
      <c r="A1175" s="9" t="s">
        <v>781</v>
      </c>
      <c r="B1175" s="9" t="s">
        <v>214</v>
      </c>
      <c r="C1175" s="9" t="n">
        <v>4</v>
      </c>
      <c r="D1175" s="10" t="n">
        <v>8.5</v>
      </c>
      <c r="E1175" s="10" t="n">
        <f aca="false">C1175*D1175</f>
        <v>34</v>
      </c>
    </row>
    <row r="1176" customFormat="false" ht="15" hidden="false" customHeight="false" outlineLevel="0" collapsed="false">
      <c r="A1176" s="9" t="s">
        <v>781</v>
      </c>
      <c r="B1176" s="9" t="s">
        <v>212</v>
      </c>
      <c r="C1176" s="9" t="n">
        <v>4</v>
      </c>
      <c r="D1176" s="10" t="n">
        <v>8.5</v>
      </c>
      <c r="E1176" s="10" t="n">
        <f aca="false">C1176*D1176</f>
        <v>34</v>
      </c>
    </row>
    <row r="1177" customFormat="false" ht="15" hidden="false" customHeight="false" outlineLevel="0" collapsed="false">
      <c r="A1177" s="9" t="s">
        <v>781</v>
      </c>
      <c r="B1177" s="9" t="s">
        <v>335</v>
      </c>
      <c r="C1177" s="9" t="n">
        <v>6</v>
      </c>
      <c r="D1177" s="10" t="n">
        <v>9.95</v>
      </c>
      <c r="E1177" s="10" t="n">
        <f aca="false">C1177*D1177</f>
        <v>59.7</v>
      </c>
    </row>
    <row r="1178" customFormat="false" ht="15" hidden="false" customHeight="false" outlineLevel="0" collapsed="false">
      <c r="A1178" s="9" t="s">
        <v>781</v>
      </c>
      <c r="B1178" s="9" t="s">
        <v>783</v>
      </c>
      <c r="C1178" s="9" t="n">
        <v>2</v>
      </c>
      <c r="D1178" s="10" t="n">
        <v>8.5</v>
      </c>
      <c r="E1178" s="10" t="n">
        <f aca="false">C1178*D1178</f>
        <v>17</v>
      </c>
    </row>
    <row r="1179" customFormat="false" ht="15" hidden="false" customHeight="false" outlineLevel="0" collapsed="false">
      <c r="A1179" s="9" t="s">
        <v>781</v>
      </c>
      <c r="B1179" s="9" t="s">
        <v>85</v>
      </c>
      <c r="C1179" s="9" t="n">
        <v>9</v>
      </c>
      <c r="D1179" s="10" t="n">
        <v>3.75</v>
      </c>
      <c r="E1179" s="10" t="n">
        <f aca="false">C1179*D1179</f>
        <v>33.75</v>
      </c>
    </row>
    <row r="1180" customFormat="false" ht="15" hidden="false" customHeight="false" outlineLevel="0" collapsed="false">
      <c r="A1180" s="9" t="s">
        <v>781</v>
      </c>
      <c r="B1180" s="9" t="s">
        <v>784</v>
      </c>
      <c r="C1180" s="9" t="n">
        <v>25</v>
      </c>
      <c r="D1180" s="10" t="n">
        <v>0.42</v>
      </c>
      <c r="E1180" s="10" t="n">
        <f aca="false">C1180*D1180</f>
        <v>10.5</v>
      </c>
    </row>
    <row r="1181" customFormat="false" ht="15" hidden="false" customHeight="false" outlineLevel="0" collapsed="false">
      <c r="A1181" s="9" t="s">
        <v>781</v>
      </c>
      <c r="B1181" s="9" t="s">
        <v>785</v>
      </c>
      <c r="C1181" s="9" t="n">
        <v>25</v>
      </c>
      <c r="D1181" s="10" t="n">
        <v>0.42</v>
      </c>
      <c r="E1181" s="10" t="n">
        <f aca="false">C1181*D1181</f>
        <v>10.5</v>
      </c>
    </row>
    <row r="1182" customFormat="false" ht="15" hidden="false" customHeight="false" outlineLevel="0" collapsed="false">
      <c r="A1182" s="9" t="s">
        <v>781</v>
      </c>
      <c r="B1182" s="9" t="s">
        <v>786</v>
      </c>
      <c r="C1182" s="9" t="n">
        <v>12</v>
      </c>
      <c r="D1182" s="10" t="n">
        <v>2.95</v>
      </c>
      <c r="E1182" s="10" t="n">
        <f aca="false">C1182*D1182</f>
        <v>35.4</v>
      </c>
    </row>
    <row r="1183" customFormat="false" ht="15" hidden="false" customHeight="false" outlineLevel="0" collapsed="false">
      <c r="A1183" s="9" t="s">
        <v>781</v>
      </c>
      <c r="B1183" s="9" t="s">
        <v>787</v>
      </c>
      <c r="C1183" s="9" t="n">
        <v>24</v>
      </c>
      <c r="D1183" s="10" t="n">
        <v>0.42</v>
      </c>
      <c r="E1183" s="10" t="n">
        <f aca="false">C1183*D1183</f>
        <v>10.08</v>
      </c>
    </row>
    <row r="1184" customFormat="false" ht="15" hidden="false" customHeight="false" outlineLevel="0" collapsed="false">
      <c r="A1184" s="9" t="s">
        <v>781</v>
      </c>
      <c r="B1184" s="9" t="s">
        <v>256</v>
      </c>
      <c r="C1184" s="9" t="n">
        <v>24</v>
      </c>
      <c r="D1184" s="10" t="n">
        <v>0.42</v>
      </c>
      <c r="E1184" s="10" t="n">
        <f aca="false">C1184*D1184</f>
        <v>10.08</v>
      </c>
    </row>
    <row r="1185" customFormat="false" ht="15" hidden="false" customHeight="false" outlineLevel="0" collapsed="false">
      <c r="A1185" s="9" t="s">
        <v>781</v>
      </c>
      <c r="B1185" s="9" t="s">
        <v>788</v>
      </c>
      <c r="C1185" s="9" t="n">
        <v>25</v>
      </c>
      <c r="D1185" s="10" t="n">
        <v>0.42</v>
      </c>
      <c r="E1185" s="10" t="n">
        <f aca="false">C1185*D1185</f>
        <v>10.5</v>
      </c>
    </row>
    <row r="1186" customFormat="false" ht="15" hidden="false" customHeight="false" outlineLevel="0" collapsed="false">
      <c r="A1186" s="9" t="s">
        <v>781</v>
      </c>
      <c r="B1186" s="9" t="s">
        <v>789</v>
      </c>
      <c r="C1186" s="9" t="n">
        <v>24</v>
      </c>
      <c r="D1186" s="10" t="n">
        <v>0.42</v>
      </c>
      <c r="E1186" s="10" t="n">
        <f aca="false">C1186*D1186</f>
        <v>10.08</v>
      </c>
    </row>
    <row r="1187" customFormat="false" ht="15" hidden="false" customHeight="false" outlineLevel="0" collapsed="false">
      <c r="A1187" s="9" t="s">
        <v>781</v>
      </c>
      <c r="B1187" s="9" t="s">
        <v>144</v>
      </c>
      <c r="C1187" s="9" t="n">
        <v>12</v>
      </c>
      <c r="D1187" s="10" t="n">
        <v>5.95</v>
      </c>
      <c r="E1187" s="10" t="n">
        <f aca="false">C1187*D1187</f>
        <v>71.4</v>
      </c>
    </row>
    <row r="1188" customFormat="false" ht="15" hidden="false" customHeight="false" outlineLevel="0" collapsed="false">
      <c r="A1188" s="9" t="s">
        <v>781</v>
      </c>
      <c r="B1188" s="9" t="s">
        <v>136</v>
      </c>
      <c r="C1188" s="9" t="n">
        <v>12</v>
      </c>
      <c r="D1188" s="10" t="n">
        <v>5.95</v>
      </c>
      <c r="E1188" s="10" t="n">
        <f aca="false">C1188*D1188</f>
        <v>71.4</v>
      </c>
    </row>
    <row r="1189" customFormat="false" ht="15" hidden="false" customHeight="false" outlineLevel="0" collapsed="false">
      <c r="A1189" s="9" t="s">
        <v>781</v>
      </c>
      <c r="B1189" s="9" t="s">
        <v>98</v>
      </c>
      <c r="C1189" s="9" t="n">
        <v>12</v>
      </c>
      <c r="D1189" s="10" t="n">
        <v>5.95</v>
      </c>
      <c r="E1189" s="10" t="n">
        <f aca="false">C1189*D1189</f>
        <v>71.4</v>
      </c>
    </row>
    <row r="1190" customFormat="false" ht="15" hidden="false" customHeight="false" outlineLevel="0" collapsed="false">
      <c r="A1190" s="9" t="s">
        <v>781</v>
      </c>
      <c r="B1190" s="9" t="s">
        <v>790</v>
      </c>
      <c r="C1190" s="9" t="n">
        <v>25</v>
      </c>
      <c r="D1190" s="10" t="n">
        <v>0.42</v>
      </c>
      <c r="E1190" s="10" t="n">
        <f aca="false">C1190*D1190</f>
        <v>10.5</v>
      </c>
    </row>
    <row r="1191" customFormat="false" ht="15" hidden="false" customHeight="false" outlineLevel="0" collapsed="false">
      <c r="A1191" s="9" t="s">
        <v>791</v>
      </c>
      <c r="B1191" s="9" t="s">
        <v>792</v>
      </c>
      <c r="C1191" s="9" t="n">
        <v>24</v>
      </c>
      <c r="D1191" s="10" t="n">
        <v>1.25</v>
      </c>
      <c r="E1191" s="10" t="n">
        <f aca="false">C1191*D1191</f>
        <v>30</v>
      </c>
    </row>
    <row r="1192" customFormat="false" ht="15" hidden="false" customHeight="false" outlineLevel="0" collapsed="false">
      <c r="A1192" s="9" t="s">
        <v>791</v>
      </c>
      <c r="B1192" s="9" t="s">
        <v>345</v>
      </c>
      <c r="C1192" s="9" t="n">
        <v>24</v>
      </c>
      <c r="D1192" s="10" t="n">
        <v>0.55</v>
      </c>
      <c r="E1192" s="10" t="n">
        <f aca="false">C1192*D1192</f>
        <v>13.2</v>
      </c>
    </row>
    <row r="1193" customFormat="false" ht="15" hidden="false" customHeight="false" outlineLevel="0" collapsed="false">
      <c r="A1193" s="9" t="s">
        <v>791</v>
      </c>
      <c r="B1193" s="9" t="s">
        <v>113</v>
      </c>
      <c r="C1193" s="9" t="n">
        <v>24</v>
      </c>
      <c r="D1193" s="10" t="n">
        <v>0.55</v>
      </c>
      <c r="E1193" s="10" t="n">
        <f aca="false">C1193*D1193</f>
        <v>13.2</v>
      </c>
    </row>
    <row r="1194" customFormat="false" ht="15" hidden="false" customHeight="false" outlineLevel="0" collapsed="false">
      <c r="A1194" s="9" t="s">
        <v>791</v>
      </c>
      <c r="B1194" s="9" t="s">
        <v>793</v>
      </c>
      <c r="C1194" s="9" t="n">
        <v>72</v>
      </c>
      <c r="D1194" s="10" t="n">
        <v>1.25</v>
      </c>
      <c r="E1194" s="10" t="n">
        <f aca="false">C1194*D1194</f>
        <v>90</v>
      </c>
    </row>
    <row r="1195" customFormat="false" ht="15" hidden="false" customHeight="false" outlineLevel="0" collapsed="false">
      <c r="A1195" s="9" t="s">
        <v>791</v>
      </c>
      <c r="B1195" s="9" t="s">
        <v>569</v>
      </c>
      <c r="C1195" s="9" t="n">
        <v>12</v>
      </c>
      <c r="D1195" s="10" t="n">
        <v>2.1</v>
      </c>
      <c r="E1195" s="10" t="n">
        <f aca="false">C1195*D1195</f>
        <v>25.2</v>
      </c>
    </row>
    <row r="1196" customFormat="false" ht="15" hidden="false" customHeight="false" outlineLevel="0" collapsed="false">
      <c r="A1196" s="9" t="s">
        <v>791</v>
      </c>
      <c r="B1196" s="9" t="s">
        <v>794</v>
      </c>
      <c r="C1196" s="9" t="n">
        <v>24</v>
      </c>
      <c r="D1196" s="10" t="n">
        <v>1.25</v>
      </c>
      <c r="E1196" s="10" t="n">
        <f aca="false">C1196*D1196</f>
        <v>30</v>
      </c>
    </row>
    <row r="1197" customFormat="false" ht="15" hidden="false" customHeight="false" outlineLevel="0" collapsed="false">
      <c r="A1197" s="9" t="s">
        <v>791</v>
      </c>
      <c r="B1197" s="9" t="s">
        <v>795</v>
      </c>
      <c r="C1197" s="9" t="n">
        <v>24</v>
      </c>
      <c r="D1197" s="10" t="n">
        <v>1.25</v>
      </c>
      <c r="E1197" s="10" t="n">
        <f aca="false">C1197*D1197</f>
        <v>30</v>
      </c>
    </row>
    <row r="1198" customFormat="false" ht="15" hidden="false" customHeight="false" outlineLevel="0" collapsed="false">
      <c r="A1198" s="9" t="s">
        <v>791</v>
      </c>
      <c r="B1198" s="9" t="s">
        <v>235</v>
      </c>
      <c r="C1198" s="9" t="n">
        <v>12</v>
      </c>
      <c r="D1198" s="10" t="n">
        <v>0.85</v>
      </c>
      <c r="E1198" s="10" t="n">
        <f aca="false">C1198*D1198</f>
        <v>10.2</v>
      </c>
    </row>
    <row r="1199" customFormat="false" ht="15" hidden="false" customHeight="false" outlineLevel="0" collapsed="false">
      <c r="A1199" s="9" t="s">
        <v>791</v>
      </c>
      <c r="B1199" s="9" t="s">
        <v>388</v>
      </c>
      <c r="C1199" s="9" t="n">
        <v>24</v>
      </c>
      <c r="D1199" s="10" t="n">
        <v>2.1</v>
      </c>
      <c r="E1199" s="10" t="n">
        <f aca="false">C1199*D1199</f>
        <v>50.4</v>
      </c>
    </row>
    <row r="1200" customFormat="false" ht="15" hidden="false" customHeight="false" outlineLevel="0" collapsed="false">
      <c r="A1200" s="9" t="s">
        <v>791</v>
      </c>
      <c r="B1200" s="9" t="s">
        <v>128</v>
      </c>
      <c r="C1200" s="9" t="n">
        <v>24</v>
      </c>
      <c r="D1200" s="10" t="n">
        <v>1.45</v>
      </c>
      <c r="E1200" s="10" t="n">
        <f aca="false">C1200*D1200</f>
        <v>34.8</v>
      </c>
    </row>
    <row r="1201" customFormat="false" ht="15" hidden="false" customHeight="false" outlineLevel="0" collapsed="false">
      <c r="A1201" s="9" t="s">
        <v>791</v>
      </c>
      <c r="B1201" s="9" t="s">
        <v>236</v>
      </c>
      <c r="C1201" s="9" t="n">
        <v>12</v>
      </c>
      <c r="D1201" s="10" t="n">
        <v>0.85</v>
      </c>
      <c r="E1201" s="10" t="n">
        <f aca="false">C1201*D1201</f>
        <v>10.2</v>
      </c>
    </row>
    <row r="1202" customFormat="false" ht="15" hidden="false" customHeight="false" outlineLevel="0" collapsed="false">
      <c r="A1202" s="9" t="s">
        <v>791</v>
      </c>
      <c r="B1202" s="9" t="s">
        <v>347</v>
      </c>
      <c r="C1202" s="9" t="n">
        <v>24</v>
      </c>
      <c r="D1202" s="10" t="n">
        <v>0.55</v>
      </c>
      <c r="E1202" s="10" t="n">
        <f aca="false">C1202*D1202</f>
        <v>13.2</v>
      </c>
    </row>
    <row r="1203" customFormat="false" ht="15" hidden="false" customHeight="false" outlineLevel="0" collapsed="false">
      <c r="A1203" s="9" t="s">
        <v>791</v>
      </c>
      <c r="B1203" s="9" t="s">
        <v>229</v>
      </c>
      <c r="C1203" s="9" t="n">
        <v>36</v>
      </c>
      <c r="D1203" s="10" t="n">
        <v>0.85</v>
      </c>
      <c r="E1203" s="10" t="n">
        <f aca="false">C1203*D1203</f>
        <v>30.6</v>
      </c>
    </row>
    <row r="1204" customFormat="false" ht="15" hidden="false" customHeight="false" outlineLevel="0" collapsed="false">
      <c r="A1204" s="9" t="s">
        <v>791</v>
      </c>
      <c r="B1204" s="9" t="s">
        <v>223</v>
      </c>
      <c r="C1204" s="9" t="n">
        <v>24</v>
      </c>
      <c r="D1204" s="10" t="n">
        <v>0.42</v>
      </c>
      <c r="E1204" s="10" t="n">
        <f aca="false">C1204*D1204</f>
        <v>10.08</v>
      </c>
    </row>
    <row r="1205" customFormat="false" ht="15" hidden="false" customHeight="false" outlineLevel="0" collapsed="false">
      <c r="A1205" s="9" t="s">
        <v>791</v>
      </c>
      <c r="B1205" s="9" t="s">
        <v>475</v>
      </c>
      <c r="C1205" s="9" t="n">
        <v>36</v>
      </c>
      <c r="D1205" s="10" t="n">
        <v>1.65</v>
      </c>
      <c r="E1205" s="10" t="n">
        <f aca="false">C1205*D1205</f>
        <v>59.4</v>
      </c>
    </row>
    <row r="1206" customFormat="false" ht="15" hidden="false" customHeight="false" outlineLevel="0" collapsed="false">
      <c r="A1206" s="9" t="s">
        <v>791</v>
      </c>
      <c r="B1206" s="9" t="s">
        <v>796</v>
      </c>
      <c r="C1206" s="9" t="n">
        <v>24</v>
      </c>
      <c r="D1206" s="10" t="n">
        <v>1.25</v>
      </c>
      <c r="E1206" s="10" t="n">
        <f aca="false">C1206*D1206</f>
        <v>30</v>
      </c>
    </row>
    <row r="1207" customFormat="false" ht="15" hidden="false" customHeight="false" outlineLevel="0" collapsed="false">
      <c r="A1207" s="9" t="s">
        <v>791</v>
      </c>
      <c r="B1207" s="9" t="s">
        <v>114</v>
      </c>
      <c r="C1207" s="9" t="n">
        <v>24</v>
      </c>
      <c r="D1207" s="10" t="n">
        <v>0.55</v>
      </c>
      <c r="E1207" s="10" t="n">
        <f aca="false">C1207*D1207</f>
        <v>13.2</v>
      </c>
    </row>
    <row r="1208" customFormat="false" ht="15" hidden="false" customHeight="false" outlineLevel="0" collapsed="false">
      <c r="A1208" s="9" t="s">
        <v>791</v>
      </c>
      <c r="B1208" s="9" t="s">
        <v>797</v>
      </c>
      <c r="C1208" s="9" t="n">
        <v>12</v>
      </c>
      <c r="D1208" s="10" t="n">
        <v>2.95</v>
      </c>
      <c r="E1208" s="10" t="n">
        <f aca="false">C1208*D1208</f>
        <v>35.4</v>
      </c>
    </row>
    <row r="1209" customFormat="false" ht="15" hidden="false" customHeight="false" outlineLevel="0" collapsed="false">
      <c r="A1209" s="9" t="s">
        <v>791</v>
      </c>
      <c r="B1209" s="9" t="s">
        <v>230</v>
      </c>
      <c r="C1209" s="9" t="n">
        <v>48</v>
      </c>
      <c r="D1209" s="10" t="n">
        <v>1.65</v>
      </c>
      <c r="E1209" s="10" t="n">
        <f aca="false">C1209*D1209</f>
        <v>79.2</v>
      </c>
    </row>
    <row r="1210" customFormat="false" ht="15" hidden="false" customHeight="false" outlineLevel="0" collapsed="false">
      <c r="A1210" s="9" t="s">
        <v>791</v>
      </c>
      <c r="B1210" s="9" t="s">
        <v>592</v>
      </c>
      <c r="C1210" s="9" t="n">
        <v>12</v>
      </c>
      <c r="D1210" s="10" t="n">
        <v>3.25</v>
      </c>
      <c r="E1210" s="10" t="n">
        <f aca="false">C1210*D1210</f>
        <v>39</v>
      </c>
    </row>
    <row r="1211" customFormat="false" ht="15" hidden="false" customHeight="false" outlineLevel="0" collapsed="false">
      <c r="A1211" s="9" t="s">
        <v>791</v>
      </c>
      <c r="B1211" s="9" t="s">
        <v>798</v>
      </c>
      <c r="C1211" s="9" t="n">
        <v>6</v>
      </c>
      <c r="D1211" s="10" t="n">
        <v>6.75</v>
      </c>
      <c r="E1211" s="10" t="n">
        <f aca="false">C1211*D1211</f>
        <v>40.5</v>
      </c>
    </row>
    <row r="1212" customFormat="false" ht="15" hidden="false" customHeight="false" outlineLevel="0" collapsed="false">
      <c r="A1212" s="9" t="s">
        <v>791</v>
      </c>
      <c r="B1212" s="9" t="s">
        <v>390</v>
      </c>
      <c r="C1212" s="9" t="n">
        <v>2</v>
      </c>
      <c r="D1212" s="10" t="n">
        <v>7.95</v>
      </c>
      <c r="E1212" s="10" t="n">
        <f aca="false">C1212*D1212</f>
        <v>15.9</v>
      </c>
    </row>
    <row r="1213" customFormat="false" ht="15" hidden="false" customHeight="false" outlineLevel="0" collapsed="false">
      <c r="A1213" s="9" t="s">
        <v>791</v>
      </c>
      <c r="B1213" s="9" t="s">
        <v>104</v>
      </c>
      <c r="C1213" s="9" t="n">
        <v>6</v>
      </c>
      <c r="D1213" s="10" t="n">
        <v>2.95</v>
      </c>
      <c r="E1213" s="10" t="n">
        <f aca="false">C1213*D1213</f>
        <v>17.7</v>
      </c>
    </row>
    <row r="1214" customFormat="false" ht="15" hidden="false" customHeight="false" outlineLevel="0" collapsed="false">
      <c r="A1214" s="9" t="s">
        <v>791</v>
      </c>
      <c r="B1214" s="9" t="s">
        <v>799</v>
      </c>
      <c r="C1214" s="9" t="n">
        <v>24</v>
      </c>
      <c r="D1214" s="10" t="n">
        <v>2.1</v>
      </c>
      <c r="E1214" s="10" t="n">
        <f aca="false">C1214*D1214</f>
        <v>50.4</v>
      </c>
    </row>
    <row r="1215" customFormat="false" ht="15" hidden="false" customHeight="false" outlineLevel="0" collapsed="false">
      <c r="A1215" s="9" t="s">
        <v>791</v>
      </c>
      <c r="B1215" s="9" t="s">
        <v>252</v>
      </c>
      <c r="C1215" s="9" t="n">
        <v>24</v>
      </c>
      <c r="D1215" s="10" t="n">
        <v>2.1</v>
      </c>
      <c r="E1215" s="10" t="n">
        <f aca="false">C1215*D1215</f>
        <v>50.4</v>
      </c>
    </row>
    <row r="1216" customFormat="false" ht="15" hidden="false" customHeight="false" outlineLevel="0" collapsed="false">
      <c r="A1216" s="9" t="s">
        <v>791</v>
      </c>
      <c r="B1216" s="9" t="s">
        <v>158</v>
      </c>
      <c r="C1216" s="9" t="n">
        <v>12</v>
      </c>
      <c r="D1216" s="10" t="n">
        <v>1.95</v>
      </c>
      <c r="E1216" s="10" t="n">
        <f aca="false">C1216*D1216</f>
        <v>23.4</v>
      </c>
    </row>
    <row r="1217" customFormat="false" ht="15" hidden="false" customHeight="false" outlineLevel="0" collapsed="false">
      <c r="A1217" s="9" t="s">
        <v>791</v>
      </c>
      <c r="B1217" s="9" t="s">
        <v>326</v>
      </c>
      <c r="C1217" s="9" t="n">
        <v>12</v>
      </c>
      <c r="D1217" s="10" t="n">
        <v>2.55</v>
      </c>
      <c r="E1217" s="10" t="n">
        <f aca="false">C1217*D1217</f>
        <v>30.6</v>
      </c>
    </row>
    <row r="1218" customFormat="false" ht="15" hidden="false" customHeight="false" outlineLevel="0" collapsed="false">
      <c r="A1218" s="9" t="s">
        <v>791</v>
      </c>
      <c r="B1218" s="9" t="s">
        <v>800</v>
      </c>
      <c r="C1218" s="9" t="n">
        <v>24</v>
      </c>
      <c r="D1218" s="10" t="n">
        <v>1.25</v>
      </c>
      <c r="E1218" s="10" t="n">
        <f aca="false">C1218*D1218</f>
        <v>30</v>
      </c>
    </row>
    <row r="1219" customFormat="false" ht="15" hidden="false" customHeight="false" outlineLevel="0" collapsed="false">
      <c r="A1219" s="9" t="s">
        <v>791</v>
      </c>
      <c r="B1219" s="9" t="s">
        <v>250</v>
      </c>
      <c r="C1219" s="9" t="n">
        <v>24</v>
      </c>
      <c r="D1219" s="10" t="n">
        <v>1.49</v>
      </c>
      <c r="E1219" s="10" t="n">
        <f aca="false">C1219*D1219</f>
        <v>35.76</v>
      </c>
    </row>
    <row r="1220" customFormat="false" ht="15" hidden="false" customHeight="false" outlineLevel="0" collapsed="false">
      <c r="A1220" s="9" t="s">
        <v>791</v>
      </c>
      <c r="B1220" s="9" t="s">
        <v>801</v>
      </c>
      <c r="C1220" s="9" t="n">
        <v>12</v>
      </c>
      <c r="D1220" s="10" t="n">
        <v>2.95</v>
      </c>
      <c r="E1220" s="10" t="n">
        <f aca="false">C1220*D1220</f>
        <v>35.4</v>
      </c>
    </row>
    <row r="1221" customFormat="false" ht="15" hidden="false" customHeight="false" outlineLevel="0" collapsed="false">
      <c r="A1221" s="9" t="s">
        <v>791</v>
      </c>
      <c r="B1221" s="9" t="s">
        <v>802</v>
      </c>
      <c r="C1221" s="9" t="n">
        <v>12</v>
      </c>
      <c r="D1221" s="10" t="n">
        <v>2.95</v>
      </c>
      <c r="E1221" s="10" t="n">
        <f aca="false">C1221*D1221</f>
        <v>35.4</v>
      </c>
    </row>
    <row r="1222" customFormat="false" ht="15" hidden="false" customHeight="false" outlineLevel="0" collapsed="false">
      <c r="A1222" s="9" t="s">
        <v>791</v>
      </c>
      <c r="B1222" s="9" t="s">
        <v>803</v>
      </c>
      <c r="C1222" s="9" t="n">
        <v>48</v>
      </c>
      <c r="D1222" s="10" t="n">
        <v>0.29</v>
      </c>
      <c r="E1222" s="10" t="n">
        <f aca="false">C1222*D1222</f>
        <v>13.92</v>
      </c>
    </row>
    <row r="1223" customFormat="false" ht="15" hidden="false" customHeight="false" outlineLevel="0" collapsed="false">
      <c r="A1223" s="9" t="s">
        <v>791</v>
      </c>
      <c r="B1223" s="9" t="s">
        <v>804</v>
      </c>
      <c r="C1223" s="9" t="n">
        <v>12</v>
      </c>
      <c r="D1223" s="10" t="n">
        <v>1.25</v>
      </c>
      <c r="E1223" s="10" t="n">
        <f aca="false">C1223*D1223</f>
        <v>15</v>
      </c>
    </row>
    <row r="1224" customFormat="false" ht="15" hidden="false" customHeight="false" outlineLevel="0" collapsed="false">
      <c r="A1224" s="9" t="s">
        <v>791</v>
      </c>
      <c r="B1224" s="9" t="s">
        <v>231</v>
      </c>
      <c r="C1224" s="9" t="n">
        <v>72</v>
      </c>
      <c r="D1224" s="10" t="n">
        <v>0.85</v>
      </c>
      <c r="E1224" s="10" t="n">
        <f aca="false">C1224*D1224</f>
        <v>61.2</v>
      </c>
    </row>
    <row r="1225" customFormat="false" ht="15" hidden="false" customHeight="false" outlineLevel="0" collapsed="false">
      <c r="A1225" s="9" t="s">
        <v>791</v>
      </c>
      <c r="B1225" s="9" t="s">
        <v>116</v>
      </c>
      <c r="C1225" s="9" t="n">
        <v>24</v>
      </c>
      <c r="D1225" s="10" t="n">
        <v>0.55</v>
      </c>
      <c r="E1225" s="10" t="n">
        <f aca="false">C1225*D1225</f>
        <v>13.2</v>
      </c>
    </row>
    <row r="1226" customFormat="false" ht="15" hidden="false" customHeight="false" outlineLevel="0" collapsed="false">
      <c r="A1226" s="9" t="s">
        <v>791</v>
      </c>
      <c r="B1226" s="9" t="s">
        <v>805</v>
      </c>
      <c r="C1226" s="9" t="n">
        <v>12</v>
      </c>
      <c r="D1226" s="10" t="n">
        <v>1.25</v>
      </c>
      <c r="E1226" s="10" t="n">
        <f aca="false">C1226*D1226</f>
        <v>15</v>
      </c>
    </row>
    <row r="1227" customFormat="false" ht="15" hidden="false" customHeight="false" outlineLevel="0" collapsed="false">
      <c r="A1227" s="9" t="s">
        <v>791</v>
      </c>
      <c r="B1227" s="9" t="s">
        <v>806</v>
      </c>
      <c r="C1227" s="9" t="n">
        <v>24</v>
      </c>
      <c r="D1227" s="10" t="n">
        <v>1.25</v>
      </c>
      <c r="E1227" s="10" t="n">
        <f aca="false">C1227*D1227</f>
        <v>30</v>
      </c>
    </row>
    <row r="1228" customFormat="false" ht="15" hidden="false" customHeight="false" outlineLevel="0" collapsed="false">
      <c r="A1228" s="9" t="s">
        <v>791</v>
      </c>
      <c r="B1228" s="9" t="s">
        <v>807</v>
      </c>
      <c r="C1228" s="9" t="n">
        <v>48</v>
      </c>
      <c r="D1228" s="10" t="n">
        <v>0.29</v>
      </c>
      <c r="E1228" s="10" t="n">
        <f aca="false">C1228*D1228</f>
        <v>13.92</v>
      </c>
    </row>
    <row r="1229" customFormat="false" ht="15" hidden="false" customHeight="false" outlineLevel="0" collapsed="false">
      <c r="A1229" s="9" t="s">
        <v>791</v>
      </c>
      <c r="B1229" s="9" t="s">
        <v>478</v>
      </c>
      <c r="C1229" s="9" t="n">
        <v>24</v>
      </c>
      <c r="D1229" s="10" t="n">
        <v>0.42</v>
      </c>
      <c r="E1229" s="10" t="n">
        <f aca="false">C1229*D1229</f>
        <v>10.08</v>
      </c>
    </row>
    <row r="1230" customFormat="false" ht="15" hidden="false" customHeight="false" outlineLevel="0" collapsed="false">
      <c r="A1230" s="9" t="s">
        <v>791</v>
      </c>
      <c r="B1230" s="9" t="s">
        <v>808</v>
      </c>
      <c r="C1230" s="9" t="n">
        <v>24</v>
      </c>
      <c r="D1230" s="10" t="n">
        <v>0.42</v>
      </c>
      <c r="E1230" s="10" t="n">
        <f aca="false">C1230*D1230</f>
        <v>10.08</v>
      </c>
    </row>
    <row r="1231" customFormat="false" ht="15" hidden="false" customHeight="false" outlineLevel="0" collapsed="false">
      <c r="A1231" s="9" t="s">
        <v>791</v>
      </c>
      <c r="B1231" s="9" t="s">
        <v>71</v>
      </c>
      <c r="C1231" s="9" t="n">
        <v>24</v>
      </c>
      <c r="D1231" s="10" t="n">
        <v>0.42</v>
      </c>
      <c r="E1231" s="10" t="n">
        <f aca="false">C1231*D1231</f>
        <v>10.08</v>
      </c>
    </row>
    <row r="1232" customFormat="false" ht="15" hidden="false" customHeight="false" outlineLevel="0" collapsed="false">
      <c r="A1232" s="9" t="s">
        <v>791</v>
      </c>
      <c r="B1232" s="9" t="s">
        <v>809</v>
      </c>
      <c r="C1232" s="9" t="n">
        <v>24</v>
      </c>
      <c r="D1232" s="10" t="n">
        <v>0.42</v>
      </c>
      <c r="E1232" s="10" t="n">
        <f aca="false">C1232*D1232</f>
        <v>10.08</v>
      </c>
    </row>
    <row r="1233" customFormat="false" ht="15" hidden="false" customHeight="false" outlineLevel="0" collapsed="false">
      <c r="A1233" s="9" t="s">
        <v>791</v>
      </c>
      <c r="B1233" s="9" t="s">
        <v>70</v>
      </c>
      <c r="C1233" s="9" t="n">
        <v>24</v>
      </c>
      <c r="D1233" s="10" t="n">
        <v>0.42</v>
      </c>
      <c r="E1233" s="10" t="n">
        <f aca="false">C1233*D1233</f>
        <v>10.08</v>
      </c>
    </row>
    <row r="1234" customFormat="false" ht="15" hidden="false" customHeight="false" outlineLevel="0" collapsed="false">
      <c r="A1234" s="9" t="s">
        <v>791</v>
      </c>
      <c r="B1234" s="9" t="s">
        <v>476</v>
      </c>
      <c r="C1234" s="9" t="n">
        <v>24</v>
      </c>
      <c r="D1234" s="10" t="n">
        <v>1.65</v>
      </c>
      <c r="E1234" s="10" t="n">
        <f aca="false">C1234*D1234</f>
        <v>39.6</v>
      </c>
    </row>
    <row r="1235" customFormat="false" ht="15" hidden="false" customHeight="false" outlineLevel="0" collapsed="false">
      <c r="A1235" s="9" t="s">
        <v>791</v>
      </c>
      <c r="B1235" s="9" t="s">
        <v>379</v>
      </c>
      <c r="C1235" s="9" t="n">
        <v>24</v>
      </c>
      <c r="D1235" s="10" t="n">
        <v>1.65</v>
      </c>
      <c r="E1235" s="10" t="n">
        <f aca="false">C1235*D1235</f>
        <v>39.6</v>
      </c>
    </row>
    <row r="1236" customFormat="false" ht="15" hidden="false" customHeight="false" outlineLevel="0" collapsed="false">
      <c r="A1236" s="9" t="s">
        <v>791</v>
      </c>
      <c r="B1236" s="9" t="s">
        <v>477</v>
      </c>
      <c r="C1236" s="9" t="n">
        <v>24</v>
      </c>
      <c r="D1236" s="10" t="n">
        <v>1.65</v>
      </c>
      <c r="E1236" s="10" t="n">
        <f aca="false">C1236*D1236</f>
        <v>39.6</v>
      </c>
    </row>
    <row r="1237" customFormat="false" ht="15" hidden="false" customHeight="false" outlineLevel="0" collapsed="false">
      <c r="A1237" s="9" t="s">
        <v>791</v>
      </c>
      <c r="B1237" s="9" t="s">
        <v>810</v>
      </c>
      <c r="C1237" s="9" t="n">
        <v>36</v>
      </c>
      <c r="D1237" s="10" t="n">
        <v>1.65</v>
      </c>
      <c r="E1237" s="10" t="n">
        <f aca="false">C1237*D1237</f>
        <v>59.4</v>
      </c>
    </row>
    <row r="1238" customFormat="false" ht="15" hidden="false" customHeight="false" outlineLevel="0" collapsed="false">
      <c r="A1238" s="9" t="s">
        <v>791</v>
      </c>
      <c r="B1238" s="9" t="s">
        <v>811</v>
      </c>
      <c r="C1238" s="9" t="n">
        <v>24</v>
      </c>
      <c r="D1238" s="10" t="n">
        <v>1.65</v>
      </c>
      <c r="E1238" s="10" t="n">
        <f aca="false">C1238*D1238</f>
        <v>39.6</v>
      </c>
    </row>
    <row r="1239" customFormat="false" ht="15" hidden="false" customHeight="false" outlineLevel="0" collapsed="false">
      <c r="A1239" s="9" t="s">
        <v>791</v>
      </c>
      <c r="B1239" s="9" t="s">
        <v>538</v>
      </c>
      <c r="C1239" s="9" t="n">
        <v>8</v>
      </c>
      <c r="D1239" s="10" t="n">
        <v>1.95</v>
      </c>
      <c r="E1239" s="10" t="n">
        <f aca="false">C1239*D1239</f>
        <v>15.6</v>
      </c>
    </row>
    <row r="1240" customFormat="false" ht="15" hidden="false" customHeight="false" outlineLevel="0" collapsed="false">
      <c r="A1240" s="9" t="s">
        <v>791</v>
      </c>
      <c r="B1240" s="9" t="s">
        <v>486</v>
      </c>
      <c r="C1240" s="9" t="n">
        <v>8</v>
      </c>
      <c r="D1240" s="10" t="n">
        <v>2.1</v>
      </c>
      <c r="E1240" s="10" t="n">
        <f aca="false">C1240*D1240</f>
        <v>16.8</v>
      </c>
    </row>
    <row r="1241" customFormat="false" ht="15" hidden="false" customHeight="false" outlineLevel="0" collapsed="false">
      <c r="A1241" s="9" t="s">
        <v>791</v>
      </c>
      <c r="B1241" s="9" t="s">
        <v>812</v>
      </c>
      <c r="C1241" s="9" t="n">
        <v>96</v>
      </c>
      <c r="D1241" s="10" t="n">
        <v>1.06</v>
      </c>
      <c r="E1241" s="10" t="n">
        <f aca="false">C1241*D1241</f>
        <v>101.76</v>
      </c>
    </row>
    <row r="1242" customFormat="false" ht="15" hidden="false" customHeight="false" outlineLevel="0" collapsed="false">
      <c r="A1242" s="9" t="s">
        <v>791</v>
      </c>
      <c r="B1242" s="9" t="s">
        <v>813</v>
      </c>
      <c r="C1242" s="9" t="n">
        <v>50</v>
      </c>
      <c r="D1242" s="10" t="n">
        <v>0.42</v>
      </c>
      <c r="E1242" s="10" t="n">
        <f aca="false">C1242*D1242</f>
        <v>21</v>
      </c>
    </row>
    <row r="1243" customFormat="false" ht="15" hidden="false" customHeight="false" outlineLevel="0" collapsed="false">
      <c r="A1243" s="9" t="s">
        <v>791</v>
      </c>
      <c r="B1243" s="9" t="s">
        <v>814</v>
      </c>
      <c r="C1243" s="9" t="n">
        <v>12</v>
      </c>
      <c r="D1243" s="10" t="n">
        <v>1.25</v>
      </c>
      <c r="E1243" s="10" t="n">
        <f aca="false">C1243*D1243</f>
        <v>15</v>
      </c>
    </row>
    <row r="1244" customFormat="false" ht="15" hidden="false" customHeight="false" outlineLevel="0" collapsed="false">
      <c r="A1244" s="9" t="s">
        <v>791</v>
      </c>
      <c r="B1244" s="9" t="s">
        <v>480</v>
      </c>
      <c r="C1244" s="9" t="n">
        <v>24</v>
      </c>
      <c r="D1244" s="10" t="n">
        <v>0.42</v>
      </c>
      <c r="E1244" s="10" t="n">
        <f aca="false">C1244*D1244</f>
        <v>10.08</v>
      </c>
    </row>
    <row r="1245" customFormat="false" ht="15" hidden="false" customHeight="false" outlineLevel="0" collapsed="false">
      <c r="A1245" s="9" t="s">
        <v>791</v>
      </c>
      <c r="B1245" s="9" t="s">
        <v>427</v>
      </c>
      <c r="C1245" s="9" t="n">
        <v>24</v>
      </c>
      <c r="D1245" s="10" t="n">
        <v>0.42</v>
      </c>
      <c r="E1245" s="10" t="n">
        <f aca="false">C1245*D1245</f>
        <v>10.08</v>
      </c>
    </row>
    <row r="1246" customFormat="false" ht="15" hidden="false" customHeight="false" outlineLevel="0" collapsed="false">
      <c r="A1246" s="9" t="s">
        <v>791</v>
      </c>
      <c r="B1246" s="9" t="s">
        <v>815</v>
      </c>
      <c r="C1246" s="9" t="n">
        <v>24</v>
      </c>
      <c r="D1246" s="10" t="n">
        <v>0.42</v>
      </c>
      <c r="E1246" s="10" t="n">
        <f aca="false">C1246*D1246</f>
        <v>10.08</v>
      </c>
    </row>
    <row r="1247" customFormat="false" ht="15" hidden="false" customHeight="false" outlineLevel="0" collapsed="false">
      <c r="A1247" s="9" t="s">
        <v>791</v>
      </c>
      <c r="B1247" s="9" t="s">
        <v>816</v>
      </c>
      <c r="C1247" s="9" t="n">
        <v>24</v>
      </c>
      <c r="D1247" s="10" t="n">
        <v>0.42</v>
      </c>
      <c r="E1247" s="10" t="n">
        <f aca="false">C1247*D1247</f>
        <v>10.08</v>
      </c>
    </row>
    <row r="1248" customFormat="false" ht="15" hidden="false" customHeight="false" outlineLevel="0" collapsed="false">
      <c r="A1248" s="9" t="s">
        <v>791</v>
      </c>
      <c r="B1248" s="9" t="s">
        <v>817</v>
      </c>
      <c r="C1248" s="9" t="n">
        <v>24</v>
      </c>
      <c r="D1248" s="10" t="n">
        <v>1.65</v>
      </c>
      <c r="E1248" s="10" t="n">
        <f aca="false">C1248*D1248</f>
        <v>39.6</v>
      </c>
    </row>
    <row r="1249" customFormat="false" ht="15" hidden="false" customHeight="false" outlineLevel="0" collapsed="false">
      <c r="A1249" s="9" t="s">
        <v>791</v>
      </c>
      <c r="B1249" s="9" t="s">
        <v>818</v>
      </c>
      <c r="C1249" s="9" t="n">
        <v>48</v>
      </c>
      <c r="D1249" s="10" t="n">
        <v>0.29</v>
      </c>
      <c r="E1249" s="10" t="n">
        <f aca="false">C1249*D1249</f>
        <v>13.92</v>
      </c>
    </row>
    <row r="1250" customFormat="false" ht="15" hidden="false" customHeight="false" outlineLevel="0" collapsed="false">
      <c r="A1250" s="9" t="s">
        <v>791</v>
      </c>
      <c r="B1250" s="9" t="s">
        <v>819</v>
      </c>
      <c r="C1250" s="9" t="n">
        <v>48</v>
      </c>
      <c r="D1250" s="10" t="n">
        <v>0.29</v>
      </c>
      <c r="E1250" s="10" t="n">
        <f aca="false">C1250*D1250</f>
        <v>13.92</v>
      </c>
    </row>
    <row r="1251" customFormat="false" ht="15" hidden="false" customHeight="false" outlineLevel="0" collapsed="false">
      <c r="A1251" s="9" t="s">
        <v>791</v>
      </c>
      <c r="B1251" s="9" t="s">
        <v>651</v>
      </c>
      <c r="C1251" s="9" t="n">
        <v>12</v>
      </c>
      <c r="D1251" s="10" t="n">
        <v>1.25</v>
      </c>
      <c r="E1251" s="10" t="n">
        <f aca="false">C1251*D1251</f>
        <v>15</v>
      </c>
    </row>
    <row r="1252" customFormat="false" ht="15" hidden="false" customHeight="false" outlineLevel="0" collapsed="false">
      <c r="A1252" s="9" t="s">
        <v>791</v>
      </c>
      <c r="B1252" s="9" t="s">
        <v>820</v>
      </c>
      <c r="C1252" s="9" t="n">
        <v>48</v>
      </c>
      <c r="D1252" s="10" t="n">
        <v>0.29</v>
      </c>
      <c r="E1252" s="10" t="n">
        <f aca="false">C1252*D1252</f>
        <v>13.92</v>
      </c>
    </row>
    <row r="1253" customFormat="false" ht="15" hidden="false" customHeight="false" outlineLevel="0" collapsed="false">
      <c r="A1253" s="9" t="s">
        <v>791</v>
      </c>
      <c r="B1253" s="9" t="s">
        <v>821</v>
      </c>
      <c r="C1253" s="9" t="n">
        <v>48</v>
      </c>
      <c r="D1253" s="10" t="n">
        <v>0.29</v>
      </c>
      <c r="E1253" s="10" t="n">
        <f aca="false">C1253*D1253</f>
        <v>13.92</v>
      </c>
    </row>
    <row r="1254" customFormat="false" ht="15" hidden="false" customHeight="false" outlineLevel="0" collapsed="false">
      <c r="A1254" s="9" t="s">
        <v>791</v>
      </c>
      <c r="B1254" s="9" t="s">
        <v>822</v>
      </c>
      <c r="C1254" s="9" t="n">
        <v>48</v>
      </c>
      <c r="D1254" s="10" t="n">
        <v>0.29</v>
      </c>
      <c r="E1254" s="10" t="n">
        <f aca="false">C1254*D1254</f>
        <v>13.92</v>
      </c>
    </row>
    <row r="1255" customFormat="false" ht="15" hidden="false" customHeight="false" outlineLevel="0" collapsed="false">
      <c r="A1255" s="9" t="s">
        <v>791</v>
      </c>
      <c r="B1255" s="9" t="s">
        <v>105</v>
      </c>
      <c r="C1255" s="9" t="n">
        <v>8</v>
      </c>
      <c r="D1255" s="10" t="n">
        <v>3.95</v>
      </c>
      <c r="E1255" s="10" t="n">
        <f aca="false">C1255*D1255</f>
        <v>31.6</v>
      </c>
    </row>
    <row r="1256" customFormat="false" ht="15" hidden="false" customHeight="false" outlineLevel="0" collapsed="false">
      <c r="A1256" s="9" t="s">
        <v>791</v>
      </c>
      <c r="B1256" s="9" t="s">
        <v>279</v>
      </c>
      <c r="C1256" s="9" t="n">
        <v>48</v>
      </c>
      <c r="D1256" s="10" t="n">
        <v>0.29</v>
      </c>
      <c r="E1256" s="10" t="n">
        <f aca="false">C1256*D1256</f>
        <v>13.92</v>
      </c>
    </row>
    <row r="1257" customFormat="false" ht="15" hidden="false" customHeight="false" outlineLevel="0" collapsed="false">
      <c r="A1257" s="9" t="s">
        <v>791</v>
      </c>
      <c r="B1257" s="9" t="s">
        <v>46</v>
      </c>
      <c r="C1257" s="9" t="n">
        <v>12</v>
      </c>
      <c r="D1257" s="10" t="n">
        <v>2.1</v>
      </c>
      <c r="E1257" s="10" t="n">
        <f aca="false">C1257*D1257</f>
        <v>25.2</v>
      </c>
    </row>
    <row r="1258" customFormat="false" ht="15" hidden="false" customHeight="false" outlineLevel="0" collapsed="false">
      <c r="A1258" s="9" t="s">
        <v>791</v>
      </c>
      <c r="B1258" s="9" t="s">
        <v>254</v>
      </c>
      <c r="C1258" s="9" t="n">
        <v>12</v>
      </c>
      <c r="D1258" s="10" t="n">
        <v>2.1</v>
      </c>
      <c r="E1258" s="10" t="n">
        <f aca="false">C1258*D1258</f>
        <v>25.2</v>
      </c>
    </row>
    <row r="1259" customFormat="false" ht="15" hidden="false" customHeight="false" outlineLevel="0" collapsed="false">
      <c r="A1259" s="9" t="s">
        <v>791</v>
      </c>
      <c r="B1259" s="9" t="s">
        <v>369</v>
      </c>
      <c r="C1259" s="9" t="n">
        <v>12</v>
      </c>
      <c r="D1259" s="10" t="n">
        <v>0.42</v>
      </c>
      <c r="E1259" s="10" t="n">
        <f aca="false">C1259*D1259</f>
        <v>5.04</v>
      </c>
    </row>
    <row r="1260" customFormat="false" ht="15" hidden="false" customHeight="false" outlineLevel="0" collapsed="false">
      <c r="A1260" s="9" t="s">
        <v>791</v>
      </c>
      <c r="B1260" s="9" t="s">
        <v>256</v>
      </c>
      <c r="C1260" s="9" t="n">
        <v>12</v>
      </c>
      <c r="D1260" s="10" t="n">
        <v>0.42</v>
      </c>
      <c r="E1260" s="10" t="n">
        <f aca="false">C1260*D1260</f>
        <v>5.04</v>
      </c>
    </row>
    <row r="1261" customFormat="false" ht="15" hidden="false" customHeight="false" outlineLevel="0" collapsed="false">
      <c r="A1261" s="9" t="s">
        <v>791</v>
      </c>
      <c r="B1261" s="9" t="s">
        <v>823</v>
      </c>
      <c r="C1261" s="9" t="n">
        <v>12</v>
      </c>
      <c r="D1261" s="10" t="n">
        <v>0.42</v>
      </c>
      <c r="E1261" s="10" t="n">
        <f aca="false">C1261*D1261</f>
        <v>5.04</v>
      </c>
    </row>
    <row r="1262" customFormat="false" ht="15" hidden="false" customHeight="false" outlineLevel="0" collapsed="false">
      <c r="A1262" s="9" t="s">
        <v>791</v>
      </c>
      <c r="B1262" s="9" t="s">
        <v>824</v>
      </c>
      <c r="C1262" s="9" t="n">
        <v>12</v>
      </c>
      <c r="D1262" s="10" t="n">
        <v>0.42</v>
      </c>
      <c r="E1262" s="10" t="n">
        <f aca="false">C1262*D1262</f>
        <v>5.04</v>
      </c>
    </row>
    <row r="1263" customFormat="false" ht="15" hidden="false" customHeight="false" outlineLevel="0" collapsed="false">
      <c r="A1263" s="9" t="s">
        <v>791</v>
      </c>
      <c r="B1263" s="9" t="s">
        <v>255</v>
      </c>
      <c r="C1263" s="9" t="n">
        <v>12</v>
      </c>
      <c r="D1263" s="10" t="n">
        <v>2.1</v>
      </c>
      <c r="E1263" s="10" t="n">
        <f aca="false">C1263*D1263</f>
        <v>25.2</v>
      </c>
    </row>
    <row r="1264" customFormat="false" ht="15" hidden="false" customHeight="false" outlineLevel="0" collapsed="false">
      <c r="A1264" s="9" t="s">
        <v>825</v>
      </c>
      <c r="B1264" s="9" t="s">
        <v>826</v>
      </c>
      <c r="C1264" s="9" t="n">
        <v>1</v>
      </c>
      <c r="D1264" s="10" t="n">
        <v>10.95</v>
      </c>
      <c r="E1264" s="10" t="n">
        <f aca="false">C1264*D1264</f>
        <v>10.95</v>
      </c>
    </row>
    <row r="1265" customFormat="false" ht="15" hidden="false" customHeight="false" outlineLevel="0" collapsed="false">
      <c r="A1265" s="9" t="s">
        <v>825</v>
      </c>
      <c r="B1265" s="9" t="s">
        <v>827</v>
      </c>
      <c r="C1265" s="9" t="n">
        <v>20</v>
      </c>
      <c r="D1265" s="10" t="n">
        <v>1.25</v>
      </c>
      <c r="E1265" s="10" t="n">
        <f aca="false">C1265*D1265</f>
        <v>25</v>
      </c>
    </row>
    <row r="1266" customFormat="false" ht="15" hidden="false" customHeight="false" outlineLevel="0" collapsed="false">
      <c r="A1266" s="9" t="s">
        <v>825</v>
      </c>
      <c r="B1266" s="9" t="s">
        <v>828</v>
      </c>
      <c r="C1266" s="9" t="n">
        <v>3</v>
      </c>
      <c r="D1266" s="10" t="n">
        <v>16.95</v>
      </c>
      <c r="E1266" s="10" t="n">
        <f aca="false">C1266*D1266</f>
        <v>50.85</v>
      </c>
    </row>
    <row r="1267" customFormat="false" ht="15" hidden="false" customHeight="false" outlineLevel="0" collapsed="false">
      <c r="A1267" s="9" t="s">
        <v>825</v>
      </c>
      <c r="B1267" s="9" t="s">
        <v>829</v>
      </c>
      <c r="C1267" s="9" t="n">
        <v>48</v>
      </c>
      <c r="D1267" s="10" t="n">
        <v>0.85</v>
      </c>
      <c r="E1267" s="10" t="n">
        <f aca="false">C1267*D1267</f>
        <v>40.8</v>
      </c>
    </row>
    <row r="1268" customFormat="false" ht="15" hidden="false" customHeight="false" outlineLevel="0" collapsed="false">
      <c r="A1268" s="9" t="s">
        <v>825</v>
      </c>
      <c r="B1268" s="9" t="s">
        <v>662</v>
      </c>
      <c r="C1268" s="9" t="n">
        <v>6</v>
      </c>
      <c r="D1268" s="10" t="n">
        <v>2.1</v>
      </c>
      <c r="E1268" s="10" t="n">
        <f aca="false">C1268*D1268</f>
        <v>12.6</v>
      </c>
    </row>
    <row r="1269" customFormat="false" ht="15" hidden="false" customHeight="false" outlineLevel="0" collapsed="false">
      <c r="A1269" s="9" t="s">
        <v>825</v>
      </c>
      <c r="B1269" s="9" t="s">
        <v>830</v>
      </c>
      <c r="C1269" s="9" t="n">
        <v>2</v>
      </c>
      <c r="D1269" s="10" t="n">
        <v>7.95</v>
      </c>
      <c r="E1269" s="10" t="n">
        <f aca="false">C1269*D1269</f>
        <v>15.9</v>
      </c>
    </row>
    <row r="1270" customFormat="false" ht="15" hidden="false" customHeight="false" outlineLevel="0" collapsed="false">
      <c r="A1270" s="9" t="s">
        <v>831</v>
      </c>
      <c r="B1270" s="9" t="s">
        <v>254</v>
      </c>
      <c r="C1270" s="9" t="n">
        <v>12</v>
      </c>
      <c r="D1270" s="10" t="n">
        <v>2.1</v>
      </c>
      <c r="E1270" s="10" t="n">
        <f aca="false">C1270*D1270</f>
        <v>25.2</v>
      </c>
    </row>
    <row r="1271" customFormat="false" ht="15" hidden="false" customHeight="false" outlineLevel="0" collapsed="false">
      <c r="A1271" s="9" t="s">
        <v>831</v>
      </c>
      <c r="B1271" s="9" t="s">
        <v>472</v>
      </c>
      <c r="C1271" s="9" t="n">
        <v>12</v>
      </c>
      <c r="D1271" s="10" t="n">
        <v>2.1</v>
      </c>
      <c r="E1271" s="10" t="n">
        <f aca="false">C1271*D1271</f>
        <v>25.2</v>
      </c>
    </row>
    <row r="1272" customFormat="false" ht="15" hidden="false" customHeight="false" outlineLevel="0" collapsed="false">
      <c r="A1272" s="9" t="s">
        <v>831</v>
      </c>
      <c r="B1272" s="9" t="s">
        <v>255</v>
      </c>
      <c r="C1272" s="9" t="n">
        <v>12</v>
      </c>
      <c r="D1272" s="10" t="n">
        <v>2.1</v>
      </c>
      <c r="E1272" s="10" t="n">
        <f aca="false">C1272*D1272</f>
        <v>25.2</v>
      </c>
    </row>
    <row r="1273" customFormat="false" ht="15" hidden="false" customHeight="false" outlineLevel="0" collapsed="false">
      <c r="A1273" s="9" t="s">
        <v>831</v>
      </c>
      <c r="B1273" s="9" t="s">
        <v>258</v>
      </c>
      <c r="C1273" s="9" t="n">
        <v>12</v>
      </c>
      <c r="D1273" s="10" t="n">
        <v>2.1</v>
      </c>
      <c r="E1273" s="10" t="n">
        <f aca="false">C1273*D1273</f>
        <v>25.2</v>
      </c>
    </row>
    <row r="1274" customFormat="false" ht="15" hidden="false" customHeight="false" outlineLevel="0" collapsed="false">
      <c r="A1274" s="9" t="s">
        <v>831</v>
      </c>
      <c r="B1274" s="9" t="s">
        <v>270</v>
      </c>
      <c r="C1274" s="9" t="n">
        <v>3</v>
      </c>
      <c r="D1274" s="10" t="n">
        <v>4.95</v>
      </c>
      <c r="E1274" s="10" t="n">
        <f aca="false">C1274*D1274</f>
        <v>14.85</v>
      </c>
    </row>
    <row r="1275" customFormat="false" ht="15" hidden="false" customHeight="false" outlineLevel="0" collapsed="false">
      <c r="A1275" s="9" t="s">
        <v>832</v>
      </c>
      <c r="B1275" s="9" t="s">
        <v>389</v>
      </c>
      <c r="C1275" s="9" t="n">
        <v>2</v>
      </c>
      <c r="D1275" s="10" t="n">
        <v>7.95</v>
      </c>
      <c r="E1275" s="10" t="n">
        <f aca="false">C1275*D1275</f>
        <v>15.9</v>
      </c>
    </row>
    <row r="1276" customFormat="false" ht="15" hidden="false" customHeight="false" outlineLevel="0" collapsed="false">
      <c r="A1276" s="9" t="s">
        <v>832</v>
      </c>
      <c r="B1276" s="9" t="s">
        <v>396</v>
      </c>
      <c r="C1276" s="9" t="n">
        <v>24</v>
      </c>
      <c r="D1276" s="10" t="n">
        <v>0.85</v>
      </c>
      <c r="E1276" s="10" t="n">
        <f aca="false">C1276*D1276</f>
        <v>20.4</v>
      </c>
    </row>
    <row r="1277" customFormat="false" ht="15" hidden="false" customHeight="false" outlineLevel="0" collapsed="false">
      <c r="A1277" s="9" t="s">
        <v>832</v>
      </c>
      <c r="B1277" s="9" t="s">
        <v>538</v>
      </c>
      <c r="C1277" s="9" t="n">
        <v>8</v>
      </c>
      <c r="D1277" s="10" t="n">
        <v>1.95</v>
      </c>
      <c r="E1277" s="10" t="n">
        <f aca="false">C1277*D1277</f>
        <v>15.6</v>
      </c>
    </row>
    <row r="1278" customFormat="false" ht="15" hidden="false" customHeight="false" outlineLevel="0" collapsed="false">
      <c r="A1278" s="9" t="s">
        <v>832</v>
      </c>
      <c r="B1278" s="9" t="s">
        <v>390</v>
      </c>
      <c r="C1278" s="9" t="n">
        <v>2</v>
      </c>
      <c r="D1278" s="10" t="n">
        <v>7.95</v>
      </c>
      <c r="E1278" s="10" t="n">
        <f aca="false">C1278*D1278</f>
        <v>15.9</v>
      </c>
    </row>
    <row r="1279" customFormat="false" ht="15" hidden="false" customHeight="false" outlineLevel="0" collapsed="false">
      <c r="A1279" s="9" t="s">
        <v>832</v>
      </c>
      <c r="B1279" s="9" t="s">
        <v>142</v>
      </c>
      <c r="C1279" s="9" t="n">
        <v>2</v>
      </c>
      <c r="D1279" s="10" t="n">
        <v>7.95</v>
      </c>
      <c r="E1279" s="10" t="n">
        <f aca="false">C1279*D1279</f>
        <v>15.9</v>
      </c>
    </row>
    <row r="1280" customFormat="false" ht="15" hidden="false" customHeight="false" outlineLevel="0" collapsed="false">
      <c r="A1280" s="9" t="s">
        <v>832</v>
      </c>
      <c r="B1280" s="9" t="s">
        <v>833</v>
      </c>
      <c r="C1280" s="9" t="n">
        <v>6</v>
      </c>
      <c r="D1280" s="10" t="n">
        <v>2.95</v>
      </c>
      <c r="E1280" s="10" t="n">
        <f aca="false">C1280*D1280</f>
        <v>17.7</v>
      </c>
    </row>
    <row r="1281" customFormat="false" ht="15" hidden="false" customHeight="false" outlineLevel="0" collapsed="false">
      <c r="A1281" s="9" t="s">
        <v>832</v>
      </c>
      <c r="B1281" s="9" t="s">
        <v>225</v>
      </c>
      <c r="C1281" s="9" t="n">
        <v>3</v>
      </c>
      <c r="D1281" s="10" t="n">
        <v>4.95</v>
      </c>
      <c r="E1281" s="10" t="n">
        <f aca="false">C1281*D1281</f>
        <v>14.85</v>
      </c>
    </row>
    <row r="1282" customFormat="false" ht="15" hidden="false" customHeight="false" outlineLevel="0" collapsed="false">
      <c r="A1282" s="9" t="s">
        <v>832</v>
      </c>
      <c r="B1282" s="9" t="s">
        <v>834</v>
      </c>
      <c r="C1282" s="9" t="n">
        <v>3</v>
      </c>
      <c r="D1282" s="10" t="n">
        <v>6.95</v>
      </c>
      <c r="E1282" s="10" t="n">
        <f aca="false">C1282*D1282</f>
        <v>20.85</v>
      </c>
    </row>
    <row r="1283" customFormat="false" ht="15" hidden="false" customHeight="false" outlineLevel="0" collapsed="false">
      <c r="A1283" s="9" t="s">
        <v>832</v>
      </c>
      <c r="B1283" s="9" t="s">
        <v>835</v>
      </c>
      <c r="C1283" s="9" t="n">
        <v>3</v>
      </c>
      <c r="D1283" s="10" t="n">
        <v>5.95</v>
      </c>
      <c r="E1283" s="10" t="n">
        <f aca="false">C1283*D1283</f>
        <v>17.85</v>
      </c>
    </row>
    <row r="1284" customFormat="false" ht="15" hidden="false" customHeight="false" outlineLevel="0" collapsed="false">
      <c r="A1284" s="9" t="s">
        <v>832</v>
      </c>
      <c r="B1284" s="9" t="s">
        <v>836</v>
      </c>
      <c r="C1284" s="9" t="n">
        <v>3</v>
      </c>
      <c r="D1284" s="10" t="n">
        <v>4.95</v>
      </c>
      <c r="E1284" s="10" t="n">
        <f aca="false">C1284*D1284</f>
        <v>14.85</v>
      </c>
    </row>
    <row r="1285" customFormat="false" ht="15" hidden="false" customHeight="false" outlineLevel="0" collapsed="false">
      <c r="A1285" s="9" t="s">
        <v>832</v>
      </c>
      <c r="B1285" s="9" t="s">
        <v>718</v>
      </c>
      <c r="C1285" s="9" t="n">
        <v>3</v>
      </c>
      <c r="D1285" s="10" t="n">
        <v>4.95</v>
      </c>
      <c r="E1285" s="10" t="n">
        <f aca="false">C1285*D1285</f>
        <v>14.85</v>
      </c>
    </row>
    <row r="1286" customFormat="false" ht="15" hidden="false" customHeight="false" outlineLevel="0" collapsed="false">
      <c r="A1286" s="9" t="s">
        <v>832</v>
      </c>
      <c r="B1286" s="9" t="s">
        <v>380</v>
      </c>
      <c r="C1286" s="9" t="n">
        <v>12</v>
      </c>
      <c r="D1286" s="10" t="n">
        <v>0.85</v>
      </c>
      <c r="E1286" s="10" t="n">
        <f aca="false">C1286*D1286</f>
        <v>10.2</v>
      </c>
    </row>
    <row r="1287" customFormat="false" ht="15" hidden="false" customHeight="false" outlineLevel="0" collapsed="false">
      <c r="A1287" s="9" t="s">
        <v>837</v>
      </c>
      <c r="B1287" s="9" t="s">
        <v>225</v>
      </c>
      <c r="C1287" s="9" t="n">
        <v>3</v>
      </c>
      <c r="D1287" s="10" t="n">
        <v>4.95</v>
      </c>
      <c r="E1287" s="10" t="n">
        <f aca="false">C1287*D1287</f>
        <v>14.85</v>
      </c>
    </row>
    <row r="1288" customFormat="false" ht="15" hidden="false" customHeight="false" outlineLevel="0" collapsed="false">
      <c r="A1288" s="9" t="s">
        <v>837</v>
      </c>
      <c r="B1288" s="9" t="s">
        <v>59</v>
      </c>
      <c r="C1288" s="9" t="n">
        <v>80</v>
      </c>
      <c r="D1288" s="10" t="n">
        <v>1.69</v>
      </c>
      <c r="E1288" s="10" t="n">
        <f aca="false">C1288*D1288</f>
        <v>135.2</v>
      </c>
    </row>
    <row r="1289" customFormat="false" ht="15" hidden="false" customHeight="false" outlineLevel="0" collapsed="false">
      <c r="A1289" s="9" t="s">
        <v>837</v>
      </c>
      <c r="B1289" s="9" t="s">
        <v>838</v>
      </c>
      <c r="C1289" s="9" t="n">
        <v>12</v>
      </c>
      <c r="D1289" s="10" t="n">
        <v>1.25</v>
      </c>
      <c r="E1289" s="10" t="n">
        <f aca="false">C1289*D1289</f>
        <v>15</v>
      </c>
    </row>
    <row r="1290" customFormat="false" ht="15" hidden="false" customHeight="false" outlineLevel="0" collapsed="false">
      <c r="A1290" s="9" t="s">
        <v>839</v>
      </c>
      <c r="B1290" s="9" t="s">
        <v>840</v>
      </c>
      <c r="C1290" s="9" t="n">
        <v>2</v>
      </c>
      <c r="D1290" s="10" t="n">
        <v>7.65</v>
      </c>
      <c r="E1290" s="10" t="n">
        <f aca="false">C1290*D1290</f>
        <v>15.3</v>
      </c>
    </row>
    <row r="1291" customFormat="false" ht="15" hidden="false" customHeight="false" outlineLevel="0" collapsed="false">
      <c r="A1291" s="9" t="s">
        <v>839</v>
      </c>
      <c r="B1291" s="9" t="s">
        <v>841</v>
      </c>
      <c r="C1291" s="9" t="n">
        <v>8</v>
      </c>
      <c r="D1291" s="10" t="n">
        <v>3.75</v>
      </c>
      <c r="E1291" s="10" t="n">
        <f aca="false">C1291*D1291</f>
        <v>30</v>
      </c>
    </row>
    <row r="1292" customFormat="false" ht="15" hidden="false" customHeight="false" outlineLevel="0" collapsed="false">
      <c r="A1292" s="9" t="s">
        <v>839</v>
      </c>
      <c r="B1292" s="9" t="s">
        <v>163</v>
      </c>
      <c r="C1292" s="9" t="n">
        <v>8</v>
      </c>
      <c r="D1292" s="10" t="n">
        <v>2.95</v>
      </c>
      <c r="E1292" s="10" t="n">
        <f aca="false">C1292*D1292</f>
        <v>23.6</v>
      </c>
    </row>
    <row r="1293" customFormat="false" ht="15" hidden="false" customHeight="false" outlineLevel="0" collapsed="false">
      <c r="A1293" s="9" t="s">
        <v>839</v>
      </c>
      <c r="B1293" s="9" t="s">
        <v>613</v>
      </c>
      <c r="C1293" s="9" t="n">
        <v>2</v>
      </c>
      <c r="D1293" s="10" t="n">
        <v>12.75</v>
      </c>
      <c r="E1293" s="10" t="n">
        <f aca="false">C1293*D1293</f>
        <v>25.5</v>
      </c>
    </row>
    <row r="1294" customFormat="false" ht="15" hidden="false" customHeight="false" outlineLevel="0" collapsed="false">
      <c r="A1294" s="9" t="s">
        <v>839</v>
      </c>
      <c r="B1294" s="9" t="s">
        <v>426</v>
      </c>
      <c r="C1294" s="9" t="n">
        <v>6</v>
      </c>
      <c r="D1294" s="10" t="n">
        <v>6.75</v>
      </c>
      <c r="E1294" s="10" t="n">
        <f aca="false">C1294*D1294</f>
        <v>40.5</v>
      </c>
    </row>
    <row r="1295" customFormat="false" ht="15" hidden="false" customHeight="false" outlineLevel="0" collapsed="false">
      <c r="A1295" s="9" t="s">
        <v>839</v>
      </c>
      <c r="B1295" s="9" t="s">
        <v>842</v>
      </c>
      <c r="C1295" s="9" t="n">
        <v>8</v>
      </c>
      <c r="D1295" s="10" t="n">
        <v>3.75</v>
      </c>
      <c r="E1295" s="10" t="n">
        <f aca="false">C1295*D1295</f>
        <v>30</v>
      </c>
    </row>
    <row r="1296" customFormat="false" ht="15" hidden="false" customHeight="false" outlineLevel="0" collapsed="false">
      <c r="A1296" s="9" t="s">
        <v>839</v>
      </c>
      <c r="B1296" s="9" t="s">
        <v>843</v>
      </c>
      <c r="C1296" s="9" t="n">
        <v>12</v>
      </c>
      <c r="D1296" s="10" t="n">
        <v>2.95</v>
      </c>
      <c r="E1296" s="10" t="n">
        <f aca="false">C1296*D1296</f>
        <v>35.4</v>
      </c>
    </row>
    <row r="1297" customFormat="false" ht="15" hidden="false" customHeight="false" outlineLevel="0" collapsed="false">
      <c r="A1297" s="9" t="s">
        <v>839</v>
      </c>
      <c r="B1297" s="9" t="s">
        <v>844</v>
      </c>
      <c r="C1297" s="9" t="n">
        <v>36</v>
      </c>
      <c r="D1297" s="10" t="n">
        <v>1.25</v>
      </c>
      <c r="E1297" s="10" t="n">
        <f aca="false">C1297*D1297</f>
        <v>45</v>
      </c>
    </row>
    <row r="1298" customFormat="false" ht="15" hidden="false" customHeight="false" outlineLevel="0" collapsed="false">
      <c r="A1298" s="9" t="s">
        <v>839</v>
      </c>
      <c r="B1298" s="9" t="s">
        <v>573</v>
      </c>
      <c r="C1298" s="9" t="n">
        <v>8</v>
      </c>
      <c r="D1298" s="10" t="n">
        <v>1.65</v>
      </c>
      <c r="E1298" s="10" t="n">
        <f aca="false">C1298*D1298</f>
        <v>13.2</v>
      </c>
    </row>
    <row r="1299" customFormat="false" ht="15" hidden="false" customHeight="false" outlineLevel="0" collapsed="false">
      <c r="A1299" s="9" t="s">
        <v>839</v>
      </c>
      <c r="B1299" s="9" t="s">
        <v>845</v>
      </c>
      <c r="C1299" s="9" t="n">
        <v>36</v>
      </c>
      <c r="D1299" s="10" t="n">
        <v>2.1</v>
      </c>
      <c r="E1299" s="10" t="n">
        <f aca="false">C1299*D1299</f>
        <v>75.6</v>
      </c>
    </row>
    <row r="1300" customFormat="false" ht="15" hidden="false" customHeight="false" outlineLevel="0" collapsed="false">
      <c r="A1300" s="9" t="s">
        <v>839</v>
      </c>
      <c r="B1300" s="9" t="s">
        <v>846</v>
      </c>
      <c r="C1300" s="9" t="n">
        <v>12</v>
      </c>
      <c r="D1300" s="10" t="n">
        <v>2.95</v>
      </c>
      <c r="E1300" s="10" t="n">
        <f aca="false">C1300*D1300</f>
        <v>35.4</v>
      </c>
    </row>
    <row r="1301" customFormat="false" ht="15" hidden="false" customHeight="false" outlineLevel="0" collapsed="false">
      <c r="A1301" s="9" t="s">
        <v>847</v>
      </c>
      <c r="B1301" s="9" t="s">
        <v>179</v>
      </c>
      <c r="C1301" s="9" t="n">
        <v>8</v>
      </c>
      <c r="D1301" s="10" t="n">
        <v>1.65</v>
      </c>
      <c r="E1301" s="10" t="n">
        <f aca="false">C1301*D1301</f>
        <v>13.2</v>
      </c>
    </row>
    <row r="1302" customFormat="false" ht="15" hidden="false" customHeight="false" outlineLevel="0" collapsed="false">
      <c r="A1302" s="9" t="s">
        <v>847</v>
      </c>
      <c r="B1302" s="9" t="s">
        <v>848</v>
      </c>
      <c r="C1302" s="9" t="n">
        <v>10</v>
      </c>
      <c r="D1302" s="10" t="n">
        <v>0.42</v>
      </c>
      <c r="E1302" s="10" t="n">
        <f aca="false">C1302*D1302</f>
        <v>4.2</v>
      </c>
    </row>
    <row r="1303" customFormat="false" ht="15" hidden="false" customHeight="false" outlineLevel="0" collapsed="false">
      <c r="A1303" s="9" t="s">
        <v>847</v>
      </c>
      <c r="B1303" s="9" t="s">
        <v>735</v>
      </c>
      <c r="C1303" s="9" t="n">
        <v>2</v>
      </c>
      <c r="D1303" s="10" t="n">
        <v>2.95</v>
      </c>
      <c r="E1303" s="10" t="n">
        <f aca="false">C1303*D1303</f>
        <v>5.9</v>
      </c>
    </row>
    <row r="1304" customFormat="false" ht="15" hidden="false" customHeight="false" outlineLevel="0" collapsed="false">
      <c r="A1304" s="9" t="s">
        <v>847</v>
      </c>
      <c r="B1304" s="9" t="s">
        <v>757</v>
      </c>
      <c r="C1304" s="9" t="n">
        <v>2</v>
      </c>
      <c r="D1304" s="10" t="n">
        <v>2.55</v>
      </c>
      <c r="E1304" s="10" t="n">
        <f aca="false">C1304*D1304</f>
        <v>5.1</v>
      </c>
    </row>
    <row r="1305" customFormat="false" ht="15" hidden="false" customHeight="false" outlineLevel="0" collapsed="false">
      <c r="A1305" s="9" t="s">
        <v>847</v>
      </c>
      <c r="B1305" s="9" t="s">
        <v>655</v>
      </c>
      <c r="C1305" s="9" t="n">
        <v>2</v>
      </c>
      <c r="D1305" s="10" t="n">
        <v>2.55</v>
      </c>
      <c r="E1305" s="10" t="n">
        <f aca="false">C1305*D1305</f>
        <v>5.1</v>
      </c>
    </row>
    <row r="1306" customFormat="false" ht="15" hidden="false" customHeight="false" outlineLevel="0" collapsed="false">
      <c r="A1306" s="9" t="s">
        <v>847</v>
      </c>
      <c r="B1306" s="9" t="s">
        <v>849</v>
      </c>
      <c r="C1306" s="9" t="n">
        <v>3</v>
      </c>
      <c r="D1306" s="10" t="n">
        <v>1.95</v>
      </c>
      <c r="E1306" s="10" t="n">
        <f aca="false">C1306*D1306</f>
        <v>5.85</v>
      </c>
    </row>
    <row r="1307" customFormat="false" ht="15" hidden="false" customHeight="false" outlineLevel="0" collapsed="false">
      <c r="A1307" s="9" t="s">
        <v>847</v>
      </c>
      <c r="B1307" s="9" t="s">
        <v>590</v>
      </c>
      <c r="C1307" s="9" t="n">
        <v>10</v>
      </c>
      <c r="D1307" s="10" t="n">
        <v>0.85</v>
      </c>
      <c r="E1307" s="10" t="n">
        <f aca="false">C1307*D1307</f>
        <v>8.5</v>
      </c>
    </row>
    <row r="1308" customFormat="false" ht="15" hidden="false" customHeight="false" outlineLevel="0" collapsed="false">
      <c r="A1308" s="9" t="s">
        <v>847</v>
      </c>
      <c r="B1308" s="9" t="s">
        <v>850</v>
      </c>
      <c r="C1308" s="9" t="n">
        <v>10</v>
      </c>
      <c r="D1308" s="10" t="n">
        <v>0.85</v>
      </c>
      <c r="E1308" s="10" t="n">
        <f aca="false">C1308*D1308</f>
        <v>8.5</v>
      </c>
    </row>
    <row r="1309" customFormat="false" ht="15" hidden="false" customHeight="false" outlineLevel="0" collapsed="false">
      <c r="A1309" s="9" t="s">
        <v>847</v>
      </c>
      <c r="B1309" s="9" t="s">
        <v>851</v>
      </c>
      <c r="C1309" s="9" t="n">
        <v>10</v>
      </c>
      <c r="D1309" s="10" t="n">
        <v>0.85</v>
      </c>
      <c r="E1309" s="10" t="n">
        <f aca="false">C1309*D1309</f>
        <v>8.5</v>
      </c>
    </row>
    <row r="1310" customFormat="false" ht="15" hidden="false" customHeight="false" outlineLevel="0" collapsed="false">
      <c r="A1310" s="9" t="s">
        <v>847</v>
      </c>
      <c r="B1310" s="9" t="s">
        <v>852</v>
      </c>
      <c r="C1310" s="9" t="n">
        <v>10</v>
      </c>
      <c r="D1310" s="10" t="n">
        <v>0.85</v>
      </c>
      <c r="E1310" s="10" t="n">
        <f aca="false">C1310*D1310</f>
        <v>8.5</v>
      </c>
    </row>
    <row r="1311" customFormat="false" ht="15" hidden="false" customHeight="false" outlineLevel="0" collapsed="false">
      <c r="A1311" s="9" t="s">
        <v>847</v>
      </c>
      <c r="B1311" s="9" t="s">
        <v>602</v>
      </c>
      <c r="C1311" s="9" t="n">
        <v>10</v>
      </c>
      <c r="D1311" s="10" t="n">
        <v>0.85</v>
      </c>
      <c r="E1311" s="10" t="n">
        <f aca="false">C1311*D1311</f>
        <v>8.5</v>
      </c>
    </row>
    <row r="1312" customFormat="false" ht="15" hidden="false" customHeight="false" outlineLevel="0" collapsed="false">
      <c r="A1312" s="9" t="s">
        <v>847</v>
      </c>
      <c r="B1312" s="9" t="s">
        <v>853</v>
      </c>
      <c r="C1312" s="9" t="n">
        <v>10</v>
      </c>
      <c r="D1312" s="10" t="n">
        <v>0.65</v>
      </c>
      <c r="E1312" s="10" t="n">
        <f aca="false">C1312*D1312</f>
        <v>6.5</v>
      </c>
    </row>
    <row r="1313" customFormat="false" ht="15" hidden="false" customHeight="false" outlineLevel="0" collapsed="false">
      <c r="A1313" s="9" t="s">
        <v>847</v>
      </c>
      <c r="B1313" s="9" t="s">
        <v>185</v>
      </c>
      <c r="C1313" s="9" t="n">
        <v>2</v>
      </c>
      <c r="D1313" s="10" t="n">
        <v>2.95</v>
      </c>
      <c r="E1313" s="10" t="n">
        <f aca="false">C1313*D1313</f>
        <v>5.9</v>
      </c>
    </row>
    <row r="1314" customFormat="false" ht="15" hidden="false" customHeight="false" outlineLevel="0" collapsed="false">
      <c r="A1314" s="9" t="s">
        <v>847</v>
      </c>
      <c r="B1314" s="9" t="s">
        <v>854</v>
      </c>
      <c r="C1314" s="9" t="n">
        <v>2</v>
      </c>
      <c r="D1314" s="10" t="n">
        <v>4.25</v>
      </c>
      <c r="E1314" s="10" t="n">
        <f aca="false">C1314*D1314</f>
        <v>8.5</v>
      </c>
    </row>
    <row r="1315" customFormat="false" ht="15" hidden="false" customHeight="false" outlineLevel="0" collapsed="false">
      <c r="A1315" s="9" t="s">
        <v>847</v>
      </c>
      <c r="B1315" s="9" t="s">
        <v>211</v>
      </c>
      <c r="C1315" s="9" t="n">
        <v>5</v>
      </c>
      <c r="D1315" s="10" t="n">
        <v>1.65</v>
      </c>
      <c r="E1315" s="10" t="n">
        <f aca="false">C1315*D1315</f>
        <v>8.25</v>
      </c>
    </row>
    <row r="1316" customFormat="false" ht="15" hidden="false" customHeight="false" outlineLevel="0" collapsed="false">
      <c r="A1316" s="9" t="s">
        <v>847</v>
      </c>
      <c r="B1316" s="9" t="s">
        <v>180</v>
      </c>
      <c r="C1316" s="9" t="n">
        <v>2</v>
      </c>
      <c r="D1316" s="10" t="n">
        <v>2.95</v>
      </c>
      <c r="E1316" s="10" t="n">
        <f aca="false">C1316*D1316</f>
        <v>5.9</v>
      </c>
    </row>
    <row r="1317" customFormat="false" ht="15" hidden="false" customHeight="false" outlineLevel="0" collapsed="false">
      <c r="A1317" s="9" t="s">
        <v>847</v>
      </c>
      <c r="B1317" s="9" t="s">
        <v>855</v>
      </c>
      <c r="C1317" s="9" t="n">
        <v>6</v>
      </c>
      <c r="D1317" s="10" t="n">
        <v>1.65</v>
      </c>
      <c r="E1317" s="10" t="n">
        <f aca="false">C1317*D1317</f>
        <v>9.9</v>
      </c>
    </row>
    <row r="1318" customFormat="false" ht="15" hidden="false" customHeight="false" outlineLevel="0" collapsed="false">
      <c r="A1318" s="9" t="s">
        <v>847</v>
      </c>
      <c r="B1318" s="9" t="s">
        <v>856</v>
      </c>
      <c r="C1318" s="9" t="n">
        <v>1</v>
      </c>
      <c r="D1318" s="10" t="n">
        <v>2.95</v>
      </c>
      <c r="E1318" s="10" t="n">
        <f aca="false">C1318*D1318</f>
        <v>2.95</v>
      </c>
    </row>
    <row r="1319" customFormat="false" ht="15" hidden="false" customHeight="false" outlineLevel="0" collapsed="false">
      <c r="A1319" s="9" t="s">
        <v>847</v>
      </c>
      <c r="B1319" s="9" t="s">
        <v>857</v>
      </c>
      <c r="C1319" s="9" t="n">
        <v>1</v>
      </c>
      <c r="D1319" s="10" t="n">
        <v>3.75</v>
      </c>
      <c r="E1319" s="10" t="n">
        <f aca="false">C1319*D1319</f>
        <v>3.75</v>
      </c>
    </row>
    <row r="1320" customFormat="false" ht="15" hidden="false" customHeight="false" outlineLevel="0" collapsed="false">
      <c r="A1320" s="9" t="s">
        <v>847</v>
      </c>
      <c r="B1320" s="9" t="s">
        <v>858</v>
      </c>
      <c r="C1320" s="9" t="n">
        <v>1</v>
      </c>
      <c r="D1320" s="10" t="n">
        <v>3.75</v>
      </c>
      <c r="E1320" s="10" t="n">
        <f aca="false">C1320*D1320</f>
        <v>3.75</v>
      </c>
    </row>
    <row r="1321" customFormat="false" ht="15" hidden="false" customHeight="false" outlineLevel="0" collapsed="false">
      <c r="A1321" s="9" t="s">
        <v>847</v>
      </c>
      <c r="B1321" s="9" t="s">
        <v>859</v>
      </c>
      <c r="C1321" s="9" t="n">
        <v>1</v>
      </c>
      <c r="D1321" s="10" t="n">
        <v>3.75</v>
      </c>
      <c r="E1321" s="10" t="n">
        <f aca="false">C1321*D1321</f>
        <v>3.75</v>
      </c>
    </row>
    <row r="1322" customFormat="false" ht="15" hidden="false" customHeight="false" outlineLevel="0" collapsed="false">
      <c r="A1322" s="9" t="s">
        <v>847</v>
      </c>
      <c r="B1322" s="9" t="s">
        <v>142</v>
      </c>
      <c r="C1322" s="9" t="n">
        <v>1</v>
      </c>
      <c r="D1322" s="10" t="n">
        <v>7.95</v>
      </c>
      <c r="E1322" s="10" t="n">
        <f aca="false">C1322*D1322</f>
        <v>7.95</v>
      </c>
    </row>
    <row r="1323" customFormat="false" ht="15" hidden="false" customHeight="false" outlineLevel="0" collapsed="false">
      <c r="A1323" s="9" t="s">
        <v>847</v>
      </c>
      <c r="B1323" s="9" t="s">
        <v>328</v>
      </c>
      <c r="C1323" s="9" t="n">
        <v>1</v>
      </c>
      <c r="D1323" s="10" t="n">
        <v>7.95</v>
      </c>
      <c r="E1323" s="10" t="n">
        <f aca="false">C1323*D1323</f>
        <v>7.95</v>
      </c>
    </row>
    <row r="1324" customFormat="false" ht="15" hidden="false" customHeight="false" outlineLevel="0" collapsed="false">
      <c r="A1324" s="9" t="s">
        <v>847</v>
      </c>
      <c r="B1324" s="9" t="s">
        <v>860</v>
      </c>
      <c r="C1324" s="9" t="n">
        <v>1</v>
      </c>
      <c r="D1324" s="10" t="n">
        <v>3.75</v>
      </c>
      <c r="E1324" s="10" t="n">
        <f aca="false">C1324*D1324</f>
        <v>3.75</v>
      </c>
    </row>
    <row r="1325" customFormat="false" ht="15" hidden="false" customHeight="false" outlineLevel="0" collapsed="false">
      <c r="A1325" s="9" t="s">
        <v>847</v>
      </c>
      <c r="B1325" s="9" t="s">
        <v>861</v>
      </c>
      <c r="C1325" s="9" t="n">
        <v>12</v>
      </c>
      <c r="D1325" s="10" t="n">
        <v>1.25</v>
      </c>
      <c r="E1325" s="10" t="n">
        <f aca="false">C1325*D1325</f>
        <v>15</v>
      </c>
    </row>
    <row r="1326" customFormat="false" ht="15" hidden="false" customHeight="false" outlineLevel="0" collapsed="false">
      <c r="A1326" s="9" t="s">
        <v>847</v>
      </c>
      <c r="B1326" s="9" t="s">
        <v>391</v>
      </c>
      <c r="C1326" s="9" t="n">
        <v>6</v>
      </c>
      <c r="D1326" s="10" t="n">
        <v>1.65</v>
      </c>
      <c r="E1326" s="10" t="n">
        <f aca="false">C1326*D1326</f>
        <v>9.9</v>
      </c>
    </row>
    <row r="1327" customFormat="false" ht="15" hidden="false" customHeight="false" outlineLevel="0" collapsed="false">
      <c r="A1327" s="9" t="s">
        <v>847</v>
      </c>
      <c r="B1327" s="9" t="s">
        <v>88</v>
      </c>
      <c r="C1327" s="9" t="n">
        <v>5</v>
      </c>
      <c r="D1327" s="10" t="n">
        <v>2.95</v>
      </c>
      <c r="E1327" s="10" t="n">
        <f aca="false">C1327*D1327</f>
        <v>14.75</v>
      </c>
    </row>
    <row r="1328" customFormat="false" ht="15" hidden="false" customHeight="false" outlineLevel="0" collapsed="false">
      <c r="A1328" s="9" t="s">
        <v>847</v>
      </c>
      <c r="B1328" s="9" t="s">
        <v>233</v>
      </c>
      <c r="C1328" s="9" t="n">
        <v>5</v>
      </c>
      <c r="D1328" s="10" t="n">
        <v>2.95</v>
      </c>
      <c r="E1328" s="10" t="n">
        <f aca="false">C1328*D1328</f>
        <v>14.75</v>
      </c>
    </row>
    <row r="1329" customFormat="false" ht="15" hidden="false" customHeight="false" outlineLevel="0" collapsed="false">
      <c r="A1329" s="9" t="s">
        <v>847</v>
      </c>
      <c r="B1329" s="9" t="s">
        <v>862</v>
      </c>
      <c r="C1329" s="9" t="n">
        <v>4</v>
      </c>
      <c r="D1329" s="10" t="n">
        <v>3.75</v>
      </c>
      <c r="E1329" s="10" t="n">
        <f aca="false">C1329*D1329</f>
        <v>15</v>
      </c>
    </row>
    <row r="1330" customFormat="false" ht="15" hidden="false" customHeight="false" outlineLevel="0" collapsed="false">
      <c r="A1330" s="9" t="s">
        <v>847</v>
      </c>
      <c r="B1330" s="9" t="s">
        <v>42</v>
      </c>
      <c r="C1330" s="9" t="n">
        <v>2</v>
      </c>
      <c r="D1330" s="10" t="n">
        <v>8.5</v>
      </c>
      <c r="E1330" s="10" t="n">
        <f aca="false">C1330*D1330</f>
        <v>17</v>
      </c>
    </row>
    <row r="1331" customFormat="false" ht="15" hidden="false" customHeight="false" outlineLevel="0" collapsed="false">
      <c r="A1331" s="9" t="s">
        <v>847</v>
      </c>
      <c r="B1331" s="9" t="s">
        <v>863</v>
      </c>
      <c r="C1331" s="9" t="n">
        <v>1</v>
      </c>
      <c r="D1331" s="10" t="n">
        <v>7.95</v>
      </c>
      <c r="E1331" s="10" t="n">
        <f aca="false">C1331*D1331</f>
        <v>7.95</v>
      </c>
    </row>
    <row r="1332" customFormat="false" ht="15" hidden="false" customHeight="false" outlineLevel="0" collapsed="false">
      <c r="A1332" s="9" t="s">
        <v>864</v>
      </c>
      <c r="B1332" s="9" t="s">
        <v>477</v>
      </c>
      <c r="C1332" s="9" t="n">
        <v>12</v>
      </c>
      <c r="D1332" s="10" t="n">
        <v>1.65</v>
      </c>
      <c r="E1332" s="10" t="n">
        <f aca="false">C1332*D1332</f>
        <v>19.8</v>
      </c>
    </row>
    <row r="1333" customFormat="false" ht="15" hidden="false" customHeight="false" outlineLevel="0" collapsed="false">
      <c r="A1333" s="9" t="s">
        <v>864</v>
      </c>
      <c r="B1333" s="9" t="s">
        <v>865</v>
      </c>
      <c r="C1333" s="9" t="n">
        <v>4</v>
      </c>
      <c r="D1333" s="10" t="n">
        <v>4.25</v>
      </c>
      <c r="E1333" s="10" t="n">
        <f aca="false">C1333*D1333</f>
        <v>17</v>
      </c>
    </row>
    <row r="1334" customFormat="false" ht="15" hidden="false" customHeight="false" outlineLevel="0" collapsed="false">
      <c r="A1334" s="9" t="s">
        <v>864</v>
      </c>
      <c r="B1334" s="9" t="s">
        <v>866</v>
      </c>
      <c r="C1334" s="9" t="n">
        <v>3</v>
      </c>
      <c r="D1334" s="10" t="n">
        <v>4.25</v>
      </c>
      <c r="E1334" s="10" t="n">
        <f aca="false">C1334*D1334</f>
        <v>12.75</v>
      </c>
    </row>
    <row r="1335" customFormat="false" ht="15" hidden="false" customHeight="false" outlineLevel="0" collapsed="false">
      <c r="A1335" s="9" t="s">
        <v>864</v>
      </c>
      <c r="B1335" s="9" t="s">
        <v>867</v>
      </c>
      <c r="C1335" s="9" t="n">
        <v>2</v>
      </c>
      <c r="D1335" s="10" t="n">
        <v>6.35</v>
      </c>
      <c r="E1335" s="10" t="n">
        <f aca="false">C1335*D1335</f>
        <v>12.7</v>
      </c>
    </row>
    <row r="1336" customFormat="false" ht="15" hidden="false" customHeight="false" outlineLevel="0" collapsed="false">
      <c r="A1336" s="9" t="s">
        <v>864</v>
      </c>
      <c r="B1336" s="9" t="s">
        <v>868</v>
      </c>
      <c r="C1336" s="9" t="n">
        <v>8</v>
      </c>
      <c r="D1336" s="10" t="n">
        <v>1.65</v>
      </c>
      <c r="E1336" s="10" t="n">
        <f aca="false">C1336*D1336</f>
        <v>13.2</v>
      </c>
    </row>
    <row r="1337" customFormat="false" ht="15" hidden="false" customHeight="false" outlineLevel="0" collapsed="false">
      <c r="A1337" s="9" t="s">
        <v>864</v>
      </c>
      <c r="B1337" s="9" t="s">
        <v>105</v>
      </c>
      <c r="C1337" s="9" t="n">
        <v>4</v>
      </c>
      <c r="D1337" s="10" t="n">
        <v>3.95</v>
      </c>
      <c r="E1337" s="10" t="n">
        <f aca="false">C1337*D1337</f>
        <v>15.8</v>
      </c>
    </row>
    <row r="1338" customFormat="false" ht="15" hidden="false" customHeight="false" outlineLevel="0" collapsed="false">
      <c r="A1338" s="9" t="s">
        <v>864</v>
      </c>
      <c r="B1338" s="9" t="s">
        <v>46</v>
      </c>
      <c r="C1338" s="9" t="n">
        <v>12</v>
      </c>
      <c r="D1338" s="10" t="n">
        <v>2.1</v>
      </c>
      <c r="E1338" s="10" t="n">
        <f aca="false">C1338*D1338</f>
        <v>25.2</v>
      </c>
    </row>
    <row r="1339" customFormat="false" ht="15" hidden="false" customHeight="false" outlineLevel="0" collapsed="false">
      <c r="A1339" s="9" t="s">
        <v>864</v>
      </c>
      <c r="B1339" s="9" t="s">
        <v>227</v>
      </c>
      <c r="C1339" s="9" t="n">
        <v>4</v>
      </c>
      <c r="D1339" s="10" t="n">
        <v>4.25</v>
      </c>
      <c r="E1339" s="10" t="n">
        <f aca="false">C1339*D1339</f>
        <v>17</v>
      </c>
    </row>
    <row r="1340" customFormat="false" ht="15" hidden="false" customHeight="false" outlineLevel="0" collapsed="false">
      <c r="A1340" s="9" t="s">
        <v>864</v>
      </c>
      <c r="B1340" s="9" t="s">
        <v>523</v>
      </c>
      <c r="C1340" s="9" t="n">
        <v>6</v>
      </c>
      <c r="D1340" s="10" t="n">
        <v>2.95</v>
      </c>
      <c r="E1340" s="10" t="n">
        <f aca="false">C1340*D1340</f>
        <v>17.7</v>
      </c>
    </row>
    <row r="1341" customFormat="false" ht="15" hidden="false" customHeight="false" outlineLevel="0" collapsed="false">
      <c r="A1341" s="9" t="s">
        <v>864</v>
      </c>
      <c r="B1341" s="9" t="s">
        <v>171</v>
      </c>
      <c r="C1341" s="9" t="n">
        <v>5</v>
      </c>
      <c r="D1341" s="10" t="n">
        <v>2.1</v>
      </c>
      <c r="E1341" s="10" t="n">
        <f aca="false">C1341*D1341</f>
        <v>10.5</v>
      </c>
    </row>
    <row r="1342" customFormat="false" ht="15" hidden="false" customHeight="false" outlineLevel="0" collapsed="false">
      <c r="A1342" s="9" t="s">
        <v>864</v>
      </c>
      <c r="B1342" s="9" t="s">
        <v>475</v>
      </c>
      <c r="C1342" s="9" t="n">
        <v>12</v>
      </c>
      <c r="D1342" s="10" t="n">
        <v>1.65</v>
      </c>
      <c r="E1342" s="10" t="n">
        <f aca="false">C1342*D1342</f>
        <v>19.8</v>
      </c>
    </row>
    <row r="1343" customFormat="false" ht="15" hidden="false" customHeight="false" outlineLevel="0" collapsed="false">
      <c r="A1343" s="9" t="s">
        <v>864</v>
      </c>
      <c r="B1343" s="9" t="s">
        <v>258</v>
      </c>
      <c r="C1343" s="9" t="n">
        <v>12</v>
      </c>
      <c r="D1343" s="10" t="n">
        <v>2.1</v>
      </c>
      <c r="E1343" s="10" t="n">
        <f aca="false">C1343*D1343</f>
        <v>25.2</v>
      </c>
    </row>
    <row r="1344" customFormat="false" ht="15" hidden="false" customHeight="false" outlineLevel="0" collapsed="false">
      <c r="A1344" s="9" t="s">
        <v>864</v>
      </c>
      <c r="B1344" s="9" t="s">
        <v>288</v>
      </c>
      <c r="C1344" s="9" t="n">
        <v>6</v>
      </c>
      <c r="D1344" s="10" t="n">
        <v>2.95</v>
      </c>
      <c r="E1344" s="10" t="n">
        <f aca="false">C1344*D1344</f>
        <v>17.7</v>
      </c>
    </row>
    <row r="1345" customFormat="false" ht="15" hidden="false" customHeight="false" outlineLevel="0" collapsed="false">
      <c r="A1345" s="9" t="s">
        <v>864</v>
      </c>
      <c r="B1345" s="9" t="s">
        <v>869</v>
      </c>
      <c r="C1345" s="9" t="n">
        <v>1</v>
      </c>
      <c r="D1345" s="10" t="n">
        <v>18.95</v>
      </c>
      <c r="E1345" s="10" t="n">
        <f aca="false">C1345*D1345</f>
        <v>18.95</v>
      </c>
    </row>
    <row r="1346" customFormat="false" ht="15" hidden="false" customHeight="false" outlineLevel="0" collapsed="false">
      <c r="A1346" s="9" t="s">
        <v>864</v>
      </c>
      <c r="B1346" s="9" t="s">
        <v>83</v>
      </c>
      <c r="C1346" s="9" t="n">
        <v>6</v>
      </c>
      <c r="D1346" s="10" t="n">
        <v>2.95</v>
      </c>
      <c r="E1346" s="10" t="n">
        <f aca="false">C1346*D1346</f>
        <v>17.7</v>
      </c>
    </row>
    <row r="1347" customFormat="false" ht="15" hidden="false" customHeight="false" outlineLevel="0" collapsed="false">
      <c r="A1347" s="9" t="s">
        <v>864</v>
      </c>
      <c r="B1347" s="9" t="s">
        <v>200</v>
      </c>
      <c r="C1347" s="9" t="n">
        <v>12</v>
      </c>
      <c r="D1347" s="10" t="n">
        <v>1.45</v>
      </c>
      <c r="E1347" s="10" t="n">
        <f aca="false">C1347*D1347</f>
        <v>17.4</v>
      </c>
    </row>
    <row r="1348" customFormat="false" ht="15" hidden="false" customHeight="false" outlineLevel="0" collapsed="false">
      <c r="A1348" s="9" t="s">
        <v>864</v>
      </c>
      <c r="B1348" s="9" t="s">
        <v>870</v>
      </c>
      <c r="C1348" s="9" t="n">
        <v>18</v>
      </c>
      <c r="D1348" s="10" t="n">
        <v>1.45</v>
      </c>
      <c r="E1348" s="10" t="n">
        <f aca="false">C1348*D1348</f>
        <v>26.1</v>
      </c>
    </row>
    <row r="1349" customFormat="false" ht="15" hidden="false" customHeight="false" outlineLevel="0" collapsed="false">
      <c r="A1349" s="9" t="s">
        <v>864</v>
      </c>
      <c r="B1349" s="9" t="s">
        <v>483</v>
      </c>
      <c r="C1349" s="9" t="n">
        <v>6</v>
      </c>
      <c r="D1349" s="10" t="n">
        <v>2.95</v>
      </c>
      <c r="E1349" s="10" t="n">
        <f aca="false">C1349*D1349</f>
        <v>17.7</v>
      </c>
    </row>
    <row r="1350" customFormat="false" ht="15" hidden="false" customHeight="false" outlineLevel="0" collapsed="false">
      <c r="A1350" s="9" t="s">
        <v>864</v>
      </c>
      <c r="B1350" s="9" t="s">
        <v>871</v>
      </c>
      <c r="C1350" s="9" t="n">
        <v>2</v>
      </c>
      <c r="D1350" s="10" t="n">
        <v>8.5</v>
      </c>
      <c r="E1350" s="10" t="n">
        <f aca="false">C1350*D1350</f>
        <v>17</v>
      </c>
    </row>
    <row r="1351" customFormat="false" ht="15" hidden="false" customHeight="false" outlineLevel="0" collapsed="false">
      <c r="A1351" s="9" t="s">
        <v>864</v>
      </c>
      <c r="B1351" s="9" t="s">
        <v>92</v>
      </c>
      <c r="C1351" s="9" t="n">
        <v>2</v>
      </c>
      <c r="D1351" s="10" t="n">
        <v>7.95</v>
      </c>
      <c r="E1351" s="10" t="n">
        <f aca="false">C1351*D1351</f>
        <v>15.9</v>
      </c>
    </row>
    <row r="1352" customFormat="false" ht="15" hidden="false" customHeight="false" outlineLevel="0" collapsed="false">
      <c r="A1352" s="9" t="s">
        <v>864</v>
      </c>
      <c r="B1352" s="9" t="s">
        <v>872</v>
      </c>
      <c r="C1352" s="9" t="n">
        <v>4</v>
      </c>
      <c r="D1352" s="10" t="n">
        <v>3.75</v>
      </c>
      <c r="E1352" s="10" t="n">
        <f aca="false">C1352*D1352</f>
        <v>15</v>
      </c>
    </row>
    <row r="1353" customFormat="false" ht="15" hidden="false" customHeight="false" outlineLevel="0" collapsed="false">
      <c r="A1353" s="9" t="s">
        <v>864</v>
      </c>
      <c r="B1353" s="9" t="s">
        <v>613</v>
      </c>
      <c r="C1353" s="9" t="n">
        <v>2</v>
      </c>
      <c r="D1353" s="10" t="n">
        <v>12.75</v>
      </c>
      <c r="E1353" s="10" t="n">
        <f aca="false">C1353*D1353</f>
        <v>25.5</v>
      </c>
    </row>
    <row r="1354" customFormat="false" ht="15" hidden="false" customHeight="false" outlineLevel="0" collapsed="false">
      <c r="A1354" s="9" t="s">
        <v>864</v>
      </c>
      <c r="B1354" s="9" t="s">
        <v>873</v>
      </c>
      <c r="C1354" s="9" t="n">
        <v>2</v>
      </c>
      <c r="D1354" s="10" t="n">
        <v>7.95</v>
      </c>
      <c r="E1354" s="10" t="n">
        <f aca="false">C1354*D1354</f>
        <v>15.9</v>
      </c>
    </row>
    <row r="1355" customFormat="false" ht="15" hidden="false" customHeight="false" outlineLevel="0" collapsed="false">
      <c r="A1355" s="9" t="s">
        <v>864</v>
      </c>
      <c r="B1355" s="9" t="s">
        <v>874</v>
      </c>
      <c r="C1355" s="9" t="n">
        <v>2</v>
      </c>
      <c r="D1355" s="10" t="n">
        <v>7.95</v>
      </c>
      <c r="E1355" s="10" t="n">
        <f aca="false">C1355*D1355</f>
        <v>15.9</v>
      </c>
    </row>
    <row r="1356" customFormat="false" ht="15" hidden="false" customHeight="false" outlineLevel="0" collapsed="false">
      <c r="A1356" s="9" t="s">
        <v>864</v>
      </c>
      <c r="B1356" s="9" t="s">
        <v>328</v>
      </c>
      <c r="C1356" s="9" t="n">
        <v>2</v>
      </c>
      <c r="D1356" s="10" t="n">
        <v>7.95</v>
      </c>
      <c r="E1356" s="10" t="n">
        <f aca="false">C1356*D1356</f>
        <v>15.9</v>
      </c>
    </row>
    <row r="1357" customFormat="false" ht="15" hidden="false" customHeight="false" outlineLevel="0" collapsed="false">
      <c r="A1357" s="9" t="s">
        <v>864</v>
      </c>
      <c r="B1357" s="9" t="s">
        <v>776</v>
      </c>
      <c r="C1357" s="9" t="n">
        <v>3</v>
      </c>
      <c r="D1357" s="10" t="n">
        <v>6.95</v>
      </c>
      <c r="E1357" s="10" t="n">
        <f aca="false">C1357*D1357</f>
        <v>20.85</v>
      </c>
    </row>
    <row r="1358" customFormat="false" ht="15" hidden="false" customHeight="false" outlineLevel="0" collapsed="false">
      <c r="A1358" s="9" t="s">
        <v>864</v>
      </c>
      <c r="B1358" s="9" t="s">
        <v>735</v>
      </c>
      <c r="C1358" s="9" t="n">
        <v>8</v>
      </c>
      <c r="D1358" s="10" t="n">
        <v>2.95</v>
      </c>
      <c r="E1358" s="10" t="n">
        <f aca="false">C1358*D1358</f>
        <v>23.6</v>
      </c>
    </row>
    <row r="1359" customFormat="false" ht="15" hidden="false" customHeight="false" outlineLevel="0" collapsed="false">
      <c r="A1359" s="9" t="s">
        <v>875</v>
      </c>
      <c r="B1359" s="9" t="s">
        <v>876</v>
      </c>
      <c r="C1359" s="9" t="n">
        <v>2</v>
      </c>
      <c r="D1359" s="10" t="n">
        <v>7.95</v>
      </c>
      <c r="E1359" s="10" t="n">
        <f aca="false">C1359*D1359</f>
        <v>15.9</v>
      </c>
    </row>
    <row r="1360" customFormat="false" ht="15" hidden="false" customHeight="false" outlineLevel="0" collapsed="false">
      <c r="A1360" s="9" t="s">
        <v>875</v>
      </c>
      <c r="B1360" s="9" t="s">
        <v>51</v>
      </c>
      <c r="C1360" s="9" t="n">
        <v>6</v>
      </c>
      <c r="D1360" s="10" t="n">
        <v>9.95</v>
      </c>
      <c r="E1360" s="10" t="n">
        <f aca="false">C1360*D1360</f>
        <v>59.7</v>
      </c>
    </row>
    <row r="1361" customFormat="false" ht="15" hidden="false" customHeight="false" outlineLevel="0" collapsed="false">
      <c r="A1361" s="9" t="s">
        <v>875</v>
      </c>
      <c r="B1361" s="9" t="s">
        <v>242</v>
      </c>
      <c r="C1361" s="9" t="n">
        <v>12</v>
      </c>
      <c r="D1361" s="10" t="n">
        <v>1.25</v>
      </c>
      <c r="E1361" s="10" t="n">
        <f aca="false">C1361*D1361</f>
        <v>15</v>
      </c>
    </row>
    <row r="1362" customFormat="false" ht="15" hidden="false" customHeight="false" outlineLevel="0" collapsed="false">
      <c r="A1362" s="9" t="s">
        <v>875</v>
      </c>
      <c r="B1362" s="9" t="s">
        <v>243</v>
      </c>
      <c r="C1362" s="9" t="n">
        <v>24</v>
      </c>
      <c r="D1362" s="10" t="n">
        <v>1.25</v>
      </c>
      <c r="E1362" s="10" t="n">
        <f aca="false">C1362*D1362</f>
        <v>30</v>
      </c>
    </row>
    <row r="1363" customFormat="false" ht="15" hidden="false" customHeight="false" outlineLevel="0" collapsed="false">
      <c r="A1363" s="9" t="s">
        <v>875</v>
      </c>
      <c r="B1363" s="9" t="s">
        <v>877</v>
      </c>
      <c r="C1363" s="9" t="n">
        <v>4</v>
      </c>
      <c r="D1363" s="10" t="n">
        <v>8.95</v>
      </c>
      <c r="E1363" s="10" t="n">
        <f aca="false">C1363*D1363</f>
        <v>35.8</v>
      </c>
    </row>
    <row r="1364" customFormat="false" ht="15" hidden="false" customHeight="false" outlineLevel="0" collapsed="false">
      <c r="A1364" s="9" t="s">
        <v>875</v>
      </c>
      <c r="B1364" s="9" t="s">
        <v>878</v>
      </c>
      <c r="C1364" s="9" t="n">
        <v>4</v>
      </c>
      <c r="D1364" s="10" t="n">
        <v>8.95</v>
      </c>
      <c r="E1364" s="10" t="n">
        <f aca="false">C1364*D1364</f>
        <v>35.8</v>
      </c>
    </row>
    <row r="1365" customFormat="false" ht="15" hidden="false" customHeight="false" outlineLevel="0" collapsed="false">
      <c r="A1365" s="9" t="s">
        <v>875</v>
      </c>
      <c r="B1365" s="9" t="s">
        <v>879</v>
      </c>
      <c r="C1365" s="9" t="n">
        <v>2</v>
      </c>
      <c r="D1365" s="10" t="n">
        <v>7.95</v>
      </c>
      <c r="E1365" s="10" t="n">
        <f aca="false">C1365*D1365</f>
        <v>15.9</v>
      </c>
    </row>
    <row r="1366" customFormat="false" ht="15" hidden="false" customHeight="false" outlineLevel="0" collapsed="false">
      <c r="A1366" s="9" t="s">
        <v>875</v>
      </c>
      <c r="B1366" s="9" t="s">
        <v>880</v>
      </c>
      <c r="C1366" s="9" t="n">
        <v>2</v>
      </c>
      <c r="D1366" s="10" t="n">
        <v>7.95</v>
      </c>
      <c r="E1366" s="10" t="n">
        <f aca="false">C1366*D1366</f>
        <v>15.9</v>
      </c>
    </row>
    <row r="1367" customFormat="false" ht="15" hidden="false" customHeight="false" outlineLevel="0" collapsed="false">
      <c r="A1367" s="9" t="s">
        <v>875</v>
      </c>
      <c r="B1367" s="9" t="s">
        <v>881</v>
      </c>
      <c r="C1367" s="9" t="n">
        <v>12</v>
      </c>
      <c r="D1367" s="10" t="n">
        <v>1.69</v>
      </c>
      <c r="E1367" s="10" t="n">
        <f aca="false">C1367*D1367</f>
        <v>20.28</v>
      </c>
    </row>
    <row r="1368" customFormat="false" ht="15" hidden="false" customHeight="false" outlineLevel="0" collapsed="false">
      <c r="A1368" s="9" t="s">
        <v>875</v>
      </c>
      <c r="B1368" s="9" t="s">
        <v>245</v>
      </c>
      <c r="C1368" s="9" t="n">
        <v>12</v>
      </c>
      <c r="D1368" s="10" t="n">
        <v>1.95</v>
      </c>
      <c r="E1368" s="10" t="n">
        <f aca="false">C1368*D1368</f>
        <v>23.4</v>
      </c>
    </row>
    <row r="1369" customFormat="false" ht="15" hidden="false" customHeight="false" outlineLevel="0" collapsed="false">
      <c r="A1369" s="9" t="s">
        <v>875</v>
      </c>
      <c r="B1369" s="9" t="s">
        <v>69</v>
      </c>
      <c r="C1369" s="9" t="n">
        <v>36</v>
      </c>
      <c r="D1369" s="10" t="n">
        <v>0.65</v>
      </c>
      <c r="E1369" s="10" t="n">
        <f aca="false">C1369*D1369</f>
        <v>23.4</v>
      </c>
    </row>
    <row r="1370" customFormat="false" ht="15" hidden="false" customHeight="false" outlineLevel="0" collapsed="false">
      <c r="A1370" s="9" t="s">
        <v>875</v>
      </c>
      <c r="B1370" s="9" t="s">
        <v>882</v>
      </c>
      <c r="C1370" s="9" t="n">
        <v>24</v>
      </c>
      <c r="D1370" s="10" t="n">
        <v>1.65</v>
      </c>
      <c r="E1370" s="10" t="n">
        <f aca="false">C1370*D1370</f>
        <v>39.6</v>
      </c>
    </row>
    <row r="1371" customFormat="false" ht="15" hidden="false" customHeight="false" outlineLevel="0" collapsed="false">
      <c r="A1371" s="9" t="s">
        <v>875</v>
      </c>
      <c r="B1371" s="9" t="s">
        <v>883</v>
      </c>
      <c r="C1371" s="9" t="n">
        <v>6</v>
      </c>
      <c r="D1371" s="10" t="n">
        <v>2.95</v>
      </c>
      <c r="E1371" s="10" t="n">
        <f aca="false">C1371*D1371</f>
        <v>17.7</v>
      </c>
    </row>
    <row r="1372" customFormat="false" ht="15" hidden="false" customHeight="false" outlineLevel="0" collapsed="false">
      <c r="A1372" s="9" t="s">
        <v>875</v>
      </c>
      <c r="B1372" s="9" t="s">
        <v>884</v>
      </c>
      <c r="C1372" s="9" t="n">
        <v>6</v>
      </c>
      <c r="D1372" s="10" t="n">
        <v>2.55</v>
      </c>
      <c r="E1372" s="10" t="n">
        <f aca="false">C1372*D1372</f>
        <v>15.3</v>
      </c>
    </row>
    <row r="1373" customFormat="false" ht="15" hidden="false" customHeight="false" outlineLevel="0" collapsed="false">
      <c r="A1373" s="9" t="s">
        <v>875</v>
      </c>
      <c r="B1373" s="9" t="s">
        <v>885</v>
      </c>
      <c r="C1373" s="9" t="n">
        <v>50</v>
      </c>
      <c r="D1373" s="10" t="n">
        <v>0.85</v>
      </c>
      <c r="E1373" s="10" t="n">
        <f aca="false">C1373*D1373</f>
        <v>42.5</v>
      </c>
    </row>
    <row r="1374" customFormat="false" ht="15" hidden="false" customHeight="false" outlineLevel="0" collapsed="false">
      <c r="A1374" s="9" t="s">
        <v>875</v>
      </c>
      <c r="B1374" s="9" t="s">
        <v>234</v>
      </c>
      <c r="C1374" s="9" t="n">
        <v>4</v>
      </c>
      <c r="D1374" s="10" t="n">
        <v>9.95</v>
      </c>
      <c r="E1374" s="10" t="n">
        <f aca="false">C1374*D1374</f>
        <v>39.8</v>
      </c>
    </row>
    <row r="1375" customFormat="false" ht="15" hidden="false" customHeight="false" outlineLevel="0" collapsed="false">
      <c r="A1375" s="9" t="s">
        <v>875</v>
      </c>
      <c r="B1375" s="9" t="s">
        <v>886</v>
      </c>
      <c r="C1375" s="9" t="n">
        <v>6</v>
      </c>
      <c r="D1375" s="10" t="n">
        <v>2.25</v>
      </c>
      <c r="E1375" s="10" t="n">
        <f aca="false">C1375*D1375</f>
        <v>13.5</v>
      </c>
    </row>
    <row r="1376" customFormat="false" ht="15" hidden="false" customHeight="false" outlineLevel="0" collapsed="false">
      <c r="A1376" s="9" t="s">
        <v>875</v>
      </c>
      <c r="B1376" s="9" t="s">
        <v>495</v>
      </c>
      <c r="C1376" s="9" t="n">
        <v>12</v>
      </c>
      <c r="D1376" s="10" t="n">
        <v>1.45</v>
      </c>
      <c r="E1376" s="10" t="n">
        <f aca="false">C1376*D1376</f>
        <v>17.4</v>
      </c>
    </row>
    <row r="1377" customFormat="false" ht="15" hidden="false" customHeight="false" outlineLevel="0" collapsed="false">
      <c r="A1377" s="9" t="s">
        <v>875</v>
      </c>
      <c r="B1377" s="9" t="s">
        <v>887</v>
      </c>
      <c r="C1377" s="9" t="n">
        <v>6</v>
      </c>
      <c r="D1377" s="10" t="n">
        <v>2.25</v>
      </c>
      <c r="E1377" s="10" t="n">
        <f aca="false">C1377*D1377</f>
        <v>13.5</v>
      </c>
    </row>
    <row r="1378" customFormat="false" ht="15" hidden="false" customHeight="false" outlineLevel="0" collapsed="false">
      <c r="A1378" s="9" t="s">
        <v>888</v>
      </c>
      <c r="B1378" s="9" t="s">
        <v>384</v>
      </c>
      <c r="C1378" s="9" t="n">
        <v>12</v>
      </c>
      <c r="D1378" s="10" t="n">
        <v>1.25</v>
      </c>
      <c r="E1378" s="10" t="n">
        <f aca="false">C1378*D1378</f>
        <v>15</v>
      </c>
    </row>
    <row r="1379" customFormat="false" ht="15" hidden="false" customHeight="false" outlineLevel="0" collapsed="false">
      <c r="A1379" s="9" t="s">
        <v>889</v>
      </c>
      <c r="B1379" s="9" t="s">
        <v>658</v>
      </c>
      <c r="C1379" s="9" t="n">
        <v>20</v>
      </c>
      <c r="D1379" s="10" t="n">
        <v>1.95</v>
      </c>
      <c r="E1379" s="10" t="n">
        <f aca="false">C1379*D1379</f>
        <v>39</v>
      </c>
    </row>
    <row r="1380" customFormat="false" ht="15" hidden="false" customHeight="false" outlineLevel="0" collapsed="false">
      <c r="A1380" s="9" t="s">
        <v>889</v>
      </c>
      <c r="B1380" s="9" t="s">
        <v>37</v>
      </c>
      <c r="C1380" s="9" t="n">
        <v>32</v>
      </c>
      <c r="D1380" s="10" t="n">
        <v>2.95</v>
      </c>
      <c r="E1380" s="10" t="n">
        <f aca="false">C1380*D1380</f>
        <v>94.4</v>
      </c>
    </row>
    <row r="1381" customFormat="false" ht="15" hidden="false" customHeight="false" outlineLevel="0" collapsed="false">
      <c r="A1381" s="9" t="s">
        <v>889</v>
      </c>
      <c r="B1381" s="9" t="s">
        <v>405</v>
      </c>
      <c r="C1381" s="9" t="n">
        <v>30</v>
      </c>
      <c r="D1381" s="10" t="n">
        <v>1.95</v>
      </c>
      <c r="E1381" s="10" t="n">
        <f aca="false">C1381*D1381</f>
        <v>58.5</v>
      </c>
    </row>
    <row r="1382" customFormat="false" ht="15" hidden="false" customHeight="false" outlineLevel="0" collapsed="false">
      <c r="A1382" s="9" t="s">
        <v>889</v>
      </c>
      <c r="B1382" s="9" t="s">
        <v>890</v>
      </c>
      <c r="C1382" s="9" t="n">
        <v>20</v>
      </c>
      <c r="D1382" s="10" t="n">
        <v>1.95</v>
      </c>
      <c r="E1382" s="10" t="n">
        <f aca="false">C1382*D1382</f>
        <v>39</v>
      </c>
    </row>
    <row r="1383" customFormat="false" ht="15" hidden="false" customHeight="false" outlineLevel="0" collapsed="false">
      <c r="A1383" s="9" t="s">
        <v>889</v>
      </c>
      <c r="B1383" s="9" t="s">
        <v>109</v>
      </c>
      <c r="C1383" s="9" t="n">
        <v>40</v>
      </c>
      <c r="D1383" s="10" t="n">
        <v>1.95</v>
      </c>
      <c r="E1383" s="10" t="n">
        <f aca="false">C1383*D1383</f>
        <v>78</v>
      </c>
    </row>
    <row r="1384" customFormat="false" ht="15" hidden="false" customHeight="false" outlineLevel="0" collapsed="false">
      <c r="A1384" s="9" t="s">
        <v>889</v>
      </c>
      <c r="B1384" s="9" t="s">
        <v>150</v>
      </c>
      <c r="C1384" s="9" t="n">
        <v>30</v>
      </c>
      <c r="D1384" s="10" t="n">
        <v>1.95</v>
      </c>
      <c r="E1384" s="10" t="n">
        <f aca="false">C1384*D1384</f>
        <v>58.5</v>
      </c>
    </row>
    <row r="1385" customFormat="false" ht="15" hidden="false" customHeight="false" outlineLevel="0" collapsed="false">
      <c r="A1385" s="9" t="s">
        <v>889</v>
      </c>
      <c r="B1385" s="9" t="s">
        <v>891</v>
      </c>
      <c r="C1385" s="9" t="n">
        <v>20</v>
      </c>
      <c r="D1385" s="10" t="n">
        <v>1.95</v>
      </c>
      <c r="E1385" s="10" t="n">
        <f aca="false">C1385*D1385</f>
        <v>39</v>
      </c>
    </row>
    <row r="1386" customFormat="false" ht="15" hidden="false" customHeight="false" outlineLevel="0" collapsed="false">
      <c r="A1386" s="9" t="s">
        <v>889</v>
      </c>
      <c r="B1386" s="9" t="s">
        <v>125</v>
      </c>
      <c r="C1386" s="9" t="n">
        <v>20</v>
      </c>
      <c r="D1386" s="10" t="n">
        <v>1.95</v>
      </c>
      <c r="E1386" s="10" t="n">
        <f aca="false">C1386*D1386</f>
        <v>39</v>
      </c>
    </row>
    <row r="1387" customFormat="false" ht="15" hidden="false" customHeight="false" outlineLevel="0" collapsed="false">
      <c r="A1387" s="9" t="s">
        <v>889</v>
      </c>
      <c r="B1387" s="9" t="s">
        <v>739</v>
      </c>
      <c r="C1387" s="9" t="n">
        <v>20</v>
      </c>
      <c r="D1387" s="10" t="n">
        <v>1.95</v>
      </c>
      <c r="E1387" s="10" t="n">
        <f aca="false">C1387*D1387</f>
        <v>39</v>
      </c>
    </row>
    <row r="1388" customFormat="false" ht="15" hidden="false" customHeight="false" outlineLevel="0" collapsed="false">
      <c r="A1388" s="9" t="s">
        <v>889</v>
      </c>
      <c r="B1388" s="9" t="s">
        <v>171</v>
      </c>
      <c r="C1388" s="9" t="n">
        <v>20</v>
      </c>
      <c r="D1388" s="10" t="n">
        <v>2.1</v>
      </c>
      <c r="E1388" s="10" t="n">
        <f aca="false">C1388*D1388</f>
        <v>42</v>
      </c>
    </row>
    <row r="1389" customFormat="false" ht="15" hidden="false" customHeight="false" outlineLevel="0" collapsed="false">
      <c r="A1389" s="9" t="s">
        <v>889</v>
      </c>
      <c r="B1389" s="9" t="s">
        <v>193</v>
      </c>
      <c r="C1389" s="9" t="n">
        <v>40</v>
      </c>
      <c r="D1389" s="10" t="n">
        <v>1.95</v>
      </c>
      <c r="E1389" s="10" t="n">
        <f aca="false">C1389*D1389</f>
        <v>78</v>
      </c>
    </row>
    <row r="1390" customFormat="false" ht="15" hidden="false" customHeight="false" outlineLevel="0" collapsed="false">
      <c r="A1390" s="9" t="s">
        <v>889</v>
      </c>
      <c r="B1390" s="9" t="s">
        <v>108</v>
      </c>
      <c r="C1390" s="9" t="n">
        <v>30</v>
      </c>
      <c r="D1390" s="10" t="n">
        <v>1.95</v>
      </c>
      <c r="E1390" s="10" t="n">
        <f aca="false">C1390*D1390</f>
        <v>58.5</v>
      </c>
    </row>
    <row r="1391" customFormat="false" ht="15" hidden="false" customHeight="false" outlineLevel="0" collapsed="false">
      <c r="A1391" s="9" t="s">
        <v>889</v>
      </c>
      <c r="B1391" s="9" t="s">
        <v>344</v>
      </c>
      <c r="C1391" s="9" t="n">
        <v>20</v>
      </c>
      <c r="D1391" s="10" t="n">
        <v>1.65</v>
      </c>
      <c r="E1391" s="10" t="n">
        <f aca="false">C1391*D1391</f>
        <v>33</v>
      </c>
    </row>
    <row r="1392" customFormat="false" ht="15" hidden="false" customHeight="false" outlineLevel="0" collapsed="false">
      <c r="A1392" s="9" t="s">
        <v>889</v>
      </c>
      <c r="B1392" s="9" t="s">
        <v>342</v>
      </c>
      <c r="C1392" s="9" t="n">
        <v>10</v>
      </c>
      <c r="D1392" s="10" t="n">
        <v>1.65</v>
      </c>
      <c r="E1392" s="10" t="n">
        <f aca="false">C1392*D1392</f>
        <v>16.5</v>
      </c>
    </row>
    <row r="1393" customFormat="false" ht="15" hidden="false" customHeight="false" outlineLevel="0" collapsed="false">
      <c r="A1393" s="9" t="s">
        <v>889</v>
      </c>
      <c r="B1393" s="9" t="s">
        <v>296</v>
      </c>
      <c r="C1393" s="9" t="n">
        <v>10</v>
      </c>
      <c r="D1393" s="10" t="n">
        <v>1.65</v>
      </c>
      <c r="E1393" s="10" t="n">
        <f aca="false">C1393*D1393</f>
        <v>16.5</v>
      </c>
    </row>
    <row r="1394" customFormat="false" ht="15" hidden="false" customHeight="false" outlineLevel="0" collapsed="false">
      <c r="A1394" s="9" t="s">
        <v>889</v>
      </c>
      <c r="B1394" s="9" t="s">
        <v>410</v>
      </c>
      <c r="C1394" s="9" t="n">
        <v>30</v>
      </c>
      <c r="D1394" s="10" t="n">
        <v>1.95</v>
      </c>
      <c r="E1394" s="10" t="n">
        <f aca="false">C1394*D1394</f>
        <v>58.5</v>
      </c>
    </row>
    <row r="1395" customFormat="false" ht="15" hidden="false" customHeight="false" outlineLevel="0" collapsed="false">
      <c r="A1395" s="9" t="s">
        <v>892</v>
      </c>
      <c r="B1395" s="9" t="s">
        <v>893</v>
      </c>
      <c r="C1395" s="9" t="n">
        <v>1</v>
      </c>
      <c r="D1395" s="10" t="n">
        <v>2.96</v>
      </c>
      <c r="E1395" s="10" t="n">
        <f aca="false">C1395*D1395</f>
        <v>2.96</v>
      </c>
    </row>
    <row r="1396" customFormat="false" ht="15" hidden="false" customHeight="false" outlineLevel="0" collapsed="false">
      <c r="A1396" s="9" t="s">
        <v>892</v>
      </c>
      <c r="B1396" s="9" t="s">
        <v>576</v>
      </c>
      <c r="C1396" s="9" t="n">
        <v>2</v>
      </c>
      <c r="D1396" s="10" t="n">
        <v>1.66</v>
      </c>
      <c r="E1396" s="10" t="n">
        <f aca="false">C1396*D1396</f>
        <v>3.32</v>
      </c>
    </row>
    <row r="1397" customFormat="false" ht="15" hidden="false" customHeight="false" outlineLevel="0" collapsed="false">
      <c r="A1397" s="9" t="s">
        <v>892</v>
      </c>
      <c r="B1397" s="9" t="s">
        <v>894</v>
      </c>
      <c r="C1397" s="9" t="n">
        <v>1</v>
      </c>
      <c r="D1397" s="10" t="n">
        <v>4.95</v>
      </c>
      <c r="E1397" s="10" t="n">
        <f aca="false">C1397*D1397</f>
        <v>4.95</v>
      </c>
    </row>
    <row r="1398" customFormat="false" ht="15" hidden="false" customHeight="false" outlineLevel="0" collapsed="false">
      <c r="A1398" s="9" t="s">
        <v>892</v>
      </c>
      <c r="B1398" s="9" t="s">
        <v>895</v>
      </c>
      <c r="C1398" s="9" t="n">
        <v>1</v>
      </c>
      <c r="D1398" s="10" t="n">
        <v>3.81</v>
      </c>
      <c r="E1398" s="10" t="n">
        <f aca="false">C1398*D1398</f>
        <v>3.81</v>
      </c>
    </row>
    <row r="1399" customFormat="false" ht="15" hidden="false" customHeight="false" outlineLevel="0" collapsed="false">
      <c r="A1399" s="9" t="s">
        <v>892</v>
      </c>
      <c r="B1399" s="9" t="s">
        <v>896</v>
      </c>
      <c r="C1399" s="9" t="n">
        <v>1</v>
      </c>
      <c r="D1399" s="10" t="n">
        <v>4.24</v>
      </c>
      <c r="E1399" s="10" t="n">
        <f aca="false">C1399*D1399</f>
        <v>4.24</v>
      </c>
    </row>
    <row r="1400" customFormat="false" ht="15" hidden="false" customHeight="false" outlineLevel="0" collapsed="false">
      <c r="A1400" s="9" t="s">
        <v>892</v>
      </c>
      <c r="B1400" s="9" t="s">
        <v>897</v>
      </c>
      <c r="C1400" s="9" t="n">
        <v>1</v>
      </c>
      <c r="D1400" s="10" t="n">
        <v>3.81</v>
      </c>
      <c r="E1400" s="10" t="n">
        <f aca="false">C1400*D1400</f>
        <v>3.81</v>
      </c>
    </row>
    <row r="1401" customFormat="false" ht="15" hidden="false" customHeight="false" outlineLevel="0" collapsed="false">
      <c r="A1401" s="9" t="s">
        <v>892</v>
      </c>
      <c r="B1401" s="9" t="s">
        <v>898</v>
      </c>
      <c r="C1401" s="9" t="n">
        <v>1</v>
      </c>
      <c r="D1401" s="10" t="n">
        <v>4.24</v>
      </c>
      <c r="E1401" s="10" t="n">
        <f aca="false">C1401*D1401</f>
        <v>4.24</v>
      </c>
    </row>
    <row r="1402" customFormat="false" ht="15" hidden="false" customHeight="false" outlineLevel="0" collapsed="false">
      <c r="A1402" s="9" t="s">
        <v>892</v>
      </c>
      <c r="B1402" s="9" t="s">
        <v>899</v>
      </c>
      <c r="C1402" s="9" t="n">
        <v>1</v>
      </c>
      <c r="D1402" s="10" t="n">
        <v>5.06</v>
      </c>
      <c r="E1402" s="10" t="n">
        <f aca="false">C1402*D1402</f>
        <v>5.06</v>
      </c>
    </row>
    <row r="1403" customFormat="false" ht="15" hidden="false" customHeight="false" outlineLevel="0" collapsed="false">
      <c r="A1403" s="9" t="s">
        <v>892</v>
      </c>
      <c r="B1403" s="9" t="s">
        <v>900</v>
      </c>
      <c r="C1403" s="9" t="n">
        <v>1</v>
      </c>
      <c r="D1403" s="10" t="n">
        <v>2.51</v>
      </c>
      <c r="E1403" s="10" t="n">
        <f aca="false">C1403*D1403</f>
        <v>2.51</v>
      </c>
    </row>
    <row r="1404" customFormat="false" ht="15" hidden="false" customHeight="false" outlineLevel="0" collapsed="false">
      <c r="A1404" s="9" t="s">
        <v>892</v>
      </c>
      <c r="B1404" s="9" t="s">
        <v>848</v>
      </c>
      <c r="C1404" s="9" t="n">
        <v>10</v>
      </c>
      <c r="D1404" s="10" t="n">
        <v>0.85</v>
      </c>
      <c r="E1404" s="10" t="n">
        <f aca="false">C1404*D1404</f>
        <v>8.5</v>
      </c>
    </row>
    <row r="1405" customFormat="false" ht="15" hidden="false" customHeight="false" outlineLevel="0" collapsed="false">
      <c r="A1405" s="9" t="s">
        <v>892</v>
      </c>
      <c r="B1405" s="9" t="s">
        <v>901</v>
      </c>
      <c r="C1405" s="9" t="n">
        <v>2</v>
      </c>
      <c r="D1405" s="10" t="n">
        <v>1.66</v>
      </c>
      <c r="E1405" s="10" t="n">
        <f aca="false">C1405*D1405</f>
        <v>3.32</v>
      </c>
    </row>
    <row r="1406" customFormat="false" ht="15" hidden="false" customHeight="false" outlineLevel="0" collapsed="false">
      <c r="A1406" s="9" t="s">
        <v>892</v>
      </c>
      <c r="B1406" s="9" t="s">
        <v>902</v>
      </c>
      <c r="C1406" s="9" t="n">
        <v>1</v>
      </c>
      <c r="D1406" s="10" t="n">
        <v>1.66</v>
      </c>
      <c r="E1406" s="10" t="n">
        <f aca="false">C1406*D1406</f>
        <v>1.66</v>
      </c>
    </row>
    <row r="1407" customFormat="false" ht="15" hidden="false" customHeight="false" outlineLevel="0" collapsed="false">
      <c r="A1407" s="9" t="s">
        <v>892</v>
      </c>
      <c r="B1407" s="9" t="s">
        <v>903</v>
      </c>
      <c r="C1407" s="9" t="n">
        <v>1</v>
      </c>
      <c r="D1407" s="10" t="n">
        <v>5.09</v>
      </c>
      <c r="E1407" s="10" t="n">
        <f aca="false">C1407*D1407</f>
        <v>5.09</v>
      </c>
    </row>
    <row r="1408" customFormat="false" ht="15" hidden="false" customHeight="false" outlineLevel="0" collapsed="false">
      <c r="A1408" s="9" t="s">
        <v>892</v>
      </c>
      <c r="B1408" s="9" t="s">
        <v>904</v>
      </c>
      <c r="C1408" s="9" t="n">
        <v>1</v>
      </c>
      <c r="D1408" s="10" t="n">
        <v>1.26</v>
      </c>
      <c r="E1408" s="10" t="n">
        <f aca="false">C1408*D1408</f>
        <v>1.26</v>
      </c>
    </row>
    <row r="1409" customFormat="false" ht="15" hidden="false" customHeight="false" outlineLevel="0" collapsed="false">
      <c r="A1409" s="9" t="s">
        <v>892</v>
      </c>
      <c r="B1409" s="9" t="s">
        <v>905</v>
      </c>
      <c r="C1409" s="9" t="n">
        <v>1</v>
      </c>
      <c r="D1409" s="10" t="n">
        <v>0.85</v>
      </c>
      <c r="E1409" s="10" t="n">
        <f aca="false">C1409*D1409</f>
        <v>0.85</v>
      </c>
    </row>
    <row r="1410" customFormat="false" ht="15" hidden="false" customHeight="false" outlineLevel="0" collapsed="false">
      <c r="A1410" s="9" t="s">
        <v>892</v>
      </c>
      <c r="B1410" s="9" t="s">
        <v>252</v>
      </c>
      <c r="C1410" s="9" t="n">
        <v>1</v>
      </c>
      <c r="D1410" s="10" t="n">
        <v>4.21</v>
      </c>
      <c r="E1410" s="10" t="n">
        <f aca="false">C1410*D1410</f>
        <v>4.21</v>
      </c>
    </row>
    <row r="1411" customFormat="false" ht="15" hidden="false" customHeight="false" outlineLevel="0" collapsed="false">
      <c r="A1411" s="9" t="s">
        <v>892</v>
      </c>
      <c r="B1411" s="9" t="s">
        <v>906</v>
      </c>
      <c r="C1411" s="9" t="n">
        <v>1</v>
      </c>
      <c r="D1411" s="10" t="n">
        <v>1.66</v>
      </c>
      <c r="E1411" s="10" t="n">
        <f aca="false">C1411*D1411</f>
        <v>1.66</v>
      </c>
    </row>
    <row r="1412" customFormat="false" ht="15" hidden="false" customHeight="false" outlineLevel="0" collapsed="false">
      <c r="A1412" s="9" t="s">
        <v>892</v>
      </c>
      <c r="B1412" s="9" t="s">
        <v>907</v>
      </c>
      <c r="C1412" s="9" t="n">
        <v>5</v>
      </c>
      <c r="D1412" s="10" t="n">
        <v>1.66</v>
      </c>
      <c r="E1412" s="10" t="n">
        <f aca="false">C1412*D1412</f>
        <v>8.3</v>
      </c>
    </row>
    <row r="1413" customFormat="false" ht="15" hidden="false" customHeight="false" outlineLevel="0" collapsed="false">
      <c r="A1413" s="9" t="s">
        <v>892</v>
      </c>
      <c r="B1413" s="9" t="s">
        <v>908</v>
      </c>
      <c r="C1413" s="9" t="n">
        <v>1</v>
      </c>
      <c r="D1413" s="10" t="n">
        <v>8.47</v>
      </c>
      <c r="E1413" s="10" t="n">
        <f aca="false">C1413*D1413</f>
        <v>8.47</v>
      </c>
    </row>
    <row r="1414" customFormat="false" ht="15" hidden="false" customHeight="false" outlineLevel="0" collapsed="false">
      <c r="A1414" s="9" t="s">
        <v>892</v>
      </c>
      <c r="B1414" s="9" t="s">
        <v>876</v>
      </c>
      <c r="C1414" s="9" t="n">
        <v>1</v>
      </c>
      <c r="D1414" s="10" t="n">
        <v>8.47</v>
      </c>
      <c r="E1414" s="10" t="n">
        <f aca="false">C1414*D1414</f>
        <v>8.47</v>
      </c>
    </row>
    <row r="1415" customFormat="false" ht="15" hidden="false" customHeight="false" outlineLevel="0" collapsed="false">
      <c r="A1415" s="9" t="s">
        <v>892</v>
      </c>
      <c r="B1415" s="9" t="s">
        <v>909</v>
      </c>
      <c r="C1415" s="9" t="n">
        <v>2</v>
      </c>
      <c r="D1415" s="10" t="n">
        <v>8.47</v>
      </c>
      <c r="E1415" s="10" t="n">
        <f aca="false">C1415*D1415</f>
        <v>16.94</v>
      </c>
    </row>
    <row r="1416" customFormat="false" ht="15" hidden="false" customHeight="false" outlineLevel="0" collapsed="false">
      <c r="A1416" s="9" t="s">
        <v>892</v>
      </c>
      <c r="B1416" s="9" t="s">
        <v>910</v>
      </c>
      <c r="C1416" s="9" t="n">
        <v>2</v>
      </c>
      <c r="D1416" s="10" t="n">
        <v>0.85</v>
      </c>
      <c r="E1416" s="10" t="n">
        <f aca="false">C1416*D1416</f>
        <v>1.7</v>
      </c>
    </row>
    <row r="1417" customFormat="false" ht="15" hidden="false" customHeight="false" outlineLevel="0" collapsed="false">
      <c r="A1417" s="9" t="s">
        <v>892</v>
      </c>
      <c r="B1417" s="9" t="s">
        <v>911</v>
      </c>
      <c r="C1417" s="9" t="n">
        <v>1</v>
      </c>
      <c r="D1417" s="10" t="n">
        <v>2.51</v>
      </c>
      <c r="E1417" s="10" t="n">
        <f aca="false">C1417*D1417</f>
        <v>2.51</v>
      </c>
    </row>
    <row r="1418" customFormat="false" ht="15" hidden="false" customHeight="false" outlineLevel="0" collapsed="false">
      <c r="A1418" s="9" t="s">
        <v>892</v>
      </c>
      <c r="B1418" s="9" t="s">
        <v>912</v>
      </c>
      <c r="C1418" s="9" t="n">
        <v>2</v>
      </c>
      <c r="D1418" s="10" t="n">
        <v>10.17</v>
      </c>
      <c r="E1418" s="10" t="n">
        <f aca="false">C1418*D1418</f>
        <v>20.34</v>
      </c>
    </row>
    <row r="1419" customFormat="false" ht="15" hidden="false" customHeight="false" outlineLevel="0" collapsed="false">
      <c r="A1419" s="9" t="s">
        <v>892</v>
      </c>
      <c r="B1419" s="9" t="s">
        <v>37</v>
      </c>
      <c r="C1419" s="9" t="n">
        <v>4</v>
      </c>
      <c r="D1419" s="10" t="n">
        <v>5.91</v>
      </c>
      <c r="E1419" s="10" t="n">
        <f aca="false">C1419*D1419</f>
        <v>23.64</v>
      </c>
    </row>
    <row r="1420" customFormat="false" ht="15" hidden="false" customHeight="false" outlineLevel="0" collapsed="false">
      <c r="A1420" s="9" t="s">
        <v>892</v>
      </c>
      <c r="B1420" s="9" t="s">
        <v>417</v>
      </c>
      <c r="C1420" s="9" t="n">
        <v>3</v>
      </c>
      <c r="D1420" s="10" t="n">
        <v>1.66</v>
      </c>
      <c r="E1420" s="10" t="n">
        <f aca="false">C1420*D1420</f>
        <v>4.98</v>
      </c>
    </row>
    <row r="1421" customFormat="false" ht="15" hidden="false" customHeight="false" outlineLevel="0" collapsed="false">
      <c r="A1421" s="9" t="s">
        <v>892</v>
      </c>
      <c r="B1421" s="9" t="s">
        <v>756</v>
      </c>
      <c r="C1421" s="9" t="n">
        <v>11</v>
      </c>
      <c r="D1421" s="10" t="n">
        <v>3.36</v>
      </c>
      <c r="E1421" s="10" t="n">
        <f aca="false">C1421*D1421</f>
        <v>36.96</v>
      </c>
    </row>
    <row r="1422" customFormat="false" ht="15" hidden="false" customHeight="false" outlineLevel="0" collapsed="false">
      <c r="A1422" s="9" t="s">
        <v>892</v>
      </c>
      <c r="B1422" s="9" t="s">
        <v>193</v>
      </c>
      <c r="C1422" s="9" t="n">
        <v>1</v>
      </c>
      <c r="D1422" s="10" t="n">
        <v>4.21</v>
      </c>
      <c r="E1422" s="10" t="n">
        <f aca="false">C1422*D1422</f>
        <v>4.21</v>
      </c>
    </row>
    <row r="1423" customFormat="false" ht="15" hidden="false" customHeight="false" outlineLevel="0" collapsed="false">
      <c r="A1423" s="9" t="s">
        <v>892</v>
      </c>
      <c r="B1423" s="9" t="s">
        <v>913</v>
      </c>
      <c r="C1423" s="9" t="n">
        <v>1</v>
      </c>
      <c r="D1423" s="10" t="n">
        <v>11.02</v>
      </c>
      <c r="E1423" s="10" t="n">
        <f aca="false">C1423*D1423</f>
        <v>11.02</v>
      </c>
    </row>
    <row r="1424" customFormat="false" ht="15" hidden="false" customHeight="false" outlineLevel="0" collapsed="false">
      <c r="A1424" s="9" t="s">
        <v>892</v>
      </c>
      <c r="B1424" s="9" t="s">
        <v>914</v>
      </c>
      <c r="C1424" s="9" t="n">
        <v>1</v>
      </c>
      <c r="D1424" s="10" t="n">
        <v>2.51</v>
      </c>
      <c r="E1424" s="10" t="n">
        <f aca="false">C1424*D1424</f>
        <v>2.51</v>
      </c>
    </row>
    <row r="1425" customFormat="false" ht="15" hidden="false" customHeight="false" outlineLevel="0" collapsed="false">
      <c r="A1425" s="9" t="s">
        <v>892</v>
      </c>
      <c r="B1425" s="9" t="s">
        <v>915</v>
      </c>
      <c r="C1425" s="9" t="n">
        <v>1</v>
      </c>
      <c r="D1425" s="10" t="n">
        <v>4.24</v>
      </c>
      <c r="E1425" s="10" t="n">
        <f aca="false">C1425*D1425</f>
        <v>4.24</v>
      </c>
    </row>
    <row r="1426" customFormat="false" ht="15" hidden="false" customHeight="false" outlineLevel="0" collapsed="false">
      <c r="A1426" s="9" t="s">
        <v>892</v>
      </c>
      <c r="B1426" s="9" t="s">
        <v>916</v>
      </c>
      <c r="C1426" s="9" t="n">
        <v>3</v>
      </c>
      <c r="D1426" s="10" t="n">
        <v>3.36</v>
      </c>
      <c r="E1426" s="10" t="n">
        <f aca="false">C1426*D1426</f>
        <v>10.08</v>
      </c>
    </row>
    <row r="1427" customFormat="false" ht="15" hidden="false" customHeight="false" outlineLevel="0" collapsed="false">
      <c r="A1427" s="9" t="s">
        <v>892</v>
      </c>
      <c r="B1427" s="9" t="s">
        <v>596</v>
      </c>
      <c r="C1427" s="9" t="n">
        <v>1</v>
      </c>
      <c r="D1427" s="10" t="n">
        <v>4.24</v>
      </c>
      <c r="E1427" s="10" t="n">
        <f aca="false">C1427*D1427</f>
        <v>4.24</v>
      </c>
    </row>
    <row r="1428" customFormat="false" ht="15" hidden="false" customHeight="false" outlineLevel="0" collapsed="false">
      <c r="A1428" s="9" t="s">
        <v>892</v>
      </c>
      <c r="B1428" s="9" t="s">
        <v>917</v>
      </c>
      <c r="C1428" s="9" t="n">
        <v>6</v>
      </c>
      <c r="D1428" s="10" t="n">
        <v>1.65</v>
      </c>
      <c r="E1428" s="10" t="n">
        <f aca="false">C1428*D1428</f>
        <v>9.9</v>
      </c>
    </row>
    <row r="1429" customFormat="false" ht="15" hidden="false" customHeight="false" outlineLevel="0" collapsed="false">
      <c r="A1429" s="9" t="s">
        <v>892</v>
      </c>
      <c r="B1429" s="9" t="s">
        <v>918</v>
      </c>
      <c r="C1429" s="9" t="n">
        <v>6</v>
      </c>
      <c r="D1429" s="10" t="n">
        <v>1.65</v>
      </c>
      <c r="E1429" s="10" t="n">
        <f aca="false">C1429*D1429</f>
        <v>9.9</v>
      </c>
    </row>
    <row r="1430" customFormat="false" ht="15" hidden="false" customHeight="false" outlineLevel="0" collapsed="false">
      <c r="A1430" s="9" t="s">
        <v>892</v>
      </c>
      <c r="B1430" s="9" t="s">
        <v>113</v>
      </c>
      <c r="C1430" s="9" t="n">
        <v>3</v>
      </c>
      <c r="D1430" s="10" t="n">
        <v>1.28</v>
      </c>
      <c r="E1430" s="10" t="n">
        <f aca="false">C1430*D1430</f>
        <v>3.84</v>
      </c>
    </row>
    <row r="1431" customFormat="false" ht="15" hidden="false" customHeight="false" outlineLevel="0" collapsed="false">
      <c r="A1431" s="9" t="s">
        <v>892</v>
      </c>
      <c r="B1431" s="9" t="s">
        <v>919</v>
      </c>
      <c r="C1431" s="9" t="n">
        <v>1</v>
      </c>
      <c r="D1431" s="10" t="n">
        <v>2.98</v>
      </c>
      <c r="E1431" s="10" t="n">
        <f aca="false">C1431*D1431</f>
        <v>2.98</v>
      </c>
    </row>
    <row r="1432" customFormat="false" ht="15" hidden="false" customHeight="false" outlineLevel="0" collapsed="false">
      <c r="A1432" s="9" t="s">
        <v>892</v>
      </c>
      <c r="B1432" s="9" t="s">
        <v>391</v>
      </c>
      <c r="C1432" s="9" t="n">
        <v>1</v>
      </c>
      <c r="D1432" s="10" t="n">
        <v>3.36</v>
      </c>
      <c r="E1432" s="10" t="n">
        <f aca="false">C1432*D1432</f>
        <v>3.36</v>
      </c>
    </row>
    <row r="1433" customFormat="false" ht="15" hidden="false" customHeight="false" outlineLevel="0" collapsed="false">
      <c r="A1433" s="9" t="s">
        <v>892</v>
      </c>
      <c r="B1433" s="9" t="s">
        <v>920</v>
      </c>
      <c r="C1433" s="9" t="n">
        <v>30</v>
      </c>
      <c r="D1433" s="10" t="n">
        <v>2.51</v>
      </c>
      <c r="E1433" s="10" t="n">
        <f aca="false">C1433*D1433</f>
        <v>75.3</v>
      </c>
    </row>
    <row r="1434" customFormat="false" ht="15" hidden="false" customHeight="false" outlineLevel="0" collapsed="false">
      <c r="A1434" s="9" t="s">
        <v>892</v>
      </c>
      <c r="B1434" s="9" t="s">
        <v>921</v>
      </c>
      <c r="C1434" s="9" t="n">
        <v>1</v>
      </c>
      <c r="D1434" s="10" t="n">
        <v>4.21</v>
      </c>
      <c r="E1434" s="10" t="n">
        <f aca="false">C1434*D1434</f>
        <v>4.21</v>
      </c>
    </row>
    <row r="1435" customFormat="false" ht="15" hidden="false" customHeight="false" outlineLevel="0" collapsed="false">
      <c r="A1435" s="9" t="s">
        <v>892</v>
      </c>
      <c r="B1435" s="9" t="s">
        <v>482</v>
      </c>
      <c r="C1435" s="9" t="n">
        <v>1</v>
      </c>
      <c r="D1435" s="10" t="n">
        <v>2.51</v>
      </c>
      <c r="E1435" s="10" t="n">
        <f aca="false">C1435*D1435</f>
        <v>2.51</v>
      </c>
    </row>
    <row r="1436" customFormat="false" ht="15" hidden="false" customHeight="false" outlineLevel="0" collapsed="false">
      <c r="A1436" s="9" t="s">
        <v>892</v>
      </c>
      <c r="B1436" s="9" t="s">
        <v>922</v>
      </c>
      <c r="C1436" s="9" t="n">
        <v>1</v>
      </c>
      <c r="D1436" s="10" t="n">
        <v>3.36</v>
      </c>
      <c r="E1436" s="10" t="n">
        <f aca="false">C1436*D1436</f>
        <v>3.36</v>
      </c>
    </row>
    <row r="1437" customFormat="false" ht="15" hidden="false" customHeight="false" outlineLevel="0" collapsed="false">
      <c r="A1437" s="9" t="s">
        <v>892</v>
      </c>
      <c r="B1437" s="9" t="s">
        <v>923</v>
      </c>
      <c r="C1437" s="9" t="n">
        <v>2</v>
      </c>
      <c r="D1437" s="10" t="n">
        <v>3.36</v>
      </c>
      <c r="E1437" s="10" t="n">
        <f aca="false">C1437*D1437</f>
        <v>6.72</v>
      </c>
    </row>
    <row r="1438" customFormat="false" ht="15" hidden="false" customHeight="false" outlineLevel="0" collapsed="false">
      <c r="A1438" s="9" t="s">
        <v>892</v>
      </c>
      <c r="B1438" s="9" t="s">
        <v>135</v>
      </c>
      <c r="C1438" s="9" t="n">
        <v>3</v>
      </c>
      <c r="D1438" s="10" t="n">
        <v>1.66</v>
      </c>
      <c r="E1438" s="10" t="n">
        <f aca="false">C1438*D1438</f>
        <v>4.98</v>
      </c>
    </row>
    <row r="1439" customFormat="false" ht="15" hidden="false" customHeight="false" outlineLevel="0" collapsed="false">
      <c r="A1439" s="9" t="s">
        <v>892</v>
      </c>
      <c r="B1439" s="9" t="s">
        <v>813</v>
      </c>
      <c r="C1439" s="9" t="n">
        <v>1</v>
      </c>
      <c r="D1439" s="10" t="n">
        <v>0.85</v>
      </c>
      <c r="E1439" s="10" t="n">
        <f aca="false">C1439*D1439</f>
        <v>0.85</v>
      </c>
    </row>
    <row r="1440" customFormat="false" ht="15" hidden="false" customHeight="false" outlineLevel="0" collapsed="false">
      <c r="A1440" s="9" t="s">
        <v>892</v>
      </c>
      <c r="B1440" s="9" t="s">
        <v>301</v>
      </c>
      <c r="C1440" s="9" t="n">
        <v>1</v>
      </c>
      <c r="D1440" s="10" t="n">
        <v>5.91</v>
      </c>
      <c r="E1440" s="10" t="n">
        <f aca="false">C1440*D1440</f>
        <v>5.91</v>
      </c>
    </row>
    <row r="1441" customFormat="false" ht="15" hidden="false" customHeight="false" outlineLevel="0" collapsed="false">
      <c r="A1441" s="9" t="s">
        <v>892</v>
      </c>
      <c r="B1441" s="9" t="s">
        <v>924</v>
      </c>
      <c r="C1441" s="9" t="n">
        <v>2</v>
      </c>
      <c r="D1441" s="10" t="n">
        <v>0.43</v>
      </c>
      <c r="E1441" s="10" t="n">
        <f aca="false">C1441*D1441</f>
        <v>0.86</v>
      </c>
    </row>
    <row r="1442" customFormat="false" ht="15" hidden="false" customHeight="false" outlineLevel="0" collapsed="false">
      <c r="A1442" s="9" t="s">
        <v>892</v>
      </c>
      <c r="B1442" s="9" t="s">
        <v>925</v>
      </c>
      <c r="C1442" s="9" t="n">
        <v>1</v>
      </c>
      <c r="D1442" s="10" t="n">
        <v>4.21</v>
      </c>
      <c r="E1442" s="10" t="n">
        <f aca="false">C1442*D1442</f>
        <v>4.21</v>
      </c>
    </row>
    <row r="1443" customFormat="false" ht="15" hidden="false" customHeight="false" outlineLevel="0" collapsed="false">
      <c r="A1443" s="9" t="s">
        <v>892</v>
      </c>
      <c r="B1443" s="9" t="s">
        <v>926</v>
      </c>
      <c r="C1443" s="9" t="n">
        <v>1</v>
      </c>
      <c r="D1443" s="10" t="n">
        <v>4.21</v>
      </c>
      <c r="E1443" s="10" t="n">
        <f aca="false">C1443*D1443</f>
        <v>4.21</v>
      </c>
    </row>
    <row r="1444" customFormat="false" ht="15" hidden="false" customHeight="false" outlineLevel="0" collapsed="false">
      <c r="A1444" s="9" t="s">
        <v>892</v>
      </c>
      <c r="B1444" s="9" t="s">
        <v>927</v>
      </c>
      <c r="C1444" s="9" t="n">
        <v>3</v>
      </c>
      <c r="D1444" s="10" t="n">
        <v>0.85</v>
      </c>
      <c r="E1444" s="10" t="n">
        <f aca="false">C1444*D1444</f>
        <v>2.55</v>
      </c>
    </row>
    <row r="1445" customFormat="false" ht="15" hidden="false" customHeight="false" outlineLevel="0" collapsed="false">
      <c r="A1445" s="9" t="s">
        <v>892</v>
      </c>
      <c r="B1445" s="9" t="s">
        <v>928</v>
      </c>
      <c r="C1445" s="9" t="n">
        <v>3</v>
      </c>
      <c r="D1445" s="10" t="n">
        <v>0.85</v>
      </c>
      <c r="E1445" s="10" t="n">
        <f aca="false">C1445*D1445</f>
        <v>2.55</v>
      </c>
    </row>
    <row r="1446" customFormat="false" ht="15" hidden="false" customHeight="false" outlineLevel="0" collapsed="false">
      <c r="A1446" s="9" t="s">
        <v>892</v>
      </c>
      <c r="B1446" s="9" t="s">
        <v>929</v>
      </c>
      <c r="C1446" s="9" t="n">
        <v>1</v>
      </c>
      <c r="D1446" s="10" t="n">
        <v>1.49</v>
      </c>
      <c r="E1446" s="10" t="n">
        <f aca="false">C1446*D1446</f>
        <v>1.49</v>
      </c>
    </row>
    <row r="1447" customFormat="false" ht="15" hidden="false" customHeight="false" outlineLevel="0" collapsed="false">
      <c r="A1447" s="9" t="s">
        <v>892</v>
      </c>
      <c r="B1447" s="9" t="s">
        <v>930</v>
      </c>
      <c r="C1447" s="9" t="n">
        <v>2</v>
      </c>
      <c r="D1447" s="10" t="n">
        <v>1.66</v>
      </c>
      <c r="E1447" s="10" t="n">
        <f aca="false">C1447*D1447</f>
        <v>3.32</v>
      </c>
    </row>
    <row r="1448" customFormat="false" ht="15" hidden="false" customHeight="false" outlineLevel="0" collapsed="false">
      <c r="A1448" s="9" t="s">
        <v>892</v>
      </c>
      <c r="B1448" s="9" t="s">
        <v>350</v>
      </c>
      <c r="C1448" s="9" t="n">
        <v>5</v>
      </c>
      <c r="D1448" s="10" t="n">
        <v>2.51</v>
      </c>
      <c r="E1448" s="10" t="n">
        <f aca="false">C1448*D1448</f>
        <v>12.55</v>
      </c>
    </row>
    <row r="1449" customFormat="false" ht="15" hidden="false" customHeight="false" outlineLevel="0" collapsed="false">
      <c r="A1449" s="9" t="s">
        <v>892</v>
      </c>
      <c r="B1449" s="9" t="s">
        <v>349</v>
      </c>
      <c r="C1449" s="9" t="n">
        <v>1</v>
      </c>
      <c r="D1449" s="10" t="n">
        <v>2.51</v>
      </c>
      <c r="E1449" s="10" t="n">
        <f aca="false">C1449*D1449</f>
        <v>2.51</v>
      </c>
    </row>
    <row r="1450" customFormat="false" ht="15" hidden="false" customHeight="false" outlineLevel="0" collapsed="false">
      <c r="A1450" s="9" t="s">
        <v>892</v>
      </c>
      <c r="B1450" s="9" t="s">
        <v>388</v>
      </c>
      <c r="C1450" s="9" t="n">
        <v>4</v>
      </c>
      <c r="D1450" s="10" t="n">
        <v>4.21</v>
      </c>
      <c r="E1450" s="10" t="n">
        <f aca="false">C1450*D1450</f>
        <v>16.84</v>
      </c>
    </row>
    <row r="1451" customFormat="false" ht="15" hidden="false" customHeight="false" outlineLevel="0" collapsed="false">
      <c r="A1451" s="9" t="s">
        <v>892</v>
      </c>
      <c r="B1451" s="9" t="s">
        <v>931</v>
      </c>
      <c r="C1451" s="9" t="n">
        <v>1</v>
      </c>
      <c r="D1451" s="10" t="n">
        <v>0.85</v>
      </c>
      <c r="E1451" s="10" t="n">
        <f aca="false">C1451*D1451</f>
        <v>0.85</v>
      </c>
    </row>
    <row r="1452" customFormat="false" ht="15" hidden="false" customHeight="false" outlineLevel="0" collapsed="false">
      <c r="A1452" s="9" t="s">
        <v>892</v>
      </c>
      <c r="B1452" s="9" t="s">
        <v>932</v>
      </c>
      <c r="C1452" s="9" t="n">
        <v>1</v>
      </c>
      <c r="D1452" s="10" t="n">
        <v>0.85</v>
      </c>
      <c r="E1452" s="10" t="n">
        <f aca="false">C1452*D1452</f>
        <v>0.85</v>
      </c>
    </row>
    <row r="1453" customFormat="false" ht="15" hidden="false" customHeight="false" outlineLevel="0" collapsed="false">
      <c r="A1453" s="9" t="s">
        <v>892</v>
      </c>
      <c r="B1453" s="9" t="s">
        <v>933</v>
      </c>
      <c r="C1453" s="9" t="n">
        <v>1</v>
      </c>
      <c r="D1453" s="10" t="n">
        <v>0.85</v>
      </c>
      <c r="E1453" s="10" t="n">
        <f aca="false">C1453*D1453</f>
        <v>0.85</v>
      </c>
    </row>
    <row r="1454" customFormat="false" ht="15" hidden="false" customHeight="false" outlineLevel="0" collapsed="false">
      <c r="A1454" s="9" t="s">
        <v>892</v>
      </c>
      <c r="B1454" s="9" t="s">
        <v>934</v>
      </c>
      <c r="C1454" s="9" t="n">
        <v>1</v>
      </c>
      <c r="D1454" s="10" t="n">
        <v>0.85</v>
      </c>
      <c r="E1454" s="10" t="n">
        <f aca="false">C1454*D1454</f>
        <v>0.85</v>
      </c>
    </row>
    <row r="1455" customFormat="false" ht="15" hidden="false" customHeight="false" outlineLevel="0" collapsed="false">
      <c r="A1455" s="9" t="s">
        <v>892</v>
      </c>
      <c r="B1455" s="9" t="s">
        <v>935</v>
      </c>
      <c r="C1455" s="9" t="n">
        <v>1</v>
      </c>
      <c r="D1455" s="10" t="n">
        <v>0.85</v>
      </c>
      <c r="E1455" s="10" t="n">
        <f aca="false">C1455*D1455</f>
        <v>0.85</v>
      </c>
    </row>
    <row r="1456" customFormat="false" ht="15" hidden="false" customHeight="false" outlineLevel="0" collapsed="false">
      <c r="A1456" s="9" t="s">
        <v>892</v>
      </c>
      <c r="B1456" s="9" t="s">
        <v>936</v>
      </c>
      <c r="C1456" s="9" t="n">
        <v>1</v>
      </c>
      <c r="D1456" s="10" t="n">
        <v>2.11</v>
      </c>
      <c r="E1456" s="10" t="n">
        <f aca="false">C1456*D1456</f>
        <v>2.11</v>
      </c>
    </row>
    <row r="1457" customFormat="false" ht="15" hidden="false" customHeight="false" outlineLevel="0" collapsed="false">
      <c r="A1457" s="9" t="s">
        <v>892</v>
      </c>
      <c r="B1457" s="9" t="s">
        <v>594</v>
      </c>
      <c r="C1457" s="9" t="n">
        <v>1</v>
      </c>
      <c r="D1457" s="10" t="n">
        <v>4.24</v>
      </c>
      <c r="E1457" s="10" t="n">
        <f aca="false">C1457*D1457</f>
        <v>4.24</v>
      </c>
    </row>
    <row r="1458" customFormat="false" ht="15" hidden="false" customHeight="false" outlineLevel="0" collapsed="false">
      <c r="A1458" s="9" t="s">
        <v>892</v>
      </c>
      <c r="B1458" s="9" t="s">
        <v>353</v>
      </c>
      <c r="C1458" s="9" t="n">
        <v>1</v>
      </c>
      <c r="D1458" s="10" t="n">
        <v>2.51</v>
      </c>
      <c r="E1458" s="10" t="n">
        <f aca="false">C1458*D1458</f>
        <v>2.51</v>
      </c>
    </row>
    <row r="1459" customFormat="false" ht="15" hidden="false" customHeight="false" outlineLevel="0" collapsed="false">
      <c r="A1459" s="9" t="s">
        <v>892</v>
      </c>
      <c r="B1459" s="9" t="s">
        <v>937</v>
      </c>
      <c r="C1459" s="9" t="n">
        <v>1</v>
      </c>
      <c r="D1459" s="10" t="n">
        <v>4.21</v>
      </c>
      <c r="E1459" s="10" t="n">
        <f aca="false">C1459*D1459</f>
        <v>4.21</v>
      </c>
    </row>
    <row r="1460" customFormat="false" ht="15" hidden="false" customHeight="false" outlineLevel="0" collapsed="false">
      <c r="A1460" s="9" t="s">
        <v>892</v>
      </c>
      <c r="B1460" s="9" t="s">
        <v>938</v>
      </c>
      <c r="C1460" s="9" t="n">
        <v>1</v>
      </c>
      <c r="D1460" s="10" t="n">
        <v>16.98</v>
      </c>
      <c r="E1460" s="10" t="n">
        <f aca="false">C1460*D1460</f>
        <v>16.98</v>
      </c>
    </row>
    <row r="1461" customFormat="false" ht="15" hidden="false" customHeight="false" outlineLevel="0" collapsed="false">
      <c r="A1461" s="9" t="s">
        <v>892</v>
      </c>
      <c r="B1461" s="9" t="s">
        <v>939</v>
      </c>
      <c r="C1461" s="9" t="n">
        <v>2</v>
      </c>
      <c r="D1461" s="10" t="n">
        <v>3.36</v>
      </c>
      <c r="E1461" s="10" t="n">
        <f aca="false">C1461*D1461</f>
        <v>6.72</v>
      </c>
    </row>
    <row r="1462" customFormat="false" ht="15" hidden="false" customHeight="false" outlineLevel="0" collapsed="false">
      <c r="A1462" s="9" t="s">
        <v>892</v>
      </c>
      <c r="B1462" s="9" t="s">
        <v>940</v>
      </c>
      <c r="C1462" s="9" t="n">
        <v>2</v>
      </c>
      <c r="D1462" s="10" t="n">
        <v>3.36</v>
      </c>
      <c r="E1462" s="10" t="n">
        <f aca="false">C1462*D1462</f>
        <v>6.72</v>
      </c>
    </row>
    <row r="1463" customFormat="false" ht="15" hidden="false" customHeight="false" outlineLevel="0" collapsed="false">
      <c r="A1463" s="9" t="s">
        <v>892</v>
      </c>
      <c r="B1463" s="9" t="s">
        <v>941</v>
      </c>
      <c r="C1463" s="9" t="n">
        <v>1</v>
      </c>
      <c r="D1463" s="10" t="n">
        <v>0.85</v>
      </c>
      <c r="E1463" s="10" t="n">
        <f aca="false">C1463*D1463</f>
        <v>0.85</v>
      </c>
    </row>
    <row r="1464" customFormat="false" ht="15" hidden="false" customHeight="false" outlineLevel="0" collapsed="false">
      <c r="A1464" s="9" t="s">
        <v>892</v>
      </c>
      <c r="B1464" s="9" t="s">
        <v>942</v>
      </c>
      <c r="C1464" s="9" t="n">
        <v>8</v>
      </c>
      <c r="D1464" s="10" t="n">
        <v>1.69</v>
      </c>
      <c r="E1464" s="10" t="n">
        <f aca="false">C1464*D1464</f>
        <v>13.52</v>
      </c>
    </row>
    <row r="1465" customFormat="false" ht="15" hidden="false" customHeight="false" outlineLevel="0" collapsed="false">
      <c r="A1465" s="9" t="s">
        <v>892</v>
      </c>
      <c r="B1465" s="9" t="s">
        <v>38</v>
      </c>
      <c r="C1465" s="9" t="n">
        <v>1</v>
      </c>
      <c r="D1465" s="10" t="n">
        <v>8.47</v>
      </c>
      <c r="E1465" s="10" t="n">
        <f aca="false">C1465*D1465</f>
        <v>8.47</v>
      </c>
    </row>
    <row r="1466" customFormat="false" ht="15" hidden="false" customHeight="false" outlineLevel="0" collapsed="false">
      <c r="A1466" s="9" t="s">
        <v>892</v>
      </c>
      <c r="B1466" s="9" t="s">
        <v>623</v>
      </c>
      <c r="C1466" s="9" t="n">
        <v>5</v>
      </c>
      <c r="D1466" s="10" t="n">
        <v>3.36</v>
      </c>
      <c r="E1466" s="10" t="n">
        <f aca="false">C1466*D1466</f>
        <v>16.8</v>
      </c>
    </row>
    <row r="1467" customFormat="false" ht="15" hidden="false" customHeight="false" outlineLevel="0" collapsed="false">
      <c r="A1467" s="9" t="s">
        <v>892</v>
      </c>
      <c r="B1467" s="9" t="s">
        <v>943</v>
      </c>
      <c r="C1467" s="9" t="n">
        <v>1</v>
      </c>
      <c r="D1467" s="10" t="n">
        <v>14.43</v>
      </c>
      <c r="E1467" s="10" t="n">
        <f aca="false">C1467*D1467</f>
        <v>14.43</v>
      </c>
    </row>
    <row r="1468" customFormat="false" ht="15" hidden="false" customHeight="false" outlineLevel="0" collapsed="false">
      <c r="A1468" s="9" t="s">
        <v>892</v>
      </c>
      <c r="B1468" s="9" t="s">
        <v>944</v>
      </c>
      <c r="C1468" s="9" t="n">
        <v>2</v>
      </c>
      <c r="D1468" s="10" t="n">
        <v>0.85</v>
      </c>
      <c r="E1468" s="10" t="n">
        <f aca="false">C1468*D1468</f>
        <v>1.7</v>
      </c>
    </row>
    <row r="1469" customFormat="false" ht="15" hidden="false" customHeight="false" outlineLevel="0" collapsed="false">
      <c r="A1469" s="9" t="s">
        <v>892</v>
      </c>
      <c r="B1469" s="9" t="s">
        <v>945</v>
      </c>
      <c r="C1469" s="9" t="n">
        <v>1</v>
      </c>
      <c r="D1469" s="10" t="n">
        <v>4.21</v>
      </c>
      <c r="E1469" s="10" t="n">
        <f aca="false">C1469*D1469</f>
        <v>4.21</v>
      </c>
    </row>
    <row r="1470" customFormat="false" ht="15" hidden="false" customHeight="false" outlineLevel="0" collapsed="false">
      <c r="A1470" s="9" t="s">
        <v>892</v>
      </c>
      <c r="B1470" s="9" t="s">
        <v>946</v>
      </c>
      <c r="C1470" s="9" t="n">
        <v>2</v>
      </c>
      <c r="D1470" s="10" t="n">
        <v>1.66</v>
      </c>
      <c r="E1470" s="10" t="n">
        <f aca="false">C1470*D1470</f>
        <v>3.32</v>
      </c>
    </row>
    <row r="1471" customFormat="false" ht="15" hidden="false" customHeight="false" outlineLevel="0" collapsed="false">
      <c r="A1471" s="9" t="s">
        <v>892</v>
      </c>
      <c r="B1471" s="9" t="s">
        <v>133</v>
      </c>
      <c r="C1471" s="9" t="n">
        <v>1</v>
      </c>
      <c r="D1471" s="10" t="n">
        <v>5.06</v>
      </c>
      <c r="E1471" s="10" t="n">
        <f aca="false">C1471*D1471</f>
        <v>5.06</v>
      </c>
    </row>
    <row r="1472" customFormat="false" ht="15" hidden="false" customHeight="false" outlineLevel="0" collapsed="false">
      <c r="A1472" s="9" t="s">
        <v>892</v>
      </c>
      <c r="B1472" s="9" t="s">
        <v>947</v>
      </c>
      <c r="C1472" s="9" t="n">
        <v>2</v>
      </c>
      <c r="D1472" s="10" t="n">
        <v>2.51</v>
      </c>
      <c r="E1472" s="10" t="n">
        <f aca="false">C1472*D1472</f>
        <v>5.02</v>
      </c>
    </row>
    <row r="1473" customFormat="false" ht="15" hidden="false" customHeight="false" outlineLevel="0" collapsed="false">
      <c r="A1473" s="9" t="s">
        <v>892</v>
      </c>
      <c r="B1473" s="9" t="s">
        <v>948</v>
      </c>
      <c r="C1473" s="9" t="n">
        <v>1</v>
      </c>
      <c r="D1473" s="10" t="n">
        <v>18.68</v>
      </c>
      <c r="E1473" s="10" t="n">
        <f aca="false">C1473*D1473</f>
        <v>18.68</v>
      </c>
    </row>
    <row r="1474" customFormat="false" ht="15" hidden="false" customHeight="false" outlineLevel="0" collapsed="false">
      <c r="A1474" s="9" t="s">
        <v>892</v>
      </c>
      <c r="B1474" s="9" t="s">
        <v>949</v>
      </c>
      <c r="C1474" s="9" t="n">
        <v>1</v>
      </c>
      <c r="D1474" s="10" t="n">
        <v>21.23</v>
      </c>
      <c r="E1474" s="10" t="n">
        <f aca="false">C1474*D1474</f>
        <v>21.23</v>
      </c>
    </row>
    <row r="1475" customFormat="false" ht="15" hidden="false" customHeight="false" outlineLevel="0" collapsed="false">
      <c r="A1475" s="9" t="s">
        <v>892</v>
      </c>
      <c r="B1475" s="9" t="s">
        <v>97</v>
      </c>
      <c r="C1475" s="9" t="n">
        <v>1</v>
      </c>
      <c r="D1475" s="10" t="n">
        <v>16.13</v>
      </c>
      <c r="E1475" s="10" t="n">
        <f aca="false">C1475*D1475</f>
        <v>16.13</v>
      </c>
    </row>
    <row r="1476" customFormat="false" ht="15" hidden="false" customHeight="false" outlineLevel="0" collapsed="false">
      <c r="A1476" s="9" t="s">
        <v>892</v>
      </c>
      <c r="B1476" s="9" t="s">
        <v>950</v>
      </c>
      <c r="C1476" s="9" t="n">
        <v>1</v>
      </c>
      <c r="D1476" s="10" t="n">
        <v>2.51</v>
      </c>
      <c r="E1476" s="10" t="n">
        <f aca="false">C1476*D1476</f>
        <v>2.51</v>
      </c>
    </row>
    <row r="1477" customFormat="false" ht="15" hidden="false" customHeight="false" outlineLevel="0" collapsed="false">
      <c r="A1477" s="9" t="s">
        <v>892</v>
      </c>
      <c r="B1477" s="9" t="s">
        <v>951</v>
      </c>
      <c r="C1477" s="9" t="n">
        <v>1</v>
      </c>
      <c r="D1477" s="10" t="n">
        <v>1.66</v>
      </c>
      <c r="E1477" s="10" t="n">
        <f aca="false">C1477*D1477</f>
        <v>1.66</v>
      </c>
    </row>
    <row r="1478" customFormat="false" ht="15" hidden="false" customHeight="false" outlineLevel="0" collapsed="false">
      <c r="A1478" s="9" t="s">
        <v>892</v>
      </c>
      <c r="B1478" s="9" t="s">
        <v>952</v>
      </c>
      <c r="C1478" s="9" t="n">
        <v>2</v>
      </c>
      <c r="D1478" s="10" t="n">
        <v>1.66</v>
      </c>
      <c r="E1478" s="10" t="n">
        <f aca="false">C1478*D1478</f>
        <v>3.32</v>
      </c>
    </row>
    <row r="1479" customFormat="false" ht="15" hidden="false" customHeight="false" outlineLevel="0" collapsed="false">
      <c r="A1479" s="9" t="s">
        <v>892</v>
      </c>
      <c r="B1479" s="9" t="s">
        <v>953</v>
      </c>
      <c r="C1479" s="9" t="n">
        <v>1</v>
      </c>
      <c r="D1479" s="10" t="n">
        <v>3.36</v>
      </c>
      <c r="E1479" s="10" t="n">
        <f aca="false">C1479*D1479</f>
        <v>3.36</v>
      </c>
    </row>
    <row r="1480" customFormat="false" ht="15" hidden="false" customHeight="false" outlineLevel="0" collapsed="false">
      <c r="A1480" s="9" t="s">
        <v>892</v>
      </c>
      <c r="B1480" s="9" t="s">
        <v>954</v>
      </c>
      <c r="C1480" s="9" t="n">
        <v>1</v>
      </c>
      <c r="D1480" s="10" t="n">
        <v>2.51</v>
      </c>
      <c r="E1480" s="10" t="n">
        <f aca="false">C1480*D1480</f>
        <v>2.51</v>
      </c>
    </row>
    <row r="1481" customFormat="false" ht="15" hidden="false" customHeight="false" outlineLevel="0" collapsed="false">
      <c r="A1481" s="9" t="s">
        <v>892</v>
      </c>
      <c r="B1481" s="9" t="s">
        <v>955</v>
      </c>
      <c r="C1481" s="9" t="n">
        <v>1</v>
      </c>
      <c r="D1481" s="10" t="n">
        <v>2.51</v>
      </c>
      <c r="E1481" s="10" t="n">
        <f aca="false">C1481*D1481</f>
        <v>2.51</v>
      </c>
    </row>
    <row r="1482" customFormat="false" ht="15" hidden="false" customHeight="false" outlineLevel="0" collapsed="false">
      <c r="A1482" s="9" t="s">
        <v>892</v>
      </c>
      <c r="B1482" s="9" t="s">
        <v>956</v>
      </c>
      <c r="C1482" s="9" t="n">
        <v>1</v>
      </c>
      <c r="D1482" s="10" t="n">
        <v>2.51</v>
      </c>
      <c r="E1482" s="10" t="n">
        <f aca="false">C1482*D1482</f>
        <v>2.51</v>
      </c>
    </row>
    <row r="1483" customFormat="false" ht="15" hidden="false" customHeight="false" outlineLevel="0" collapsed="false">
      <c r="A1483" s="9" t="s">
        <v>892</v>
      </c>
      <c r="B1483" s="9" t="s">
        <v>957</v>
      </c>
      <c r="C1483" s="9" t="n">
        <v>1</v>
      </c>
      <c r="D1483" s="10" t="n">
        <v>0.84</v>
      </c>
      <c r="E1483" s="10" t="n">
        <f aca="false">C1483*D1483</f>
        <v>0.84</v>
      </c>
    </row>
    <row r="1484" customFormat="false" ht="15" hidden="false" customHeight="false" outlineLevel="0" collapsed="false">
      <c r="A1484" s="9" t="s">
        <v>892</v>
      </c>
      <c r="B1484" s="9" t="s">
        <v>958</v>
      </c>
      <c r="C1484" s="9" t="n">
        <v>2</v>
      </c>
      <c r="D1484" s="10" t="n">
        <v>0.84</v>
      </c>
      <c r="E1484" s="10" t="n">
        <f aca="false">C1484*D1484</f>
        <v>1.68</v>
      </c>
    </row>
    <row r="1485" customFormat="false" ht="15" hidden="false" customHeight="false" outlineLevel="0" collapsed="false">
      <c r="A1485" s="9" t="s">
        <v>892</v>
      </c>
      <c r="B1485" s="9" t="s">
        <v>447</v>
      </c>
      <c r="C1485" s="9" t="n">
        <v>3</v>
      </c>
      <c r="D1485" s="10" t="n">
        <v>2.51</v>
      </c>
      <c r="E1485" s="10" t="n">
        <f aca="false">C1485*D1485</f>
        <v>7.53</v>
      </c>
    </row>
    <row r="1486" customFormat="false" ht="15" hidden="false" customHeight="false" outlineLevel="0" collapsed="false">
      <c r="A1486" s="9" t="s">
        <v>892</v>
      </c>
      <c r="B1486" s="9" t="s">
        <v>959</v>
      </c>
      <c r="C1486" s="9" t="n">
        <v>1</v>
      </c>
      <c r="D1486" s="10" t="n">
        <v>2.51</v>
      </c>
      <c r="E1486" s="10" t="n">
        <f aca="false">C1486*D1486</f>
        <v>2.51</v>
      </c>
    </row>
    <row r="1487" customFormat="false" ht="15" hidden="false" customHeight="false" outlineLevel="0" collapsed="false">
      <c r="A1487" s="9" t="s">
        <v>892</v>
      </c>
      <c r="B1487" s="9" t="s">
        <v>415</v>
      </c>
      <c r="C1487" s="9" t="n">
        <v>2</v>
      </c>
      <c r="D1487" s="10" t="n">
        <v>2.51</v>
      </c>
      <c r="E1487" s="10" t="n">
        <f aca="false">C1487*D1487</f>
        <v>5.02</v>
      </c>
    </row>
    <row r="1488" customFormat="false" ht="15" hidden="false" customHeight="false" outlineLevel="0" collapsed="false">
      <c r="A1488" s="9" t="s">
        <v>892</v>
      </c>
      <c r="B1488" s="9" t="s">
        <v>746</v>
      </c>
      <c r="C1488" s="9" t="n">
        <v>3</v>
      </c>
      <c r="D1488" s="10" t="n">
        <v>3.36</v>
      </c>
      <c r="E1488" s="10" t="n">
        <f aca="false">C1488*D1488</f>
        <v>10.08</v>
      </c>
    </row>
    <row r="1489" customFormat="false" ht="15" hidden="false" customHeight="false" outlineLevel="0" collapsed="false">
      <c r="A1489" s="9" t="s">
        <v>892</v>
      </c>
      <c r="B1489" s="9" t="s">
        <v>421</v>
      </c>
      <c r="C1489" s="9" t="n">
        <v>1</v>
      </c>
      <c r="D1489" s="10" t="n">
        <v>3.36</v>
      </c>
      <c r="E1489" s="10" t="n">
        <f aca="false">C1489*D1489</f>
        <v>3.36</v>
      </c>
    </row>
    <row r="1490" customFormat="false" ht="15" hidden="false" customHeight="false" outlineLevel="0" collapsed="false">
      <c r="A1490" s="9" t="s">
        <v>892</v>
      </c>
      <c r="B1490" s="9" t="s">
        <v>960</v>
      </c>
      <c r="C1490" s="9" t="n">
        <v>1</v>
      </c>
      <c r="D1490" s="10" t="n">
        <v>8.47</v>
      </c>
      <c r="E1490" s="10" t="n">
        <f aca="false">C1490*D1490</f>
        <v>8.47</v>
      </c>
    </row>
    <row r="1491" customFormat="false" ht="15" hidden="false" customHeight="false" outlineLevel="0" collapsed="false">
      <c r="A1491" s="9" t="s">
        <v>892</v>
      </c>
      <c r="B1491" s="9" t="s">
        <v>315</v>
      </c>
      <c r="C1491" s="9" t="n">
        <v>3</v>
      </c>
      <c r="D1491" s="10" t="n">
        <v>2.51</v>
      </c>
      <c r="E1491" s="10" t="n">
        <f aca="false">C1491*D1491</f>
        <v>7.53</v>
      </c>
    </row>
    <row r="1492" customFormat="false" ht="15" hidden="false" customHeight="false" outlineLevel="0" collapsed="false">
      <c r="A1492" s="9" t="s">
        <v>892</v>
      </c>
      <c r="B1492" s="9" t="s">
        <v>961</v>
      </c>
      <c r="C1492" s="9" t="n">
        <v>1</v>
      </c>
      <c r="D1492" s="10" t="n">
        <v>8.47</v>
      </c>
      <c r="E1492" s="10" t="n">
        <f aca="false">C1492*D1492</f>
        <v>8.47</v>
      </c>
    </row>
    <row r="1493" customFormat="false" ht="15" hidden="false" customHeight="false" outlineLevel="0" collapsed="false">
      <c r="A1493" s="9" t="s">
        <v>892</v>
      </c>
      <c r="B1493" s="9" t="s">
        <v>962</v>
      </c>
      <c r="C1493" s="9" t="n">
        <v>1</v>
      </c>
      <c r="D1493" s="10" t="n">
        <v>2.51</v>
      </c>
      <c r="E1493" s="10" t="n">
        <f aca="false">C1493*D1493</f>
        <v>2.51</v>
      </c>
    </row>
    <row r="1494" customFormat="false" ht="15" hidden="false" customHeight="false" outlineLevel="0" collapsed="false">
      <c r="A1494" s="9" t="s">
        <v>892</v>
      </c>
      <c r="B1494" s="9" t="s">
        <v>963</v>
      </c>
      <c r="C1494" s="9" t="n">
        <v>3</v>
      </c>
      <c r="D1494" s="10" t="n">
        <v>1.66</v>
      </c>
      <c r="E1494" s="10" t="n">
        <f aca="false">C1494*D1494</f>
        <v>4.98</v>
      </c>
    </row>
    <row r="1495" customFormat="false" ht="15" hidden="false" customHeight="false" outlineLevel="0" collapsed="false">
      <c r="A1495" s="9" t="s">
        <v>892</v>
      </c>
      <c r="B1495" s="9" t="s">
        <v>964</v>
      </c>
      <c r="C1495" s="9" t="n">
        <v>2</v>
      </c>
      <c r="D1495" s="10" t="n">
        <v>1.66</v>
      </c>
      <c r="E1495" s="10" t="n">
        <f aca="false">C1495*D1495</f>
        <v>3.32</v>
      </c>
    </row>
    <row r="1496" customFormat="false" ht="15" hidden="false" customHeight="false" outlineLevel="0" collapsed="false">
      <c r="A1496" s="9" t="s">
        <v>892</v>
      </c>
      <c r="B1496" s="9" t="s">
        <v>965</v>
      </c>
      <c r="C1496" s="9" t="n">
        <v>1</v>
      </c>
      <c r="D1496" s="10" t="n">
        <v>0.85</v>
      </c>
      <c r="E1496" s="10" t="n">
        <f aca="false">C1496*D1496</f>
        <v>0.85</v>
      </c>
    </row>
    <row r="1497" customFormat="false" ht="15" hidden="false" customHeight="false" outlineLevel="0" collapsed="false">
      <c r="A1497" s="9" t="s">
        <v>892</v>
      </c>
      <c r="B1497" s="9" t="s">
        <v>966</v>
      </c>
      <c r="C1497" s="9" t="n">
        <v>1</v>
      </c>
      <c r="D1497" s="10" t="n">
        <v>0.85</v>
      </c>
      <c r="E1497" s="10" t="n">
        <f aca="false">C1497*D1497</f>
        <v>0.85</v>
      </c>
    </row>
    <row r="1498" customFormat="false" ht="15" hidden="false" customHeight="false" outlineLevel="0" collapsed="false">
      <c r="A1498" s="9" t="s">
        <v>892</v>
      </c>
      <c r="B1498" s="9" t="s">
        <v>967</v>
      </c>
      <c r="C1498" s="9" t="n">
        <v>2</v>
      </c>
      <c r="D1498" s="10" t="n">
        <v>2.51</v>
      </c>
      <c r="E1498" s="10" t="n">
        <f aca="false">C1498*D1498</f>
        <v>5.02</v>
      </c>
    </row>
    <row r="1499" customFormat="false" ht="15" hidden="false" customHeight="false" outlineLevel="0" collapsed="false">
      <c r="A1499" s="9" t="s">
        <v>892</v>
      </c>
      <c r="B1499" s="9" t="s">
        <v>968</v>
      </c>
      <c r="C1499" s="9" t="n">
        <v>1</v>
      </c>
      <c r="D1499" s="10" t="n">
        <v>2.51</v>
      </c>
      <c r="E1499" s="10" t="n">
        <f aca="false">C1499*D1499</f>
        <v>2.51</v>
      </c>
    </row>
    <row r="1500" customFormat="false" ht="15" hidden="false" customHeight="false" outlineLevel="0" collapsed="false">
      <c r="A1500" s="9" t="s">
        <v>892</v>
      </c>
      <c r="B1500" s="9" t="s">
        <v>216</v>
      </c>
      <c r="C1500" s="9" t="n">
        <v>2</v>
      </c>
      <c r="D1500" s="10" t="n">
        <v>12.72</v>
      </c>
      <c r="E1500" s="10" t="n">
        <f aca="false">C1500*D1500</f>
        <v>25.44</v>
      </c>
    </row>
    <row r="1501" customFormat="false" ht="15" hidden="false" customHeight="false" outlineLevel="0" collapsed="false">
      <c r="A1501" s="9" t="s">
        <v>892</v>
      </c>
      <c r="B1501" s="9" t="s">
        <v>345</v>
      </c>
      <c r="C1501" s="9" t="n">
        <v>1</v>
      </c>
      <c r="D1501" s="10" t="n">
        <v>1.28</v>
      </c>
      <c r="E1501" s="10" t="n">
        <f aca="false">C1501*D1501</f>
        <v>1.28</v>
      </c>
    </row>
    <row r="1502" customFormat="false" ht="15" hidden="false" customHeight="false" outlineLevel="0" collapsed="false">
      <c r="A1502" s="9" t="s">
        <v>892</v>
      </c>
      <c r="B1502" s="9" t="s">
        <v>375</v>
      </c>
      <c r="C1502" s="9" t="n">
        <v>4</v>
      </c>
      <c r="D1502" s="10" t="n">
        <v>5.06</v>
      </c>
      <c r="E1502" s="10" t="n">
        <f aca="false">C1502*D1502</f>
        <v>20.24</v>
      </c>
    </row>
    <row r="1503" customFormat="false" ht="15" hidden="false" customHeight="false" outlineLevel="0" collapsed="false">
      <c r="A1503" s="9" t="s">
        <v>892</v>
      </c>
      <c r="B1503" s="9" t="s">
        <v>969</v>
      </c>
      <c r="C1503" s="9" t="n">
        <v>1</v>
      </c>
      <c r="D1503" s="10" t="n">
        <v>8.47</v>
      </c>
      <c r="E1503" s="10" t="n">
        <f aca="false">C1503*D1503</f>
        <v>8.47</v>
      </c>
    </row>
    <row r="1504" customFormat="false" ht="15" hidden="false" customHeight="false" outlineLevel="0" collapsed="false">
      <c r="A1504" s="9" t="s">
        <v>892</v>
      </c>
      <c r="B1504" s="9" t="s">
        <v>970</v>
      </c>
      <c r="C1504" s="9" t="n">
        <v>1</v>
      </c>
      <c r="D1504" s="10" t="n">
        <v>4.21</v>
      </c>
      <c r="E1504" s="10" t="n">
        <f aca="false">C1504*D1504</f>
        <v>4.21</v>
      </c>
    </row>
    <row r="1505" customFormat="false" ht="15" hidden="false" customHeight="false" outlineLevel="0" collapsed="false">
      <c r="A1505" s="9" t="s">
        <v>892</v>
      </c>
      <c r="B1505" s="9" t="s">
        <v>793</v>
      </c>
      <c r="C1505" s="9" t="n">
        <v>3</v>
      </c>
      <c r="D1505" s="10" t="n">
        <v>4.21</v>
      </c>
      <c r="E1505" s="10" t="n">
        <f aca="false">C1505*D1505</f>
        <v>12.63</v>
      </c>
    </row>
    <row r="1506" customFormat="false" ht="15" hidden="false" customHeight="false" outlineLevel="0" collapsed="false">
      <c r="A1506" s="9" t="s">
        <v>892</v>
      </c>
      <c r="B1506" s="9" t="s">
        <v>481</v>
      </c>
      <c r="C1506" s="9" t="n">
        <v>4</v>
      </c>
      <c r="D1506" s="10" t="n">
        <v>3.36</v>
      </c>
      <c r="E1506" s="10" t="n">
        <f aca="false">C1506*D1506</f>
        <v>13.44</v>
      </c>
    </row>
    <row r="1507" customFormat="false" ht="15" hidden="false" customHeight="false" outlineLevel="0" collapsed="false">
      <c r="A1507" s="9" t="s">
        <v>892</v>
      </c>
      <c r="B1507" s="9" t="s">
        <v>971</v>
      </c>
      <c r="C1507" s="9" t="n">
        <v>8</v>
      </c>
      <c r="D1507" s="10" t="n">
        <v>3.36</v>
      </c>
      <c r="E1507" s="10" t="n">
        <f aca="false">C1507*D1507</f>
        <v>26.88</v>
      </c>
    </row>
    <row r="1508" customFormat="false" ht="15" hidden="false" customHeight="false" outlineLevel="0" collapsed="false">
      <c r="A1508" s="9" t="s">
        <v>892</v>
      </c>
      <c r="B1508" s="9" t="s">
        <v>972</v>
      </c>
      <c r="C1508" s="9" t="n">
        <v>1</v>
      </c>
      <c r="D1508" s="10" t="n">
        <v>4.21</v>
      </c>
      <c r="E1508" s="10" t="n">
        <f aca="false">C1508*D1508</f>
        <v>4.21</v>
      </c>
    </row>
    <row r="1509" customFormat="false" ht="15" hidden="false" customHeight="false" outlineLevel="0" collapsed="false">
      <c r="A1509" s="9" t="s">
        <v>892</v>
      </c>
      <c r="B1509" s="9" t="s">
        <v>973</v>
      </c>
      <c r="C1509" s="9" t="n">
        <v>4</v>
      </c>
      <c r="D1509" s="10" t="n">
        <v>4.21</v>
      </c>
      <c r="E1509" s="10" t="n">
        <f aca="false">C1509*D1509</f>
        <v>16.84</v>
      </c>
    </row>
    <row r="1510" customFormat="false" ht="15" hidden="false" customHeight="false" outlineLevel="0" collapsed="false">
      <c r="A1510" s="9" t="s">
        <v>892</v>
      </c>
      <c r="B1510" s="9" t="s">
        <v>40</v>
      </c>
      <c r="C1510" s="9" t="n">
        <v>1</v>
      </c>
      <c r="D1510" s="10" t="n">
        <v>7.62</v>
      </c>
      <c r="E1510" s="10" t="n">
        <f aca="false">C1510*D1510</f>
        <v>7.62</v>
      </c>
    </row>
    <row r="1511" customFormat="false" ht="15" hidden="false" customHeight="false" outlineLevel="0" collapsed="false">
      <c r="A1511" s="9" t="s">
        <v>892</v>
      </c>
      <c r="B1511" s="9" t="s">
        <v>41</v>
      </c>
      <c r="C1511" s="9" t="n">
        <v>1</v>
      </c>
      <c r="D1511" s="10" t="n">
        <v>7.62</v>
      </c>
      <c r="E1511" s="10" t="n">
        <f aca="false">C1511*D1511</f>
        <v>7.62</v>
      </c>
    </row>
    <row r="1512" customFormat="false" ht="15" hidden="false" customHeight="false" outlineLevel="0" collapsed="false">
      <c r="A1512" s="9" t="s">
        <v>892</v>
      </c>
      <c r="B1512" s="9" t="s">
        <v>974</v>
      </c>
      <c r="C1512" s="9" t="n">
        <v>1</v>
      </c>
      <c r="D1512" s="10" t="n">
        <v>2.51</v>
      </c>
      <c r="E1512" s="10" t="n">
        <f aca="false">C1512*D1512</f>
        <v>2.51</v>
      </c>
    </row>
    <row r="1513" customFormat="false" ht="15" hidden="false" customHeight="false" outlineLevel="0" collapsed="false">
      <c r="A1513" s="9" t="s">
        <v>892</v>
      </c>
      <c r="B1513" s="9" t="s">
        <v>975</v>
      </c>
      <c r="C1513" s="9" t="n">
        <v>1</v>
      </c>
      <c r="D1513" s="10" t="n">
        <v>2.51</v>
      </c>
      <c r="E1513" s="10" t="n">
        <f aca="false">C1513*D1513</f>
        <v>2.51</v>
      </c>
    </row>
    <row r="1514" customFormat="false" ht="15" hidden="false" customHeight="false" outlineLevel="0" collapsed="false">
      <c r="A1514" s="9" t="s">
        <v>892</v>
      </c>
      <c r="B1514" s="9" t="s">
        <v>976</v>
      </c>
      <c r="C1514" s="9" t="n">
        <v>1</v>
      </c>
      <c r="D1514" s="10" t="n">
        <v>2.51</v>
      </c>
      <c r="E1514" s="10" t="n">
        <f aca="false">C1514*D1514</f>
        <v>2.51</v>
      </c>
    </row>
    <row r="1515" customFormat="false" ht="15" hidden="false" customHeight="false" outlineLevel="0" collapsed="false">
      <c r="A1515" s="9" t="s">
        <v>892</v>
      </c>
      <c r="B1515" s="9" t="s">
        <v>45</v>
      </c>
      <c r="C1515" s="9" t="n">
        <v>3</v>
      </c>
      <c r="D1515" s="10" t="n">
        <v>2.1</v>
      </c>
      <c r="E1515" s="10" t="n">
        <f aca="false">C1515*D1515</f>
        <v>6.3</v>
      </c>
    </row>
    <row r="1516" customFormat="false" ht="15" hidden="false" customHeight="false" outlineLevel="0" collapsed="false">
      <c r="A1516" s="9" t="s">
        <v>892</v>
      </c>
      <c r="B1516" s="9" t="s">
        <v>329</v>
      </c>
      <c r="C1516" s="9" t="n">
        <v>1</v>
      </c>
      <c r="D1516" s="10" t="n">
        <v>1.28</v>
      </c>
      <c r="E1516" s="10" t="n">
        <f aca="false">C1516*D1516</f>
        <v>1.28</v>
      </c>
    </row>
    <row r="1517" customFormat="false" ht="15" hidden="false" customHeight="false" outlineLevel="0" collapsed="false">
      <c r="A1517" s="9" t="s">
        <v>892</v>
      </c>
      <c r="B1517" s="9" t="s">
        <v>307</v>
      </c>
      <c r="C1517" s="9" t="n">
        <v>1</v>
      </c>
      <c r="D1517" s="10" t="n">
        <v>1.28</v>
      </c>
      <c r="E1517" s="10" t="n">
        <f aca="false">C1517*D1517</f>
        <v>1.28</v>
      </c>
    </row>
    <row r="1518" customFormat="false" ht="15" hidden="false" customHeight="false" outlineLevel="0" collapsed="false">
      <c r="A1518" s="9" t="s">
        <v>892</v>
      </c>
      <c r="B1518" s="9" t="s">
        <v>977</v>
      </c>
      <c r="C1518" s="9" t="n">
        <v>1</v>
      </c>
      <c r="D1518" s="10" t="n">
        <v>2.51</v>
      </c>
      <c r="E1518" s="10" t="n">
        <f aca="false">C1518*D1518</f>
        <v>2.51</v>
      </c>
    </row>
    <row r="1519" customFormat="false" ht="15" hidden="false" customHeight="false" outlineLevel="0" collapsed="false">
      <c r="A1519" s="9" t="s">
        <v>892</v>
      </c>
      <c r="B1519" s="9" t="s">
        <v>196</v>
      </c>
      <c r="C1519" s="9" t="n">
        <v>1</v>
      </c>
      <c r="D1519" s="10" t="n">
        <v>10.17</v>
      </c>
      <c r="E1519" s="10" t="n">
        <f aca="false">C1519*D1519</f>
        <v>10.17</v>
      </c>
    </row>
    <row r="1520" customFormat="false" ht="15" hidden="false" customHeight="false" outlineLevel="0" collapsed="false">
      <c r="A1520" s="9" t="s">
        <v>892</v>
      </c>
      <c r="B1520" s="9" t="s">
        <v>978</v>
      </c>
      <c r="C1520" s="9" t="n">
        <v>1</v>
      </c>
      <c r="D1520" s="10" t="n">
        <v>12.72</v>
      </c>
      <c r="E1520" s="10" t="n">
        <f aca="false">C1520*D1520</f>
        <v>12.72</v>
      </c>
    </row>
    <row r="1521" customFormat="false" ht="15" hidden="false" customHeight="false" outlineLevel="0" collapsed="false">
      <c r="A1521" s="9" t="s">
        <v>892</v>
      </c>
      <c r="B1521" s="9" t="s">
        <v>979</v>
      </c>
      <c r="C1521" s="9" t="n">
        <v>1</v>
      </c>
      <c r="D1521" s="10" t="n">
        <v>12.72</v>
      </c>
      <c r="E1521" s="10" t="n">
        <f aca="false">C1521*D1521</f>
        <v>12.72</v>
      </c>
    </row>
    <row r="1522" customFormat="false" ht="15" hidden="false" customHeight="false" outlineLevel="0" collapsed="false">
      <c r="A1522" s="9" t="s">
        <v>892</v>
      </c>
      <c r="B1522" s="9" t="s">
        <v>838</v>
      </c>
      <c r="C1522" s="9" t="n">
        <v>2</v>
      </c>
      <c r="D1522" s="10" t="n">
        <v>1.66</v>
      </c>
      <c r="E1522" s="10" t="n">
        <f aca="false">C1522*D1522</f>
        <v>3.32</v>
      </c>
    </row>
    <row r="1523" customFormat="false" ht="15" hidden="false" customHeight="false" outlineLevel="0" collapsed="false">
      <c r="A1523" s="9" t="s">
        <v>892</v>
      </c>
      <c r="B1523" s="9" t="s">
        <v>980</v>
      </c>
      <c r="C1523" s="9" t="n">
        <v>1</v>
      </c>
      <c r="D1523" s="10" t="n">
        <v>8.47</v>
      </c>
      <c r="E1523" s="10" t="n">
        <f aca="false">C1523*D1523</f>
        <v>8.47</v>
      </c>
    </row>
    <row r="1524" customFormat="false" ht="15" hidden="false" customHeight="false" outlineLevel="0" collapsed="false">
      <c r="A1524" s="9" t="s">
        <v>892</v>
      </c>
      <c r="B1524" s="9" t="s">
        <v>254</v>
      </c>
      <c r="C1524" s="9" t="n">
        <v>3</v>
      </c>
      <c r="D1524" s="10" t="n">
        <v>2.1</v>
      </c>
      <c r="E1524" s="10" t="n">
        <f aca="false">C1524*D1524</f>
        <v>6.3</v>
      </c>
    </row>
    <row r="1525" customFormat="false" ht="15" hidden="false" customHeight="false" outlineLevel="0" collapsed="false">
      <c r="A1525" s="9" t="s">
        <v>892</v>
      </c>
      <c r="B1525" s="9" t="s">
        <v>423</v>
      </c>
      <c r="C1525" s="9" t="n">
        <v>1</v>
      </c>
      <c r="D1525" s="10" t="n">
        <v>2.51</v>
      </c>
      <c r="E1525" s="10" t="n">
        <f aca="false">C1525*D1525</f>
        <v>2.51</v>
      </c>
    </row>
    <row r="1526" customFormat="false" ht="15" hidden="false" customHeight="false" outlineLevel="0" collapsed="false">
      <c r="A1526" s="9" t="s">
        <v>892</v>
      </c>
      <c r="B1526" s="9" t="s">
        <v>234</v>
      </c>
      <c r="C1526" s="9" t="n">
        <v>1</v>
      </c>
      <c r="D1526" s="10" t="n">
        <v>9.95</v>
      </c>
      <c r="E1526" s="10" t="n">
        <f aca="false">C1526*D1526</f>
        <v>9.95</v>
      </c>
    </row>
    <row r="1527" customFormat="false" ht="15" hidden="false" customHeight="false" outlineLevel="0" collapsed="false">
      <c r="A1527" s="9" t="s">
        <v>892</v>
      </c>
      <c r="B1527" s="9" t="s">
        <v>981</v>
      </c>
      <c r="C1527" s="9" t="n">
        <v>2</v>
      </c>
      <c r="D1527" s="10" t="n">
        <v>5.91</v>
      </c>
      <c r="E1527" s="10" t="n">
        <f aca="false">C1527*D1527</f>
        <v>11.82</v>
      </c>
    </row>
    <row r="1528" customFormat="false" ht="15" hidden="false" customHeight="false" outlineLevel="0" collapsed="false">
      <c r="A1528" s="9" t="s">
        <v>892</v>
      </c>
      <c r="B1528" s="9" t="s">
        <v>982</v>
      </c>
      <c r="C1528" s="9" t="n">
        <v>1</v>
      </c>
      <c r="D1528" s="10" t="n">
        <v>13.57</v>
      </c>
      <c r="E1528" s="10" t="n">
        <f aca="false">C1528*D1528</f>
        <v>13.57</v>
      </c>
    </row>
    <row r="1529" customFormat="false" ht="15" hidden="false" customHeight="false" outlineLevel="0" collapsed="false">
      <c r="A1529" s="9" t="s">
        <v>892</v>
      </c>
      <c r="B1529" s="9" t="s">
        <v>316</v>
      </c>
      <c r="C1529" s="9" t="n">
        <v>2</v>
      </c>
      <c r="D1529" s="10" t="n">
        <v>3.36</v>
      </c>
      <c r="E1529" s="10" t="n">
        <f aca="false">C1529*D1529</f>
        <v>6.72</v>
      </c>
    </row>
    <row r="1530" customFormat="false" ht="15" hidden="false" customHeight="false" outlineLevel="0" collapsed="false">
      <c r="A1530" s="9" t="s">
        <v>892</v>
      </c>
      <c r="B1530" s="9" t="s">
        <v>584</v>
      </c>
      <c r="C1530" s="9" t="n">
        <v>1</v>
      </c>
      <c r="D1530" s="10" t="n">
        <v>3.36</v>
      </c>
      <c r="E1530" s="10" t="n">
        <f aca="false">C1530*D1530</f>
        <v>3.36</v>
      </c>
    </row>
    <row r="1531" customFormat="false" ht="15" hidden="false" customHeight="false" outlineLevel="0" collapsed="false">
      <c r="A1531" s="9" t="s">
        <v>892</v>
      </c>
      <c r="B1531" s="9" t="s">
        <v>263</v>
      </c>
      <c r="C1531" s="9" t="n">
        <v>12</v>
      </c>
      <c r="D1531" s="10" t="n">
        <v>4.21</v>
      </c>
      <c r="E1531" s="10" t="n">
        <f aca="false">C1531*D1531</f>
        <v>50.52</v>
      </c>
    </row>
    <row r="1532" customFormat="false" ht="15" hidden="false" customHeight="false" outlineLevel="0" collapsed="false">
      <c r="A1532" s="9" t="s">
        <v>892</v>
      </c>
      <c r="B1532" s="9" t="s">
        <v>983</v>
      </c>
      <c r="C1532" s="9" t="n">
        <v>2</v>
      </c>
      <c r="D1532" s="10" t="n">
        <v>1.66</v>
      </c>
      <c r="E1532" s="10" t="n">
        <f aca="false">C1532*D1532</f>
        <v>3.32</v>
      </c>
    </row>
    <row r="1533" customFormat="false" ht="15" hidden="false" customHeight="false" outlineLevel="0" collapsed="false">
      <c r="A1533" s="9" t="s">
        <v>892</v>
      </c>
      <c r="B1533" s="9" t="s">
        <v>984</v>
      </c>
      <c r="C1533" s="9" t="n">
        <v>2</v>
      </c>
      <c r="D1533" s="10" t="n">
        <v>7.62</v>
      </c>
      <c r="E1533" s="10" t="n">
        <f aca="false">C1533*D1533</f>
        <v>15.24</v>
      </c>
    </row>
    <row r="1534" customFormat="false" ht="15" hidden="false" customHeight="false" outlineLevel="0" collapsed="false">
      <c r="A1534" s="9" t="s">
        <v>892</v>
      </c>
      <c r="B1534" s="9" t="s">
        <v>101</v>
      </c>
      <c r="C1534" s="9" t="n">
        <v>1</v>
      </c>
      <c r="D1534" s="10" t="n">
        <v>25.49</v>
      </c>
      <c r="E1534" s="10" t="n">
        <f aca="false">C1534*D1534</f>
        <v>25.49</v>
      </c>
    </row>
    <row r="1535" customFormat="false" ht="15" hidden="false" customHeight="false" outlineLevel="0" collapsed="false">
      <c r="A1535" s="9" t="s">
        <v>892</v>
      </c>
      <c r="B1535" s="9" t="s">
        <v>985</v>
      </c>
      <c r="C1535" s="9" t="n">
        <v>1</v>
      </c>
      <c r="D1535" s="10" t="n">
        <v>5.91</v>
      </c>
      <c r="E1535" s="10" t="n">
        <f aca="false">C1535*D1535</f>
        <v>5.91</v>
      </c>
    </row>
    <row r="1536" customFormat="false" ht="15" hidden="false" customHeight="false" outlineLevel="0" collapsed="false">
      <c r="A1536" s="9" t="s">
        <v>892</v>
      </c>
      <c r="B1536" s="9" t="s">
        <v>986</v>
      </c>
      <c r="C1536" s="9" t="n">
        <v>4</v>
      </c>
      <c r="D1536" s="10" t="n">
        <v>1.66</v>
      </c>
      <c r="E1536" s="10" t="n">
        <f aca="false">C1536*D1536</f>
        <v>6.64</v>
      </c>
    </row>
    <row r="1537" customFormat="false" ht="15" hidden="false" customHeight="false" outlineLevel="0" collapsed="false">
      <c r="A1537" s="9" t="s">
        <v>892</v>
      </c>
      <c r="B1537" s="9" t="s">
        <v>275</v>
      </c>
      <c r="C1537" s="9" t="n">
        <v>4</v>
      </c>
      <c r="D1537" s="10" t="n">
        <v>2.51</v>
      </c>
      <c r="E1537" s="10" t="n">
        <f aca="false">C1537*D1537</f>
        <v>10.04</v>
      </c>
    </row>
    <row r="1538" customFormat="false" ht="15" hidden="false" customHeight="false" outlineLevel="0" collapsed="false">
      <c r="A1538" s="9" t="s">
        <v>892</v>
      </c>
      <c r="B1538" s="9" t="s">
        <v>987</v>
      </c>
      <c r="C1538" s="9" t="n">
        <v>4</v>
      </c>
      <c r="D1538" s="10" t="n">
        <v>2.51</v>
      </c>
      <c r="E1538" s="10" t="n">
        <f aca="false">C1538*D1538</f>
        <v>10.04</v>
      </c>
    </row>
    <row r="1539" customFormat="false" ht="15" hidden="false" customHeight="false" outlineLevel="0" collapsed="false">
      <c r="A1539" s="9" t="s">
        <v>892</v>
      </c>
      <c r="B1539" s="9" t="s">
        <v>988</v>
      </c>
      <c r="C1539" s="9" t="n">
        <v>1</v>
      </c>
      <c r="D1539" s="10" t="n">
        <v>8.47</v>
      </c>
      <c r="E1539" s="10" t="n">
        <f aca="false">C1539*D1539</f>
        <v>8.47</v>
      </c>
    </row>
    <row r="1540" customFormat="false" ht="15" hidden="false" customHeight="false" outlineLevel="0" collapsed="false">
      <c r="A1540" s="9" t="s">
        <v>892</v>
      </c>
      <c r="B1540" s="9" t="s">
        <v>989</v>
      </c>
      <c r="C1540" s="9" t="n">
        <v>1</v>
      </c>
      <c r="D1540" s="10" t="n">
        <v>21.23</v>
      </c>
      <c r="E1540" s="10" t="n">
        <f aca="false">C1540*D1540</f>
        <v>21.23</v>
      </c>
    </row>
    <row r="1541" customFormat="false" ht="15" hidden="false" customHeight="false" outlineLevel="0" collapsed="false">
      <c r="A1541" s="9" t="s">
        <v>892</v>
      </c>
      <c r="B1541" s="9" t="s">
        <v>990</v>
      </c>
      <c r="C1541" s="9" t="n">
        <v>1</v>
      </c>
      <c r="D1541" s="10" t="n">
        <v>11.02</v>
      </c>
      <c r="E1541" s="10" t="n">
        <f aca="false">C1541*D1541</f>
        <v>11.02</v>
      </c>
    </row>
    <row r="1542" customFormat="false" ht="15" hidden="false" customHeight="false" outlineLevel="0" collapsed="false">
      <c r="A1542" s="9" t="s">
        <v>892</v>
      </c>
      <c r="B1542" s="9" t="s">
        <v>347</v>
      </c>
      <c r="C1542" s="9" t="n">
        <v>2</v>
      </c>
      <c r="D1542" s="10" t="n">
        <v>1.28</v>
      </c>
      <c r="E1542" s="10" t="n">
        <f aca="false">C1542*D1542</f>
        <v>2.56</v>
      </c>
    </row>
    <row r="1543" customFormat="false" ht="15" hidden="false" customHeight="false" outlineLevel="0" collapsed="false">
      <c r="A1543" s="9" t="s">
        <v>892</v>
      </c>
      <c r="B1543" s="9" t="s">
        <v>116</v>
      </c>
      <c r="C1543" s="9" t="n">
        <v>8</v>
      </c>
      <c r="D1543" s="10" t="n">
        <v>1.28</v>
      </c>
      <c r="E1543" s="10" t="n">
        <f aca="false">C1543*D1543</f>
        <v>10.24</v>
      </c>
    </row>
    <row r="1544" customFormat="false" ht="15" hidden="false" customHeight="false" outlineLevel="0" collapsed="false">
      <c r="A1544" s="9" t="s">
        <v>892</v>
      </c>
      <c r="B1544" s="9" t="s">
        <v>367</v>
      </c>
      <c r="C1544" s="9" t="n">
        <v>1</v>
      </c>
      <c r="D1544" s="10" t="n">
        <v>2.98</v>
      </c>
      <c r="E1544" s="10" t="n">
        <f aca="false">C1544*D1544</f>
        <v>2.98</v>
      </c>
    </row>
    <row r="1545" customFormat="false" ht="15" hidden="false" customHeight="false" outlineLevel="0" collapsed="false">
      <c r="A1545" s="9" t="s">
        <v>892</v>
      </c>
      <c r="B1545" s="9" t="s">
        <v>991</v>
      </c>
      <c r="C1545" s="9" t="n">
        <v>2</v>
      </c>
      <c r="D1545" s="10" t="n">
        <v>3.36</v>
      </c>
      <c r="E1545" s="10" t="n">
        <f aca="false">C1545*D1545</f>
        <v>6.72</v>
      </c>
    </row>
    <row r="1546" customFormat="false" ht="15" hidden="false" customHeight="false" outlineLevel="0" collapsed="false">
      <c r="A1546" s="9" t="s">
        <v>892</v>
      </c>
      <c r="B1546" s="9" t="s">
        <v>992</v>
      </c>
      <c r="C1546" s="9" t="n">
        <v>5</v>
      </c>
      <c r="D1546" s="10" t="n">
        <v>4.21</v>
      </c>
      <c r="E1546" s="10" t="n">
        <f aca="false">C1546*D1546</f>
        <v>21.05</v>
      </c>
    </row>
    <row r="1547" customFormat="false" ht="15" hidden="false" customHeight="false" outlineLevel="0" collapsed="false">
      <c r="A1547" s="9" t="s">
        <v>892</v>
      </c>
      <c r="B1547" s="9" t="s">
        <v>993</v>
      </c>
      <c r="C1547" s="9" t="n">
        <v>6</v>
      </c>
      <c r="D1547" s="10" t="n">
        <v>4.21</v>
      </c>
      <c r="E1547" s="10" t="n">
        <f aca="false">C1547*D1547</f>
        <v>25.26</v>
      </c>
    </row>
    <row r="1548" customFormat="false" ht="15" hidden="false" customHeight="false" outlineLevel="0" collapsed="false">
      <c r="A1548" s="9" t="s">
        <v>892</v>
      </c>
      <c r="B1548" s="9" t="s">
        <v>994</v>
      </c>
      <c r="C1548" s="9" t="n">
        <v>4</v>
      </c>
      <c r="D1548" s="10" t="n">
        <v>3.36</v>
      </c>
      <c r="E1548" s="10" t="n">
        <f aca="false">C1548*D1548</f>
        <v>13.44</v>
      </c>
    </row>
    <row r="1549" customFormat="false" ht="15" hidden="false" customHeight="false" outlineLevel="0" collapsed="false">
      <c r="A1549" s="9" t="s">
        <v>892</v>
      </c>
      <c r="B1549" s="9" t="s">
        <v>159</v>
      </c>
      <c r="C1549" s="9" t="n">
        <v>2</v>
      </c>
      <c r="D1549" s="10" t="n">
        <v>4.21</v>
      </c>
      <c r="E1549" s="10" t="n">
        <f aca="false">C1549*D1549</f>
        <v>8.42</v>
      </c>
    </row>
    <row r="1550" customFormat="false" ht="15" hidden="false" customHeight="false" outlineLevel="0" collapsed="false">
      <c r="A1550" s="9" t="s">
        <v>892</v>
      </c>
      <c r="B1550" s="9" t="s">
        <v>995</v>
      </c>
      <c r="C1550" s="9" t="n">
        <v>1</v>
      </c>
      <c r="D1550" s="10" t="n">
        <v>4.21</v>
      </c>
      <c r="E1550" s="10" t="n">
        <f aca="false">C1550*D1550</f>
        <v>4.21</v>
      </c>
    </row>
    <row r="1551" customFormat="false" ht="15" hidden="false" customHeight="false" outlineLevel="0" collapsed="false">
      <c r="A1551" s="9" t="s">
        <v>892</v>
      </c>
      <c r="B1551" s="9" t="s">
        <v>157</v>
      </c>
      <c r="C1551" s="9" t="n">
        <v>1</v>
      </c>
      <c r="D1551" s="10" t="n">
        <v>4.21</v>
      </c>
      <c r="E1551" s="10" t="n">
        <f aca="false">C1551*D1551</f>
        <v>4.21</v>
      </c>
    </row>
    <row r="1552" customFormat="false" ht="15" hidden="false" customHeight="false" outlineLevel="0" collapsed="false">
      <c r="A1552" s="9" t="s">
        <v>892</v>
      </c>
      <c r="B1552" s="9" t="s">
        <v>158</v>
      </c>
      <c r="C1552" s="9" t="n">
        <v>2</v>
      </c>
      <c r="D1552" s="10" t="n">
        <v>4.21</v>
      </c>
      <c r="E1552" s="10" t="n">
        <f aca="false">C1552*D1552</f>
        <v>8.42</v>
      </c>
    </row>
    <row r="1553" customFormat="false" ht="15" hidden="false" customHeight="false" outlineLevel="0" collapsed="false">
      <c r="A1553" s="9" t="s">
        <v>892</v>
      </c>
      <c r="B1553" s="9" t="s">
        <v>996</v>
      </c>
      <c r="C1553" s="9" t="n">
        <v>1</v>
      </c>
      <c r="D1553" s="10" t="n">
        <v>4.21</v>
      </c>
      <c r="E1553" s="10" t="n">
        <f aca="false">C1553*D1553</f>
        <v>4.21</v>
      </c>
    </row>
    <row r="1554" customFormat="false" ht="15" hidden="false" customHeight="false" outlineLevel="0" collapsed="false">
      <c r="A1554" s="9" t="s">
        <v>892</v>
      </c>
      <c r="B1554" s="9" t="s">
        <v>997</v>
      </c>
      <c r="C1554" s="9" t="n">
        <v>2</v>
      </c>
      <c r="D1554" s="10" t="n">
        <v>3.36</v>
      </c>
      <c r="E1554" s="10" t="n">
        <f aca="false">C1554*D1554</f>
        <v>6.72</v>
      </c>
    </row>
    <row r="1555" customFormat="false" ht="15" hidden="false" customHeight="false" outlineLevel="0" collapsed="false">
      <c r="A1555" s="9" t="s">
        <v>892</v>
      </c>
      <c r="B1555" s="9" t="s">
        <v>535</v>
      </c>
      <c r="C1555" s="9" t="n">
        <v>1</v>
      </c>
      <c r="D1555" s="10" t="n">
        <v>2.51</v>
      </c>
      <c r="E1555" s="10" t="n">
        <f aca="false">C1555*D1555</f>
        <v>2.51</v>
      </c>
    </row>
    <row r="1556" customFormat="false" ht="15" hidden="false" customHeight="false" outlineLevel="0" collapsed="false">
      <c r="A1556" s="9" t="s">
        <v>892</v>
      </c>
      <c r="B1556" s="9" t="s">
        <v>998</v>
      </c>
      <c r="C1556" s="9" t="n">
        <v>1</v>
      </c>
      <c r="D1556" s="10" t="n">
        <v>2.51</v>
      </c>
      <c r="E1556" s="10" t="n">
        <f aca="false">C1556*D1556</f>
        <v>2.51</v>
      </c>
    </row>
    <row r="1557" customFormat="false" ht="15" hidden="false" customHeight="false" outlineLevel="0" collapsed="false">
      <c r="A1557" s="9" t="s">
        <v>892</v>
      </c>
      <c r="B1557" s="9" t="s">
        <v>999</v>
      </c>
      <c r="C1557" s="9" t="n">
        <v>2</v>
      </c>
      <c r="D1557" s="10" t="n">
        <v>2.51</v>
      </c>
      <c r="E1557" s="10" t="n">
        <f aca="false">C1557*D1557</f>
        <v>5.02</v>
      </c>
    </row>
    <row r="1558" customFormat="false" ht="15" hidden="false" customHeight="false" outlineLevel="0" collapsed="false">
      <c r="A1558" s="9" t="s">
        <v>892</v>
      </c>
      <c r="B1558" s="9" t="s">
        <v>1000</v>
      </c>
      <c r="C1558" s="9" t="n">
        <v>1</v>
      </c>
      <c r="D1558" s="10" t="n">
        <v>5.91</v>
      </c>
      <c r="E1558" s="10" t="n">
        <f aca="false">C1558*D1558</f>
        <v>5.91</v>
      </c>
    </row>
    <row r="1559" customFormat="false" ht="15" hidden="false" customHeight="false" outlineLevel="0" collapsed="false">
      <c r="A1559" s="9" t="s">
        <v>892</v>
      </c>
      <c r="B1559" s="9" t="s">
        <v>1001</v>
      </c>
      <c r="C1559" s="9" t="n">
        <v>1</v>
      </c>
      <c r="D1559" s="10" t="n">
        <v>7.62</v>
      </c>
      <c r="E1559" s="10" t="n">
        <f aca="false">C1559*D1559</f>
        <v>7.62</v>
      </c>
    </row>
    <row r="1560" customFormat="false" ht="15" hidden="false" customHeight="false" outlineLevel="0" collapsed="false">
      <c r="A1560" s="9" t="s">
        <v>892</v>
      </c>
      <c r="B1560" s="9" t="s">
        <v>1002</v>
      </c>
      <c r="C1560" s="9" t="n">
        <v>1</v>
      </c>
      <c r="D1560" s="10" t="n">
        <v>12.72</v>
      </c>
      <c r="E1560" s="10" t="n">
        <f aca="false">C1560*D1560</f>
        <v>12.72</v>
      </c>
    </row>
    <row r="1561" customFormat="false" ht="15" hidden="false" customHeight="false" outlineLevel="0" collapsed="false">
      <c r="A1561" s="9" t="s">
        <v>892</v>
      </c>
      <c r="B1561" s="9" t="s">
        <v>702</v>
      </c>
      <c r="C1561" s="9" t="n">
        <v>1</v>
      </c>
      <c r="D1561" s="10" t="n">
        <v>12.72</v>
      </c>
      <c r="E1561" s="10" t="n">
        <f aca="false">C1561*D1561</f>
        <v>12.72</v>
      </c>
    </row>
    <row r="1562" customFormat="false" ht="15" hidden="false" customHeight="false" outlineLevel="0" collapsed="false">
      <c r="A1562" s="9" t="s">
        <v>892</v>
      </c>
      <c r="B1562" s="9" t="s">
        <v>73</v>
      </c>
      <c r="C1562" s="9" t="n">
        <v>5</v>
      </c>
      <c r="D1562" s="10" t="n">
        <v>3.36</v>
      </c>
      <c r="E1562" s="10" t="n">
        <f aca="false">C1562*D1562</f>
        <v>16.8</v>
      </c>
    </row>
    <row r="1563" customFormat="false" ht="15" hidden="false" customHeight="false" outlineLevel="0" collapsed="false">
      <c r="A1563" s="9" t="s">
        <v>892</v>
      </c>
      <c r="B1563" s="9" t="s">
        <v>1003</v>
      </c>
      <c r="C1563" s="9" t="n">
        <v>1</v>
      </c>
      <c r="D1563" s="10" t="n">
        <v>1.66</v>
      </c>
      <c r="E1563" s="10" t="n">
        <f aca="false">C1563*D1563</f>
        <v>1.66</v>
      </c>
    </row>
    <row r="1564" customFormat="false" ht="15" hidden="false" customHeight="false" outlineLevel="0" collapsed="false">
      <c r="A1564" s="9" t="s">
        <v>892</v>
      </c>
      <c r="B1564" s="9" t="s">
        <v>1004</v>
      </c>
      <c r="C1564" s="9" t="n">
        <v>1</v>
      </c>
      <c r="D1564" s="10" t="n">
        <v>1.66</v>
      </c>
      <c r="E1564" s="10" t="n">
        <f aca="false">C1564*D1564</f>
        <v>1.66</v>
      </c>
    </row>
    <row r="1565" customFormat="false" ht="15" hidden="false" customHeight="false" outlineLevel="0" collapsed="false">
      <c r="A1565" s="9" t="s">
        <v>892</v>
      </c>
      <c r="B1565" s="9" t="s">
        <v>517</v>
      </c>
      <c r="C1565" s="9" t="n">
        <v>1</v>
      </c>
      <c r="D1565" s="10" t="n">
        <v>5.06</v>
      </c>
      <c r="E1565" s="10" t="n">
        <f aca="false">C1565*D1565</f>
        <v>5.06</v>
      </c>
    </row>
    <row r="1566" customFormat="false" ht="15" hidden="false" customHeight="false" outlineLevel="0" collapsed="false">
      <c r="A1566" s="9" t="s">
        <v>892</v>
      </c>
      <c r="B1566" s="9" t="s">
        <v>450</v>
      </c>
      <c r="C1566" s="9" t="n">
        <v>2</v>
      </c>
      <c r="D1566" s="10" t="n">
        <v>10.17</v>
      </c>
      <c r="E1566" s="10" t="n">
        <f aca="false">C1566*D1566</f>
        <v>20.34</v>
      </c>
    </row>
    <row r="1567" customFormat="false" ht="15" hidden="false" customHeight="false" outlineLevel="0" collapsed="false">
      <c r="A1567" s="9" t="s">
        <v>892</v>
      </c>
      <c r="B1567" s="9" t="s">
        <v>1005</v>
      </c>
      <c r="C1567" s="9" t="n">
        <v>1</v>
      </c>
      <c r="D1567" s="10" t="n">
        <v>1.66</v>
      </c>
      <c r="E1567" s="10" t="n">
        <f aca="false">C1567*D1567</f>
        <v>1.66</v>
      </c>
    </row>
    <row r="1568" customFormat="false" ht="15" hidden="false" customHeight="false" outlineLevel="0" collapsed="false">
      <c r="A1568" s="9" t="s">
        <v>892</v>
      </c>
      <c r="B1568" s="9" t="s">
        <v>1006</v>
      </c>
      <c r="C1568" s="9" t="n">
        <v>1</v>
      </c>
      <c r="D1568" s="10" t="n">
        <v>0.85</v>
      </c>
      <c r="E1568" s="10" t="n">
        <f aca="false">C1568*D1568</f>
        <v>0.85</v>
      </c>
    </row>
    <row r="1569" customFormat="false" ht="15" hidden="false" customHeight="false" outlineLevel="0" collapsed="false">
      <c r="A1569" s="9" t="s">
        <v>892</v>
      </c>
      <c r="B1569" s="9" t="s">
        <v>1007</v>
      </c>
      <c r="C1569" s="9" t="n">
        <v>3</v>
      </c>
      <c r="D1569" s="10" t="n">
        <v>1.66</v>
      </c>
      <c r="E1569" s="10" t="n">
        <f aca="false">C1569*D1569</f>
        <v>4.98</v>
      </c>
    </row>
    <row r="1570" customFormat="false" ht="15" hidden="false" customHeight="false" outlineLevel="0" collapsed="false">
      <c r="A1570" s="9" t="s">
        <v>892</v>
      </c>
      <c r="B1570" s="9" t="s">
        <v>771</v>
      </c>
      <c r="C1570" s="9" t="n">
        <v>2</v>
      </c>
      <c r="D1570" s="10" t="n">
        <v>11.87</v>
      </c>
      <c r="E1570" s="10" t="n">
        <f aca="false">C1570*D1570</f>
        <v>23.74</v>
      </c>
    </row>
    <row r="1571" customFormat="false" ht="15" hidden="false" customHeight="false" outlineLevel="0" collapsed="false">
      <c r="A1571" s="9" t="s">
        <v>892</v>
      </c>
      <c r="B1571" s="9" t="s">
        <v>768</v>
      </c>
      <c r="C1571" s="9" t="n">
        <v>1</v>
      </c>
      <c r="D1571" s="10" t="n">
        <v>8.47</v>
      </c>
      <c r="E1571" s="10" t="n">
        <f aca="false">C1571*D1571</f>
        <v>8.47</v>
      </c>
    </row>
    <row r="1572" customFormat="false" ht="15" hidden="false" customHeight="false" outlineLevel="0" collapsed="false">
      <c r="A1572" s="9" t="s">
        <v>892</v>
      </c>
      <c r="B1572" s="9" t="s">
        <v>1008</v>
      </c>
      <c r="C1572" s="9" t="n">
        <v>1</v>
      </c>
      <c r="D1572" s="10" t="n">
        <v>1.66</v>
      </c>
      <c r="E1572" s="10" t="n">
        <f aca="false">C1572*D1572</f>
        <v>1.66</v>
      </c>
    </row>
    <row r="1573" customFormat="false" ht="15" hidden="false" customHeight="false" outlineLevel="0" collapsed="false">
      <c r="A1573" s="9" t="s">
        <v>892</v>
      </c>
      <c r="B1573" s="9" t="s">
        <v>1009</v>
      </c>
      <c r="C1573" s="9" t="n">
        <v>1</v>
      </c>
      <c r="D1573" s="10" t="n">
        <v>2.51</v>
      </c>
      <c r="E1573" s="10" t="n">
        <f aca="false">C1573*D1573</f>
        <v>2.51</v>
      </c>
    </row>
    <row r="1574" customFormat="false" ht="15" hidden="false" customHeight="false" outlineLevel="0" collapsed="false">
      <c r="A1574" s="9" t="s">
        <v>892</v>
      </c>
      <c r="B1574" s="9" t="s">
        <v>630</v>
      </c>
      <c r="C1574" s="9" t="n">
        <v>2</v>
      </c>
      <c r="D1574" s="10" t="n">
        <v>5.06</v>
      </c>
      <c r="E1574" s="10" t="n">
        <f aca="false">C1574*D1574</f>
        <v>10.12</v>
      </c>
    </row>
    <row r="1575" customFormat="false" ht="15" hidden="false" customHeight="false" outlineLevel="0" collapsed="false">
      <c r="A1575" s="9" t="s">
        <v>892</v>
      </c>
      <c r="B1575" s="9" t="s">
        <v>1010</v>
      </c>
      <c r="C1575" s="9" t="n">
        <v>2</v>
      </c>
      <c r="D1575" s="10" t="n">
        <v>5.91</v>
      </c>
      <c r="E1575" s="10" t="n">
        <f aca="false">C1575*D1575</f>
        <v>11.82</v>
      </c>
    </row>
    <row r="1576" customFormat="false" ht="15" hidden="false" customHeight="false" outlineLevel="0" collapsed="false">
      <c r="A1576" s="9" t="s">
        <v>892</v>
      </c>
      <c r="B1576" s="9" t="s">
        <v>1011</v>
      </c>
      <c r="C1576" s="9" t="n">
        <v>2</v>
      </c>
      <c r="D1576" s="10" t="n">
        <v>5.91</v>
      </c>
      <c r="E1576" s="10" t="n">
        <f aca="false">C1576*D1576</f>
        <v>11.82</v>
      </c>
    </row>
    <row r="1577" customFormat="false" ht="15" hidden="false" customHeight="false" outlineLevel="0" collapsed="false">
      <c r="A1577" s="9" t="s">
        <v>892</v>
      </c>
      <c r="B1577" s="9" t="s">
        <v>118</v>
      </c>
      <c r="C1577" s="9" t="n">
        <v>1</v>
      </c>
      <c r="D1577" s="10" t="n">
        <v>5.06</v>
      </c>
      <c r="E1577" s="10" t="n">
        <f aca="false">C1577*D1577</f>
        <v>5.06</v>
      </c>
    </row>
    <row r="1578" customFormat="false" ht="15" hidden="false" customHeight="false" outlineLevel="0" collapsed="false">
      <c r="A1578" s="9" t="s">
        <v>892</v>
      </c>
      <c r="B1578" s="9" t="s">
        <v>142</v>
      </c>
      <c r="C1578" s="9" t="n">
        <v>1</v>
      </c>
      <c r="D1578" s="10" t="n">
        <v>14.43</v>
      </c>
      <c r="E1578" s="10" t="n">
        <f aca="false">C1578*D1578</f>
        <v>14.43</v>
      </c>
    </row>
    <row r="1579" customFormat="false" ht="15" hidden="false" customHeight="false" outlineLevel="0" collapsed="false">
      <c r="A1579" s="9" t="s">
        <v>892</v>
      </c>
      <c r="B1579" s="9" t="s">
        <v>1012</v>
      </c>
      <c r="C1579" s="9" t="n">
        <v>1</v>
      </c>
      <c r="D1579" s="10" t="n">
        <v>0.85</v>
      </c>
      <c r="E1579" s="10" t="n">
        <f aca="false">C1579*D1579</f>
        <v>0.85</v>
      </c>
    </row>
    <row r="1580" customFormat="false" ht="15" hidden="false" customHeight="false" outlineLevel="0" collapsed="false">
      <c r="A1580" s="9" t="s">
        <v>892</v>
      </c>
      <c r="B1580" s="9" t="s">
        <v>636</v>
      </c>
      <c r="C1580" s="9" t="n">
        <v>1</v>
      </c>
      <c r="D1580" s="10" t="n">
        <v>8.47</v>
      </c>
      <c r="E1580" s="10" t="n">
        <f aca="false">C1580*D1580</f>
        <v>8.47</v>
      </c>
    </row>
    <row r="1581" customFormat="false" ht="15" hidden="false" customHeight="false" outlineLevel="0" collapsed="false">
      <c r="A1581" s="9" t="s">
        <v>892</v>
      </c>
      <c r="B1581" s="9" t="s">
        <v>673</v>
      </c>
      <c r="C1581" s="9" t="n">
        <v>1</v>
      </c>
      <c r="D1581" s="10" t="n">
        <v>4.21</v>
      </c>
      <c r="E1581" s="10" t="n">
        <f aca="false">C1581*D1581</f>
        <v>4.21</v>
      </c>
    </row>
    <row r="1582" customFormat="false" ht="15" hidden="false" customHeight="false" outlineLevel="0" collapsed="false">
      <c r="A1582" s="9" t="s">
        <v>892</v>
      </c>
      <c r="B1582" s="9" t="s">
        <v>262</v>
      </c>
      <c r="C1582" s="9" t="n">
        <v>4</v>
      </c>
      <c r="D1582" s="10" t="n">
        <v>7.62</v>
      </c>
      <c r="E1582" s="10" t="n">
        <f aca="false">C1582*D1582</f>
        <v>30.48</v>
      </c>
    </row>
    <row r="1583" customFormat="false" ht="15" hidden="false" customHeight="false" outlineLevel="0" collapsed="false">
      <c r="A1583" s="9" t="s">
        <v>892</v>
      </c>
      <c r="B1583" s="9" t="s">
        <v>269</v>
      </c>
      <c r="C1583" s="9" t="n">
        <v>5</v>
      </c>
      <c r="D1583" s="10" t="n">
        <v>7.62</v>
      </c>
      <c r="E1583" s="10" t="n">
        <f aca="false">C1583*D1583</f>
        <v>38.1</v>
      </c>
    </row>
    <row r="1584" customFormat="false" ht="15" hidden="false" customHeight="false" outlineLevel="0" collapsed="false">
      <c r="A1584" s="9" t="s">
        <v>892</v>
      </c>
      <c r="B1584" s="9" t="s">
        <v>868</v>
      </c>
      <c r="C1584" s="9" t="n">
        <v>5</v>
      </c>
      <c r="D1584" s="10" t="n">
        <v>3.36</v>
      </c>
      <c r="E1584" s="10" t="n">
        <f aca="false">C1584*D1584</f>
        <v>16.8</v>
      </c>
    </row>
    <row r="1585" customFormat="false" ht="15" hidden="false" customHeight="false" outlineLevel="0" collapsed="false">
      <c r="A1585" s="9" t="s">
        <v>892</v>
      </c>
      <c r="B1585" s="9" t="s">
        <v>1013</v>
      </c>
      <c r="C1585" s="9" t="n">
        <v>1</v>
      </c>
      <c r="D1585" s="10" t="n">
        <v>8.47</v>
      </c>
      <c r="E1585" s="10" t="n">
        <f aca="false">C1585*D1585</f>
        <v>8.47</v>
      </c>
    </row>
    <row r="1586" customFormat="false" ht="15" hidden="false" customHeight="false" outlineLevel="0" collapsed="false">
      <c r="A1586" s="9" t="s">
        <v>892</v>
      </c>
      <c r="B1586" s="9" t="s">
        <v>1014</v>
      </c>
      <c r="C1586" s="9" t="n">
        <v>2</v>
      </c>
      <c r="D1586" s="10" t="n">
        <v>8.47</v>
      </c>
      <c r="E1586" s="10" t="n">
        <f aca="false">C1586*D1586</f>
        <v>16.94</v>
      </c>
    </row>
    <row r="1587" customFormat="false" ht="15" hidden="false" customHeight="false" outlineLevel="0" collapsed="false">
      <c r="A1587" s="9" t="s">
        <v>892</v>
      </c>
      <c r="B1587" s="9" t="s">
        <v>1015</v>
      </c>
      <c r="C1587" s="9" t="n">
        <v>2</v>
      </c>
      <c r="D1587" s="10" t="n">
        <v>1.66</v>
      </c>
      <c r="E1587" s="10" t="n">
        <f aca="false">C1587*D1587</f>
        <v>3.32</v>
      </c>
    </row>
    <row r="1588" customFormat="false" ht="15" hidden="false" customHeight="false" outlineLevel="0" collapsed="false">
      <c r="A1588" s="9" t="s">
        <v>892</v>
      </c>
      <c r="B1588" s="9" t="s">
        <v>1016</v>
      </c>
      <c r="C1588" s="9" t="n">
        <v>1</v>
      </c>
      <c r="D1588" s="10" t="n">
        <v>5.91</v>
      </c>
      <c r="E1588" s="10" t="n">
        <f aca="false">C1588*D1588</f>
        <v>5.91</v>
      </c>
    </row>
    <row r="1589" customFormat="false" ht="15" hidden="false" customHeight="false" outlineLevel="0" collapsed="false">
      <c r="A1589" s="9" t="s">
        <v>892</v>
      </c>
      <c r="B1589" s="9" t="s">
        <v>1017</v>
      </c>
      <c r="C1589" s="9" t="n">
        <v>1</v>
      </c>
      <c r="D1589" s="10" t="n">
        <v>8.47</v>
      </c>
      <c r="E1589" s="10" t="n">
        <f aca="false">C1589*D1589</f>
        <v>8.47</v>
      </c>
    </row>
    <row r="1590" customFormat="false" ht="15" hidden="false" customHeight="false" outlineLevel="0" collapsed="false">
      <c r="A1590" s="9" t="s">
        <v>892</v>
      </c>
      <c r="B1590" s="9" t="s">
        <v>988</v>
      </c>
      <c r="C1590" s="9" t="n">
        <v>2</v>
      </c>
      <c r="D1590" s="10" t="n">
        <v>3.75</v>
      </c>
      <c r="E1590" s="10" t="n">
        <f aca="false">C1590*D1590</f>
        <v>7.5</v>
      </c>
    </row>
    <row r="1591" customFormat="false" ht="15" hidden="false" customHeight="false" outlineLevel="0" collapsed="false">
      <c r="A1591" s="9" t="s">
        <v>892</v>
      </c>
      <c r="B1591" s="9" t="s">
        <v>558</v>
      </c>
      <c r="C1591" s="9" t="n">
        <v>7</v>
      </c>
      <c r="D1591" s="10" t="n">
        <v>2.51</v>
      </c>
      <c r="E1591" s="10" t="n">
        <f aca="false">C1591*D1591</f>
        <v>17.57</v>
      </c>
    </row>
    <row r="1592" customFormat="false" ht="15" hidden="false" customHeight="false" outlineLevel="0" collapsed="false">
      <c r="A1592" s="9" t="s">
        <v>892</v>
      </c>
      <c r="B1592" s="9" t="s">
        <v>201</v>
      </c>
      <c r="C1592" s="9" t="n">
        <v>1</v>
      </c>
      <c r="D1592" s="10" t="n">
        <v>14.43</v>
      </c>
      <c r="E1592" s="10" t="n">
        <f aca="false">C1592*D1592</f>
        <v>14.43</v>
      </c>
    </row>
    <row r="1593" customFormat="false" ht="15" hidden="false" customHeight="false" outlineLevel="0" collapsed="false">
      <c r="A1593" s="9" t="s">
        <v>892</v>
      </c>
      <c r="B1593" s="9" t="s">
        <v>1018</v>
      </c>
      <c r="C1593" s="9" t="n">
        <v>1</v>
      </c>
      <c r="D1593" s="10" t="n">
        <v>0.85</v>
      </c>
      <c r="E1593" s="10" t="n">
        <f aca="false">C1593*D1593</f>
        <v>0.85</v>
      </c>
    </row>
    <row r="1594" customFormat="false" ht="15" hidden="false" customHeight="false" outlineLevel="0" collapsed="false">
      <c r="A1594" s="9" t="s">
        <v>892</v>
      </c>
      <c r="B1594" s="9" t="s">
        <v>119</v>
      </c>
      <c r="C1594" s="9" t="n">
        <v>4</v>
      </c>
      <c r="D1594" s="10" t="n">
        <v>4.21</v>
      </c>
      <c r="E1594" s="10" t="n">
        <f aca="false">C1594*D1594</f>
        <v>16.84</v>
      </c>
    </row>
    <row r="1595" customFormat="false" ht="15" hidden="false" customHeight="false" outlineLevel="0" collapsed="false">
      <c r="A1595" s="9" t="s">
        <v>892</v>
      </c>
      <c r="B1595" s="9" t="s">
        <v>1019</v>
      </c>
      <c r="C1595" s="9" t="n">
        <v>3</v>
      </c>
      <c r="D1595" s="10" t="n">
        <v>1.66</v>
      </c>
      <c r="E1595" s="10" t="n">
        <f aca="false">C1595*D1595</f>
        <v>4.98</v>
      </c>
    </row>
    <row r="1596" customFormat="false" ht="15" hidden="false" customHeight="false" outlineLevel="0" collapsed="false">
      <c r="A1596" s="9" t="s">
        <v>892</v>
      </c>
      <c r="B1596" s="9" t="s">
        <v>1020</v>
      </c>
      <c r="C1596" s="9" t="n">
        <v>2</v>
      </c>
      <c r="D1596" s="10" t="n">
        <v>1.66</v>
      </c>
      <c r="E1596" s="10" t="n">
        <f aca="false">C1596*D1596</f>
        <v>3.32</v>
      </c>
    </row>
    <row r="1597" customFormat="false" ht="15" hidden="false" customHeight="false" outlineLevel="0" collapsed="false">
      <c r="A1597" s="9" t="s">
        <v>892</v>
      </c>
      <c r="B1597" s="9" t="s">
        <v>390</v>
      </c>
      <c r="C1597" s="9" t="n">
        <v>1</v>
      </c>
      <c r="D1597" s="10" t="n">
        <v>14.43</v>
      </c>
      <c r="E1597" s="10" t="n">
        <f aca="false">C1597*D1597</f>
        <v>14.43</v>
      </c>
    </row>
    <row r="1598" customFormat="false" ht="15" hidden="false" customHeight="false" outlineLevel="0" collapsed="false">
      <c r="A1598" s="9" t="s">
        <v>892</v>
      </c>
      <c r="B1598" s="9" t="s">
        <v>1021</v>
      </c>
      <c r="C1598" s="9" t="n">
        <v>1</v>
      </c>
      <c r="D1598" s="10" t="n">
        <v>6.77</v>
      </c>
      <c r="E1598" s="10" t="n">
        <f aca="false">C1598*D1598</f>
        <v>6.77</v>
      </c>
    </row>
    <row r="1599" customFormat="false" ht="15" hidden="false" customHeight="false" outlineLevel="0" collapsed="false">
      <c r="A1599" s="9" t="s">
        <v>892</v>
      </c>
      <c r="B1599" s="9" t="s">
        <v>1022</v>
      </c>
      <c r="C1599" s="9" t="n">
        <v>1</v>
      </c>
      <c r="D1599" s="10" t="n">
        <v>2.51</v>
      </c>
      <c r="E1599" s="10" t="n">
        <f aca="false">C1599*D1599</f>
        <v>2.51</v>
      </c>
    </row>
    <row r="1600" customFormat="false" ht="15" hidden="false" customHeight="false" outlineLevel="0" collapsed="false">
      <c r="A1600" s="9" t="s">
        <v>892</v>
      </c>
      <c r="B1600" s="9" t="s">
        <v>200</v>
      </c>
      <c r="C1600" s="9" t="n">
        <v>1</v>
      </c>
      <c r="D1600" s="10" t="n">
        <v>3.36</v>
      </c>
      <c r="E1600" s="10" t="n">
        <f aca="false">C1600*D1600</f>
        <v>3.36</v>
      </c>
    </row>
    <row r="1601" customFormat="false" ht="15" hidden="false" customHeight="false" outlineLevel="0" collapsed="false">
      <c r="A1601" s="9" t="s">
        <v>892</v>
      </c>
      <c r="B1601" s="9" t="s">
        <v>232</v>
      </c>
      <c r="C1601" s="9" t="n">
        <v>2</v>
      </c>
      <c r="D1601" s="10" t="n">
        <v>0.43</v>
      </c>
      <c r="E1601" s="10" t="n">
        <f aca="false">C1601*D1601</f>
        <v>0.86</v>
      </c>
    </row>
    <row r="1602" customFormat="false" ht="15" hidden="false" customHeight="false" outlineLevel="0" collapsed="false">
      <c r="A1602" s="9" t="s">
        <v>892</v>
      </c>
      <c r="B1602" s="9" t="s">
        <v>1023</v>
      </c>
      <c r="C1602" s="9" t="n">
        <v>1</v>
      </c>
      <c r="D1602" s="10" t="n">
        <v>2.51</v>
      </c>
      <c r="E1602" s="10" t="n">
        <f aca="false">C1602*D1602</f>
        <v>2.51</v>
      </c>
    </row>
    <row r="1603" customFormat="false" ht="15" hidden="false" customHeight="false" outlineLevel="0" collapsed="false">
      <c r="A1603" s="9" t="s">
        <v>892</v>
      </c>
      <c r="B1603" s="9" t="s">
        <v>1024</v>
      </c>
      <c r="C1603" s="9" t="n">
        <v>1</v>
      </c>
      <c r="D1603" s="10" t="n">
        <v>2.51</v>
      </c>
      <c r="E1603" s="10" t="n">
        <f aca="false">C1603*D1603</f>
        <v>2.51</v>
      </c>
    </row>
    <row r="1604" customFormat="false" ht="15" hidden="false" customHeight="false" outlineLevel="0" collapsed="false">
      <c r="A1604" s="9" t="s">
        <v>892</v>
      </c>
      <c r="B1604" s="9" t="s">
        <v>1025</v>
      </c>
      <c r="C1604" s="9" t="n">
        <v>1</v>
      </c>
      <c r="D1604" s="10" t="n">
        <v>4.21</v>
      </c>
      <c r="E1604" s="10" t="n">
        <f aca="false">C1604*D1604</f>
        <v>4.21</v>
      </c>
    </row>
    <row r="1605" customFormat="false" ht="15" hidden="false" customHeight="false" outlineLevel="0" collapsed="false">
      <c r="A1605" s="9" t="s">
        <v>892</v>
      </c>
      <c r="B1605" s="9" t="s">
        <v>1026</v>
      </c>
      <c r="C1605" s="9" t="n">
        <v>2</v>
      </c>
      <c r="D1605" s="10" t="n">
        <v>5.91</v>
      </c>
      <c r="E1605" s="10" t="n">
        <f aca="false">C1605*D1605</f>
        <v>11.82</v>
      </c>
    </row>
    <row r="1606" customFormat="false" ht="15" hidden="false" customHeight="false" outlineLevel="0" collapsed="false">
      <c r="A1606" s="9" t="s">
        <v>892</v>
      </c>
      <c r="B1606" s="9" t="s">
        <v>1027</v>
      </c>
      <c r="C1606" s="9" t="n">
        <v>2</v>
      </c>
      <c r="D1606" s="10" t="n">
        <v>1.66</v>
      </c>
      <c r="E1606" s="10" t="n">
        <f aca="false">C1606*D1606</f>
        <v>3.32</v>
      </c>
    </row>
    <row r="1607" customFormat="false" ht="15" hidden="false" customHeight="false" outlineLevel="0" collapsed="false">
      <c r="A1607" s="9" t="s">
        <v>892</v>
      </c>
      <c r="B1607" s="9" t="s">
        <v>1028</v>
      </c>
      <c r="C1607" s="9" t="n">
        <v>1</v>
      </c>
      <c r="D1607" s="10" t="n">
        <v>2.51</v>
      </c>
      <c r="E1607" s="10" t="n">
        <f aca="false">C1607*D1607</f>
        <v>2.51</v>
      </c>
    </row>
    <row r="1608" customFormat="false" ht="15" hidden="false" customHeight="false" outlineLevel="0" collapsed="false">
      <c r="A1608" s="9" t="s">
        <v>892</v>
      </c>
      <c r="B1608" s="9" t="s">
        <v>1029</v>
      </c>
      <c r="C1608" s="9" t="n">
        <v>1</v>
      </c>
      <c r="D1608" s="10" t="n">
        <v>2.51</v>
      </c>
      <c r="E1608" s="10" t="n">
        <f aca="false">C1608*D1608</f>
        <v>2.51</v>
      </c>
    </row>
    <row r="1609" customFormat="false" ht="15" hidden="false" customHeight="false" outlineLevel="0" collapsed="false">
      <c r="A1609" s="9" t="s">
        <v>892</v>
      </c>
      <c r="B1609" s="9" t="s">
        <v>1030</v>
      </c>
      <c r="C1609" s="9" t="n">
        <v>1</v>
      </c>
      <c r="D1609" s="10" t="n">
        <v>2.51</v>
      </c>
      <c r="E1609" s="10" t="n">
        <f aca="false">C1609*D1609</f>
        <v>2.51</v>
      </c>
    </row>
    <row r="1610" customFormat="false" ht="15" hidden="false" customHeight="false" outlineLevel="0" collapsed="false">
      <c r="A1610" s="9" t="s">
        <v>892</v>
      </c>
      <c r="B1610" s="9" t="s">
        <v>1031</v>
      </c>
      <c r="C1610" s="9" t="n">
        <v>1</v>
      </c>
      <c r="D1610" s="10" t="n">
        <v>2.51</v>
      </c>
      <c r="E1610" s="10" t="n">
        <f aca="false">C1610*D1610</f>
        <v>2.51</v>
      </c>
    </row>
    <row r="1611" customFormat="false" ht="15" hidden="false" customHeight="false" outlineLevel="0" collapsed="false">
      <c r="A1611" s="9" t="s">
        <v>892</v>
      </c>
      <c r="B1611" s="9" t="s">
        <v>1032</v>
      </c>
      <c r="C1611" s="9" t="n">
        <v>2</v>
      </c>
      <c r="D1611" s="10" t="n">
        <v>2.51</v>
      </c>
      <c r="E1611" s="10" t="n">
        <f aca="false">C1611*D1611</f>
        <v>5.02</v>
      </c>
    </row>
    <row r="1612" customFormat="false" ht="15" hidden="false" customHeight="false" outlineLevel="0" collapsed="false">
      <c r="A1612" s="9" t="s">
        <v>892</v>
      </c>
      <c r="B1612" s="9" t="s">
        <v>1033</v>
      </c>
      <c r="C1612" s="9" t="n">
        <v>3</v>
      </c>
      <c r="D1612" s="10" t="n">
        <v>2.51</v>
      </c>
      <c r="E1612" s="10" t="n">
        <f aca="false">C1612*D1612</f>
        <v>7.53</v>
      </c>
    </row>
    <row r="1613" customFormat="false" ht="15" hidden="false" customHeight="false" outlineLevel="0" collapsed="false">
      <c r="A1613" s="9" t="s">
        <v>892</v>
      </c>
      <c r="B1613" s="9" t="s">
        <v>1034</v>
      </c>
      <c r="C1613" s="9" t="n">
        <v>1</v>
      </c>
      <c r="D1613" s="10" t="n">
        <v>4.21</v>
      </c>
      <c r="E1613" s="10" t="n">
        <f aca="false">C1613*D1613</f>
        <v>4.21</v>
      </c>
    </row>
    <row r="1614" customFormat="false" ht="15" hidden="false" customHeight="false" outlineLevel="0" collapsed="false">
      <c r="A1614" s="9" t="s">
        <v>892</v>
      </c>
      <c r="B1614" s="9" t="s">
        <v>1035</v>
      </c>
      <c r="C1614" s="9" t="n">
        <v>3</v>
      </c>
      <c r="D1614" s="10" t="n">
        <v>0.43</v>
      </c>
      <c r="E1614" s="10" t="n">
        <f aca="false">C1614*D1614</f>
        <v>1.29</v>
      </c>
    </row>
    <row r="1615" customFormat="false" ht="15" hidden="false" customHeight="false" outlineLevel="0" collapsed="false">
      <c r="A1615" s="9" t="s">
        <v>892</v>
      </c>
      <c r="B1615" s="9" t="s">
        <v>398</v>
      </c>
      <c r="C1615" s="9" t="n">
        <v>1</v>
      </c>
      <c r="D1615" s="10" t="n">
        <v>0.43</v>
      </c>
      <c r="E1615" s="10" t="n">
        <f aca="false">C1615*D1615</f>
        <v>0.43</v>
      </c>
    </row>
    <row r="1616" customFormat="false" ht="15" hidden="false" customHeight="false" outlineLevel="0" collapsed="false">
      <c r="A1616" s="9" t="s">
        <v>892</v>
      </c>
      <c r="B1616" s="9" t="s">
        <v>373</v>
      </c>
      <c r="C1616" s="9" t="n">
        <v>4</v>
      </c>
      <c r="D1616" s="10" t="n">
        <v>0.43</v>
      </c>
      <c r="E1616" s="10" t="n">
        <f aca="false">C1616*D1616</f>
        <v>1.72</v>
      </c>
    </row>
    <row r="1617" customFormat="false" ht="15" hidden="false" customHeight="false" outlineLevel="0" collapsed="false">
      <c r="A1617" s="9" t="s">
        <v>892</v>
      </c>
      <c r="B1617" s="9" t="s">
        <v>1036</v>
      </c>
      <c r="C1617" s="9" t="n">
        <v>1</v>
      </c>
      <c r="D1617" s="10" t="n">
        <v>0.43</v>
      </c>
      <c r="E1617" s="10" t="n">
        <f aca="false">C1617*D1617</f>
        <v>0.43</v>
      </c>
    </row>
    <row r="1618" customFormat="false" ht="15" hidden="false" customHeight="false" outlineLevel="0" collapsed="false">
      <c r="A1618" s="9" t="s">
        <v>892</v>
      </c>
      <c r="B1618" s="9" t="s">
        <v>1037</v>
      </c>
      <c r="C1618" s="9" t="n">
        <v>3</v>
      </c>
      <c r="D1618" s="10" t="n">
        <v>3.36</v>
      </c>
      <c r="E1618" s="10" t="n">
        <f aca="false">C1618*D1618</f>
        <v>10.08</v>
      </c>
    </row>
    <row r="1619" customFormat="false" ht="15" hidden="false" customHeight="false" outlineLevel="0" collapsed="false">
      <c r="A1619" s="9" t="s">
        <v>892</v>
      </c>
      <c r="B1619" s="9" t="s">
        <v>1038</v>
      </c>
      <c r="C1619" s="9" t="n">
        <v>2</v>
      </c>
      <c r="D1619" s="10" t="n">
        <v>8.5</v>
      </c>
      <c r="E1619" s="10" t="n">
        <f aca="false">C1619*D1619</f>
        <v>17</v>
      </c>
    </row>
    <row r="1620" customFormat="false" ht="15" hidden="false" customHeight="false" outlineLevel="0" collapsed="false">
      <c r="A1620" s="9" t="s">
        <v>892</v>
      </c>
      <c r="B1620" s="9" t="s">
        <v>1039</v>
      </c>
      <c r="C1620" s="9" t="n">
        <v>2</v>
      </c>
      <c r="D1620" s="10" t="n">
        <v>6.35</v>
      </c>
      <c r="E1620" s="10" t="n">
        <f aca="false">C1620*D1620</f>
        <v>12.7</v>
      </c>
    </row>
    <row r="1621" customFormat="false" ht="15" hidden="false" customHeight="false" outlineLevel="0" collapsed="false">
      <c r="A1621" s="9" t="s">
        <v>892</v>
      </c>
      <c r="B1621" s="9" t="s">
        <v>1040</v>
      </c>
      <c r="C1621" s="9" t="n">
        <v>2</v>
      </c>
      <c r="D1621" s="10" t="n">
        <v>4.25</v>
      </c>
      <c r="E1621" s="10" t="n">
        <f aca="false">C1621*D1621</f>
        <v>8.5</v>
      </c>
    </row>
    <row r="1622" customFormat="false" ht="15" hidden="false" customHeight="false" outlineLevel="0" collapsed="false">
      <c r="A1622" s="9" t="s">
        <v>892</v>
      </c>
      <c r="B1622" s="9" t="s">
        <v>1041</v>
      </c>
      <c r="C1622" s="9" t="n">
        <v>1</v>
      </c>
      <c r="D1622" s="10" t="n">
        <v>0.85</v>
      </c>
      <c r="E1622" s="10" t="n">
        <f aca="false">C1622*D1622</f>
        <v>0.85</v>
      </c>
    </row>
    <row r="1623" customFormat="false" ht="15" hidden="false" customHeight="false" outlineLevel="0" collapsed="false">
      <c r="A1623" s="9" t="s">
        <v>892</v>
      </c>
      <c r="B1623" s="9" t="s">
        <v>406</v>
      </c>
      <c r="C1623" s="9" t="n">
        <v>1</v>
      </c>
      <c r="D1623" s="10" t="n">
        <v>8.47</v>
      </c>
      <c r="E1623" s="10" t="n">
        <f aca="false">C1623*D1623</f>
        <v>8.47</v>
      </c>
    </row>
    <row r="1624" customFormat="false" ht="15" hidden="false" customHeight="false" outlineLevel="0" collapsed="false">
      <c r="A1624" s="9" t="s">
        <v>892</v>
      </c>
      <c r="B1624" s="9" t="s">
        <v>1042</v>
      </c>
      <c r="C1624" s="9" t="n">
        <v>4</v>
      </c>
      <c r="D1624" s="10" t="n">
        <v>2.51</v>
      </c>
      <c r="E1624" s="10" t="n">
        <f aca="false">C1624*D1624</f>
        <v>10.04</v>
      </c>
    </row>
    <row r="1625" customFormat="false" ht="15" hidden="false" customHeight="false" outlineLevel="0" collapsed="false">
      <c r="A1625" s="9" t="s">
        <v>892</v>
      </c>
      <c r="B1625" s="9" t="s">
        <v>1043</v>
      </c>
      <c r="C1625" s="9" t="n">
        <v>1</v>
      </c>
      <c r="D1625" s="10" t="n">
        <v>11.02</v>
      </c>
      <c r="E1625" s="10" t="n">
        <f aca="false">C1625*D1625</f>
        <v>11.02</v>
      </c>
    </row>
    <row r="1626" customFormat="false" ht="15" hidden="false" customHeight="false" outlineLevel="0" collapsed="false">
      <c r="A1626" s="9" t="s">
        <v>892</v>
      </c>
      <c r="B1626" s="9" t="s">
        <v>302</v>
      </c>
      <c r="C1626" s="9" t="n">
        <v>3</v>
      </c>
      <c r="D1626" s="10" t="n">
        <v>5.06</v>
      </c>
      <c r="E1626" s="10" t="n">
        <f aca="false">C1626*D1626</f>
        <v>15.18</v>
      </c>
    </row>
    <row r="1627" customFormat="false" ht="15" hidden="false" customHeight="false" outlineLevel="0" collapsed="false">
      <c r="A1627" s="9" t="s">
        <v>892</v>
      </c>
      <c r="B1627" s="9" t="s">
        <v>721</v>
      </c>
      <c r="C1627" s="9" t="n">
        <v>1</v>
      </c>
      <c r="D1627" s="10" t="n">
        <v>5.91</v>
      </c>
      <c r="E1627" s="10" t="n">
        <f aca="false">C1627*D1627</f>
        <v>5.91</v>
      </c>
    </row>
    <row r="1628" customFormat="false" ht="15" hidden="false" customHeight="false" outlineLevel="0" collapsed="false">
      <c r="A1628" s="9" t="s">
        <v>892</v>
      </c>
      <c r="B1628" s="9" t="s">
        <v>696</v>
      </c>
      <c r="C1628" s="9" t="n">
        <v>23</v>
      </c>
      <c r="D1628" s="10" t="n">
        <v>2.51</v>
      </c>
      <c r="E1628" s="10" t="n">
        <f aca="false">C1628*D1628</f>
        <v>57.73</v>
      </c>
    </row>
    <row r="1629" customFormat="false" ht="15" hidden="false" customHeight="false" outlineLevel="0" collapsed="false">
      <c r="A1629" s="9" t="s">
        <v>892</v>
      </c>
      <c r="B1629" s="9" t="s">
        <v>229</v>
      </c>
      <c r="C1629" s="9" t="n">
        <v>1</v>
      </c>
      <c r="D1629" s="10" t="n">
        <v>1.66</v>
      </c>
      <c r="E1629" s="10" t="n">
        <f aca="false">C1629*D1629</f>
        <v>1.66</v>
      </c>
    </row>
    <row r="1630" customFormat="false" ht="15" hidden="false" customHeight="false" outlineLevel="0" collapsed="false">
      <c r="A1630" s="9" t="s">
        <v>892</v>
      </c>
      <c r="B1630" s="9" t="s">
        <v>95</v>
      </c>
      <c r="C1630" s="9" t="n">
        <v>1</v>
      </c>
      <c r="D1630" s="10" t="n">
        <v>2.51</v>
      </c>
      <c r="E1630" s="10" t="n">
        <f aca="false">C1630*D1630</f>
        <v>2.51</v>
      </c>
    </row>
    <row r="1631" customFormat="false" ht="15" hidden="false" customHeight="false" outlineLevel="0" collapsed="false">
      <c r="A1631" s="9" t="s">
        <v>892</v>
      </c>
      <c r="B1631" s="9" t="s">
        <v>1044</v>
      </c>
      <c r="C1631" s="9" t="n">
        <v>1</v>
      </c>
      <c r="D1631" s="10" t="n">
        <v>2.51</v>
      </c>
      <c r="E1631" s="10" t="n">
        <f aca="false">C1631*D1631</f>
        <v>2.51</v>
      </c>
    </row>
    <row r="1632" customFormat="false" ht="15" hidden="false" customHeight="false" outlineLevel="0" collapsed="false">
      <c r="A1632" s="9" t="s">
        <v>892</v>
      </c>
      <c r="B1632" s="9" t="s">
        <v>1045</v>
      </c>
      <c r="C1632" s="9" t="n">
        <v>1</v>
      </c>
      <c r="D1632" s="10" t="n">
        <v>2.51</v>
      </c>
      <c r="E1632" s="10" t="n">
        <f aca="false">C1632*D1632</f>
        <v>2.51</v>
      </c>
    </row>
    <row r="1633" customFormat="false" ht="15" hidden="false" customHeight="false" outlineLevel="0" collapsed="false">
      <c r="A1633" s="9" t="s">
        <v>892</v>
      </c>
      <c r="B1633" s="9" t="s">
        <v>99</v>
      </c>
      <c r="C1633" s="9" t="n">
        <v>1</v>
      </c>
      <c r="D1633" s="10" t="n">
        <v>2.51</v>
      </c>
      <c r="E1633" s="10" t="n">
        <f aca="false">C1633*D1633</f>
        <v>2.51</v>
      </c>
    </row>
    <row r="1634" customFormat="false" ht="15" hidden="false" customHeight="false" outlineLevel="0" collapsed="false">
      <c r="A1634" s="9" t="s">
        <v>892</v>
      </c>
      <c r="B1634" s="9" t="s">
        <v>708</v>
      </c>
      <c r="C1634" s="9" t="n">
        <v>2</v>
      </c>
      <c r="D1634" s="10" t="n">
        <v>5.91</v>
      </c>
      <c r="E1634" s="10" t="n">
        <f aca="false">C1634*D1634</f>
        <v>11.82</v>
      </c>
    </row>
    <row r="1635" customFormat="false" ht="15" hidden="false" customHeight="false" outlineLevel="0" collapsed="false">
      <c r="A1635" s="9" t="s">
        <v>892</v>
      </c>
      <c r="B1635" s="9" t="s">
        <v>78</v>
      </c>
      <c r="C1635" s="9" t="n">
        <v>3</v>
      </c>
      <c r="D1635" s="10" t="n">
        <v>5.91</v>
      </c>
      <c r="E1635" s="10" t="n">
        <f aca="false">C1635*D1635</f>
        <v>17.73</v>
      </c>
    </row>
    <row r="1636" customFormat="false" ht="15" hidden="false" customHeight="false" outlineLevel="0" collapsed="false">
      <c r="A1636" s="9" t="s">
        <v>892</v>
      </c>
      <c r="B1636" s="9" t="s">
        <v>1046</v>
      </c>
      <c r="C1636" s="9" t="n">
        <v>2</v>
      </c>
      <c r="D1636" s="10" t="n">
        <v>2.51</v>
      </c>
      <c r="E1636" s="10" t="n">
        <f aca="false">C1636*D1636</f>
        <v>5.02</v>
      </c>
    </row>
    <row r="1637" customFormat="false" ht="15" hidden="false" customHeight="false" outlineLevel="0" collapsed="false">
      <c r="A1637" s="9" t="s">
        <v>892</v>
      </c>
      <c r="B1637" s="9" t="s">
        <v>1047</v>
      </c>
      <c r="C1637" s="9" t="n">
        <v>1</v>
      </c>
      <c r="D1637" s="10" t="n">
        <v>3.36</v>
      </c>
      <c r="E1637" s="10" t="n">
        <f aca="false">C1637*D1637</f>
        <v>3.36</v>
      </c>
    </row>
    <row r="1638" customFormat="false" ht="15" hidden="false" customHeight="false" outlineLevel="0" collapsed="false">
      <c r="A1638" s="9" t="s">
        <v>892</v>
      </c>
      <c r="B1638" s="9" t="s">
        <v>1048</v>
      </c>
      <c r="C1638" s="9" t="n">
        <v>1</v>
      </c>
      <c r="D1638" s="10" t="n">
        <v>0.84</v>
      </c>
      <c r="E1638" s="10" t="n">
        <f aca="false">C1638*D1638</f>
        <v>0.84</v>
      </c>
    </row>
    <row r="1639" customFormat="false" ht="15" hidden="false" customHeight="false" outlineLevel="0" collapsed="false">
      <c r="A1639" s="9" t="s">
        <v>892</v>
      </c>
      <c r="B1639" s="9" t="s">
        <v>283</v>
      </c>
      <c r="C1639" s="9" t="n">
        <v>1</v>
      </c>
      <c r="D1639" s="10" t="n">
        <v>1.66</v>
      </c>
      <c r="E1639" s="10" t="n">
        <f aca="false">C1639*D1639</f>
        <v>1.66</v>
      </c>
    </row>
    <row r="1640" customFormat="false" ht="15" hidden="false" customHeight="false" outlineLevel="0" collapsed="false">
      <c r="A1640" s="9" t="s">
        <v>892</v>
      </c>
      <c r="B1640" s="9" t="s">
        <v>1049</v>
      </c>
      <c r="C1640" s="9" t="n">
        <v>1</v>
      </c>
      <c r="D1640" s="10" t="n">
        <v>1.66</v>
      </c>
      <c r="E1640" s="10" t="n">
        <f aca="false">C1640*D1640</f>
        <v>1.66</v>
      </c>
    </row>
    <row r="1641" customFormat="false" ht="15" hidden="false" customHeight="false" outlineLevel="0" collapsed="false">
      <c r="A1641" s="9" t="s">
        <v>892</v>
      </c>
      <c r="B1641" s="9" t="s">
        <v>1050</v>
      </c>
      <c r="C1641" s="9" t="n">
        <v>1</v>
      </c>
      <c r="D1641" s="10" t="n">
        <v>1.28</v>
      </c>
      <c r="E1641" s="10" t="n">
        <f aca="false">C1641*D1641</f>
        <v>1.28</v>
      </c>
    </row>
    <row r="1642" customFormat="false" ht="15" hidden="false" customHeight="false" outlineLevel="0" collapsed="false">
      <c r="A1642" s="9" t="s">
        <v>892</v>
      </c>
      <c r="B1642" s="9" t="s">
        <v>727</v>
      </c>
      <c r="C1642" s="9" t="n">
        <v>1</v>
      </c>
      <c r="D1642" s="10" t="n">
        <v>1.28</v>
      </c>
      <c r="E1642" s="10" t="n">
        <f aca="false">C1642*D1642</f>
        <v>1.28</v>
      </c>
    </row>
    <row r="1643" customFormat="false" ht="15" hidden="false" customHeight="false" outlineLevel="0" collapsed="false">
      <c r="A1643" s="9" t="s">
        <v>892</v>
      </c>
      <c r="B1643" s="9" t="s">
        <v>707</v>
      </c>
      <c r="C1643" s="9" t="n">
        <v>2</v>
      </c>
      <c r="D1643" s="10" t="n">
        <v>2.51</v>
      </c>
      <c r="E1643" s="10" t="n">
        <f aca="false">C1643*D1643</f>
        <v>5.02</v>
      </c>
    </row>
    <row r="1644" customFormat="false" ht="15" hidden="false" customHeight="false" outlineLevel="0" collapsed="false">
      <c r="A1644" s="9" t="s">
        <v>892</v>
      </c>
      <c r="B1644" s="9" t="s">
        <v>1051</v>
      </c>
      <c r="C1644" s="9" t="n">
        <v>1</v>
      </c>
      <c r="D1644" s="10" t="n">
        <v>2.51</v>
      </c>
      <c r="E1644" s="10" t="n">
        <f aca="false">C1644*D1644</f>
        <v>2.51</v>
      </c>
    </row>
    <row r="1645" customFormat="false" ht="15" hidden="false" customHeight="false" outlineLevel="0" collapsed="false">
      <c r="A1645" s="9" t="s">
        <v>892</v>
      </c>
      <c r="B1645" s="9" t="s">
        <v>1052</v>
      </c>
      <c r="C1645" s="9" t="n">
        <v>2</v>
      </c>
      <c r="D1645" s="10" t="n">
        <v>7.62</v>
      </c>
      <c r="E1645" s="10" t="n">
        <f aca="false">C1645*D1645</f>
        <v>15.24</v>
      </c>
    </row>
    <row r="1646" customFormat="false" ht="15" hidden="false" customHeight="false" outlineLevel="0" collapsed="false">
      <c r="A1646" s="9" t="s">
        <v>892</v>
      </c>
      <c r="B1646" s="9" t="s">
        <v>287</v>
      </c>
      <c r="C1646" s="9" t="n">
        <v>4</v>
      </c>
      <c r="D1646" s="10" t="n">
        <v>2.51</v>
      </c>
      <c r="E1646" s="10" t="n">
        <f aca="false">C1646*D1646</f>
        <v>10.04</v>
      </c>
    </row>
    <row r="1647" customFormat="false" ht="15" hidden="false" customHeight="false" outlineLevel="0" collapsed="false">
      <c r="A1647" s="9" t="s">
        <v>892</v>
      </c>
      <c r="B1647" s="9" t="s">
        <v>291</v>
      </c>
      <c r="C1647" s="9" t="n">
        <v>1</v>
      </c>
      <c r="D1647" s="10" t="n">
        <v>2.51</v>
      </c>
      <c r="E1647" s="10" t="n">
        <f aca="false">C1647*D1647</f>
        <v>2.51</v>
      </c>
    </row>
    <row r="1648" customFormat="false" ht="15" hidden="false" customHeight="false" outlineLevel="0" collapsed="false">
      <c r="A1648" s="9" t="s">
        <v>892</v>
      </c>
      <c r="B1648" s="9" t="s">
        <v>290</v>
      </c>
      <c r="C1648" s="9" t="n">
        <v>2</v>
      </c>
      <c r="D1648" s="10" t="n">
        <v>2.51</v>
      </c>
      <c r="E1648" s="10" t="n">
        <f aca="false">C1648*D1648</f>
        <v>5.02</v>
      </c>
    </row>
    <row r="1649" customFormat="false" ht="15" hidden="false" customHeight="false" outlineLevel="0" collapsed="false">
      <c r="A1649" s="9" t="s">
        <v>892</v>
      </c>
      <c r="B1649" s="9" t="s">
        <v>1053</v>
      </c>
      <c r="C1649" s="9" t="n">
        <v>1</v>
      </c>
      <c r="D1649" s="10" t="n">
        <v>2.51</v>
      </c>
      <c r="E1649" s="10" t="n">
        <f aca="false">C1649*D1649</f>
        <v>2.51</v>
      </c>
    </row>
    <row r="1650" customFormat="false" ht="15" hidden="false" customHeight="false" outlineLevel="0" collapsed="false">
      <c r="A1650" s="9" t="s">
        <v>892</v>
      </c>
      <c r="B1650" s="9" t="s">
        <v>363</v>
      </c>
      <c r="C1650" s="9" t="n">
        <v>3</v>
      </c>
      <c r="D1650" s="10" t="n">
        <v>5.91</v>
      </c>
      <c r="E1650" s="10" t="n">
        <f aca="false">C1650*D1650</f>
        <v>17.73</v>
      </c>
    </row>
    <row r="1651" customFormat="false" ht="15" hidden="false" customHeight="false" outlineLevel="0" collapsed="false">
      <c r="A1651" s="9" t="s">
        <v>892</v>
      </c>
      <c r="B1651" s="9" t="s">
        <v>867</v>
      </c>
      <c r="C1651" s="9" t="n">
        <v>1</v>
      </c>
      <c r="D1651" s="10" t="n">
        <v>12.72</v>
      </c>
      <c r="E1651" s="10" t="n">
        <f aca="false">C1651*D1651</f>
        <v>12.72</v>
      </c>
    </row>
    <row r="1652" customFormat="false" ht="15" hidden="false" customHeight="false" outlineLevel="0" collapsed="false">
      <c r="A1652" s="9" t="s">
        <v>892</v>
      </c>
      <c r="B1652" s="9" t="s">
        <v>844</v>
      </c>
      <c r="C1652" s="9" t="n">
        <v>1</v>
      </c>
      <c r="D1652" s="10" t="n">
        <v>2.51</v>
      </c>
      <c r="E1652" s="10" t="n">
        <f aca="false">C1652*D1652</f>
        <v>2.51</v>
      </c>
    </row>
    <row r="1653" customFormat="false" ht="15" hidden="false" customHeight="false" outlineLevel="0" collapsed="false">
      <c r="A1653" s="9" t="s">
        <v>892</v>
      </c>
      <c r="B1653" s="9" t="s">
        <v>1054</v>
      </c>
      <c r="C1653" s="9" t="n">
        <v>1</v>
      </c>
      <c r="D1653" s="10" t="n">
        <v>9.32</v>
      </c>
      <c r="E1653" s="10" t="n">
        <f aca="false">C1653*D1653</f>
        <v>9.32</v>
      </c>
    </row>
    <row r="1654" customFormat="false" ht="15" hidden="false" customHeight="false" outlineLevel="0" collapsed="false">
      <c r="A1654" s="9" t="s">
        <v>892</v>
      </c>
      <c r="B1654" s="9" t="s">
        <v>1055</v>
      </c>
      <c r="C1654" s="9" t="n">
        <v>1</v>
      </c>
      <c r="D1654" s="10" t="n">
        <v>9.32</v>
      </c>
      <c r="E1654" s="10" t="n">
        <f aca="false">C1654*D1654</f>
        <v>9.32</v>
      </c>
    </row>
    <row r="1655" customFormat="false" ht="15" hidden="false" customHeight="false" outlineLevel="0" collapsed="false">
      <c r="A1655" s="9" t="s">
        <v>892</v>
      </c>
      <c r="B1655" s="9" t="s">
        <v>665</v>
      </c>
      <c r="C1655" s="9" t="n">
        <v>1</v>
      </c>
      <c r="D1655" s="10" t="n">
        <v>5.06</v>
      </c>
      <c r="E1655" s="10" t="n">
        <f aca="false">C1655*D1655</f>
        <v>5.06</v>
      </c>
    </row>
    <row r="1656" customFormat="false" ht="15" hidden="false" customHeight="false" outlineLevel="0" collapsed="false">
      <c r="A1656" s="9" t="s">
        <v>892</v>
      </c>
      <c r="B1656" s="9" t="s">
        <v>796</v>
      </c>
      <c r="C1656" s="9" t="n">
        <v>3</v>
      </c>
      <c r="D1656" s="10" t="n">
        <v>2.51</v>
      </c>
      <c r="E1656" s="10" t="n">
        <f aca="false">C1656*D1656</f>
        <v>7.53</v>
      </c>
    </row>
    <row r="1657" customFormat="false" ht="15" hidden="false" customHeight="false" outlineLevel="0" collapsed="false">
      <c r="A1657" s="9" t="s">
        <v>892</v>
      </c>
      <c r="B1657" s="9" t="s">
        <v>1056</v>
      </c>
      <c r="C1657" s="9" t="n">
        <v>1</v>
      </c>
      <c r="D1657" s="10" t="n">
        <v>5.91</v>
      </c>
      <c r="E1657" s="10" t="n">
        <f aca="false">C1657*D1657</f>
        <v>5.91</v>
      </c>
    </row>
    <row r="1658" customFormat="false" ht="15" hidden="false" customHeight="false" outlineLevel="0" collapsed="false">
      <c r="A1658" s="9" t="s">
        <v>892</v>
      </c>
      <c r="B1658" s="9" t="s">
        <v>236</v>
      </c>
      <c r="C1658" s="9" t="n">
        <v>4</v>
      </c>
      <c r="D1658" s="10" t="n">
        <v>1.66</v>
      </c>
      <c r="E1658" s="10" t="n">
        <f aca="false">C1658*D1658</f>
        <v>6.64</v>
      </c>
    </row>
    <row r="1659" customFormat="false" ht="15" hidden="false" customHeight="false" outlineLevel="0" collapsed="false">
      <c r="A1659" s="9" t="s">
        <v>892</v>
      </c>
      <c r="B1659" s="9" t="s">
        <v>235</v>
      </c>
      <c r="C1659" s="9" t="n">
        <v>1</v>
      </c>
      <c r="D1659" s="10" t="n">
        <v>1.66</v>
      </c>
      <c r="E1659" s="10" t="n">
        <f aca="false">C1659*D1659</f>
        <v>1.66</v>
      </c>
    </row>
    <row r="1660" customFormat="false" ht="15" hidden="false" customHeight="false" outlineLevel="0" collapsed="false">
      <c r="A1660" s="9" t="s">
        <v>892</v>
      </c>
      <c r="B1660" s="9" t="s">
        <v>1057</v>
      </c>
      <c r="C1660" s="9" t="n">
        <v>1</v>
      </c>
      <c r="D1660" s="10" t="n">
        <v>8.47</v>
      </c>
      <c r="E1660" s="10" t="n">
        <f aca="false">C1660*D1660</f>
        <v>8.47</v>
      </c>
    </row>
    <row r="1661" customFormat="false" ht="15" hidden="false" customHeight="false" outlineLevel="0" collapsed="false">
      <c r="A1661" s="9" t="s">
        <v>892</v>
      </c>
      <c r="B1661" s="9" t="s">
        <v>1058</v>
      </c>
      <c r="C1661" s="9" t="n">
        <v>1</v>
      </c>
      <c r="D1661" s="10" t="n">
        <v>7.62</v>
      </c>
      <c r="E1661" s="10" t="n">
        <f aca="false">C1661*D1661</f>
        <v>7.62</v>
      </c>
    </row>
    <row r="1662" customFormat="false" ht="15" hidden="false" customHeight="false" outlineLevel="0" collapsed="false">
      <c r="A1662" s="9" t="s">
        <v>892</v>
      </c>
      <c r="B1662" s="9" t="s">
        <v>230</v>
      </c>
      <c r="C1662" s="9" t="n">
        <v>4</v>
      </c>
      <c r="D1662" s="10" t="n">
        <v>3.36</v>
      </c>
      <c r="E1662" s="10" t="n">
        <f aca="false">C1662*D1662</f>
        <v>13.44</v>
      </c>
    </row>
    <row r="1663" customFormat="false" ht="15" hidden="false" customHeight="false" outlineLevel="0" collapsed="false">
      <c r="A1663" s="9" t="s">
        <v>892</v>
      </c>
      <c r="B1663" s="9" t="s">
        <v>231</v>
      </c>
      <c r="C1663" s="9" t="n">
        <v>2</v>
      </c>
      <c r="D1663" s="10" t="n">
        <v>1.66</v>
      </c>
      <c r="E1663" s="10" t="n">
        <f aca="false">C1663*D1663</f>
        <v>3.32</v>
      </c>
    </row>
    <row r="1664" customFormat="false" ht="15" hidden="false" customHeight="false" outlineLevel="0" collapsed="false">
      <c r="A1664" s="9" t="s">
        <v>892</v>
      </c>
      <c r="B1664" s="9" t="s">
        <v>210</v>
      </c>
      <c r="C1664" s="9" t="n">
        <v>2</v>
      </c>
      <c r="D1664" s="10" t="n">
        <v>1.66</v>
      </c>
      <c r="E1664" s="10" t="n">
        <f aca="false">C1664*D1664</f>
        <v>3.32</v>
      </c>
    </row>
    <row r="1665" customFormat="false" ht="15" hidden="false" customHeight="false" outlineLevel="0" collapsed="false">
      <c r="A1665" s="9" t="s">
        <v>892</v>
      </c>
      <c r="B1665" s="9" t="s">
        <v>211</v>
      </c>
      <c r="C1665" s="9" t="n">
        <v>1</v>
      </c>
      <c r="D1665" s="10" t="n">
        <v>3.36</v>
      </c>
      <c r="E1665" s="10" t="n">
        <f aca="false">C1665*D1665</f>
        <v>3.36</v>
      </c>
    </row>
    <row r="1666" customFormat="false" ht="15" hidden="false" customHeight="false" outlineLevel="0" collapsed="false">
      <c r="A1666" s="9" t="s">
        <v>892</v>
      </c>
      <c r="B1666" s="9" t="s">
        <v>1059</v>
      </c>
      <c r="C1666" s="9" t="n">
        <v>3</v>
      </c>
      <c r="D1666" s="10" t="n">
        <v>2.51</v>
      </c>
      <c r="E1666" s="10" t="n">
        <f aca="false">C1666*D1666</f>
        <v>7.53</v>
      </c>
    </row>
    <row r="1667" customFormat="false" ht="15" hidden="false" customHeight="false" outlineLevel="0" collapsed="false">
      <c r="A1667" s="9" t="s">
        <v>892</v>
      </c>
      <c r="B1667" s="9" t="s">
        <v>176</v>
      </c>
      <c r="C1667" s="9" t="n">
        <v>1</v>
      </c>
      <c r="D1667" s="10" t="n">
        <v>8.47</v>
      </c>
      <c r="E1667" s="10" t="n">
        <f aca="false">C1667*D1667</f>
        <v>8.47</v>
      </c>
    </row>
    <row r="1668" customFormat="false" ht="15" hidden="false" customHeight="false" outlineLevel="0" collapsed="false">
      <c r="A1668" s="9" t="s">
        <v>892</v>
      </c>
      <c r="B1668" s="9" t="s">
        <v>772</v>
      </c>
      <c r="C1668" s="9" t="n">
        <v>1</v>
      </c>
      <c r="D1668" s="10" t="n">
        <v>3.36</v>
      </c>
      <c r="E1668" s="10" t="n">
        <f aca="false">C1668*D1668</f>
        <v>3.36</v>
      </c>
    </row>
    <row r="1669" customFormat="false" ht="15" hidden="false" customHeight="false" outlineLevel="0" collapsed="false">
      <c r="A1669" s="9" t="s">
        <v>892</v>
      </c>
      <c r="B1669" s="9" t="s">
        <v>1060</v>
      </c>
      <c r="C1669" s="9" t="n">
        <v>1</v>
      </c>
      <c r="D1669" s="10" t="n">
        <v>4.21</v>
      </c>
      <c r="E1669" s="10" t="n">
        <f aca="false">C1669*D1669</f>
        <v>4.21</v>
      </c>
    </row>
    <row r="1670" customFormat="false" ht="15" hidden="false" customHeight="false" outlineLevel="0" collapsed="false">
      <c r="A1670" s="9" t="s">
        <v>892</v>
      </c>
      <c r="B1670" s="9" t="s">
        <v>395</v>
      </c>
      <c r="C1670" s="9" t="n">
        <v>13</v>
      </c>
      <c r="D1670" s="10" t="n">
        <v>2.51</v>
      </c>
      <c r="E1670" s="10" t="n">
        <f aca="false">C1670*D1670</f>
        <v>32.63</v>
      </c>
    </row>
    <row r="1671" customFormat="false" ht="15" hidden="false" customHeight="false" outlineLevel="0" collapsed="false">
      <c r="A1671" s="9" t="s">
        <v>892</v>
      </c>
      <c r="B1671" s="9" t="s">
        <v>228</v>
      </c>
      <c r="C1671" s="9" t="n">
        <v>2</v>
      </c>
      <c r="D1671" s="10" t="n">
        <v>3.36</v>
      </c>
      <c r="E1671" s="10" t="n">
        <f aca="false">C1671*D1671</f>
        <v>6.72</v>
      </c>
    </row>
    <row r="1672" customFormat="false" ht="15" hidden="false" customHeight="false" outlineLevel="0" collapsed="false">
      <c r="A1672" s="9" t="s">
        <v>892</v>
      </c>
      <c r="B1672" s="9" t="s">
        <v>1061</v>
      </c>
      <c r="C1672" s="9" t="n">
        <v>1</v>
      </c>
      <c r="D1672" s="10" t="n">
        <v>16.98</v>
      </c>
      <c r="E1672" s="10" t="n">
        <f aca="false">C1672*D1672</f>
        <v>16.98</v>
      </c>
    </row>
    <row r="1673" customFormat="false" ht="15" hidden="false" customHeight="false" outlineLevel="0" collapsed="false">
      <c r="A1673" s="9" t="s">
        <v>892</v>
      </c>
      <c r="B1673" s="9" t="s">
        <v>1062</v>
      </c>
      <c r="C1673" s="9" t="n">
        <v>2</v>
      </c>
      <c r="D1673" s="10" t="n">
        <v>3.36</v>
      </c>
      <c r="E1673" s="10" t="n">
        <f aca="false">C1673*D1673</f>
        <v>6.72</v>
      </c>
    </row>
    <row r="1674" customFormat="false" ht="15" hidden="false" customHeight="false" outlineLevel="0" collapsed="false">
      <c r="A1674" s="9" t="s">
        <v>892</v>
      </c>
      <c r="B1674" s="9" t="s">
        <v>1063</v>
      </c>
      <c r="C1674" s="9" t="n">
        <v>10</v>
      </c>
      <c r="D1674" s="10" t="n">
        <v>0.81</v>
      </c>
      <c r="E1674" s="10" t="n">
        <f aca="false">C1674*D1674</f>
        <v>8.1</v>
      </c>
    </row>
    <row r="1675" customFormat="false" ht="15" hidden="false" customHeight="false" outlineLevel="0" collapsed="false">
      <c r="A1675" s="9" t="s">
        <v>892</v>
      </c>
      <c r="B1675" s="9" t="s">
        <v>1064</v>
      </c>
      <c r="C1675" s="9" t="n">
        <v>3</v>
      </c>
      <c r="D1675" s="10" t="n">
        <v>1.66</v>
      </c>
      <c r="E1675" s="10" t="n">
        <f aca="false">C1675*D1675</f>
        <v>4.98</v>
      </c>
    </row>
    <row r="1676" customFormat="false" ht="15" hidden="false" customHeight="false" outlineLevel="0" collapsed="false">
      <c r="A1676" s="9" t="s">
        <v>892</v>
      </c>
      <c r="B1676" s="9" t="s">
        <v>1065</v>
      </c>
      <c r="C1676" s="9" t="n">
        <v>3</v>
      </c>
      <c r="D1676" s="10" t="n">
        <v>0.85</v>
      </c>
      <c r="E1676" s="10" t="n">
        <f aca="false">C1676*D1676</f>
        <v>2.55</v>
      </c>
    </row>
    <row r="1677" customFormat="false" ht="15" hidden="false" customHeight="false" outlineLevel="0" collapsed="false">
      <c r="A1677" s="9" t="s">
        <v>892</v>
      </c>
      <c r="B1677" s="9" t="s">
        <v>1066</v>
      </c>
      <c r="C1677" s="9" t="n">
        <v>1</v>
      </c>
      <c r="D1677" s="10" t="n">
        <v>0.85</v>
      </c>
      <c r="E1677" s="10" t="n">
        <f aca="false">C1677*D1677</f>
        <v>0.85</v>
      </c>
    </row>
    <row r="1678" customFormat="false" ht="15" hidden="false" customHeight="false" outlineLevel="0" collapsed="false">
      <c r="A1678" s="9" t="s">
        <v>892</v>
      </c>
      <c r="B1678" s="9" t="s">
        <v>409</v>
      </c>
      <c r="C1678" s="9" t="n">
        <v>1</v>
      </c>
      <c r="D1678" s="10" t="n">
        <v>0.85</v>
      </c>
      <c r="E1678" s="10" t="n">
        <f aca="false">C1678*D1678</f>
        <v>0.85</v>
      </c>
    </row>
    <row r="1679" customFormat="false" ht="15" hidden="false" customHeight="false" outlineLevel="0" collapsed="false">
      <c r="A1679" s="9" t="s">
        <v>892</v>
      </c>
      <c r="B1679" s="9" t="s">
        <v>505</v>
      </c>
      <c r="C1679" s="9" t="n">
        <v>1</v>
      </c>
      <c r="D1679" s="10" t="n">
        <v>4.21</v>
      </c>
      <c r="E1679" s="10" t="n">
        <f aca="false">C1679*D1679</f>
        <v>4.21</v>
      </c>
    </row>
    <row r="1680" customFormat="false" ht="15" hidden="false" customHeight="false" outlineLevel="0" collapsed="false">
      <c r="A1680" s="9" t="s">
        <v>892</v>
      </c>
      <c r="B1680" s="9" t="s">
        <v>444</v>
      </c>
      <c r="C1680" s="9" t="n">
        <v>4</v>
      </c>
      <c r="D1680" s="10" t="n">
        <v>4.21</v>
      </c>
      <c r="E1680" s="10" t="n">
        <f aca="false">C1680*D1680</f>
        <v>16.84</v>
      </c>
    </row>
    <row r="1681" customFormat="false" ht="15" hidden="false" customHeight="false" outlineLevel="0" collapsed="false">
      <c r="A1681" s="9" t="s">
        <v>892</v>
      </c>
      <c r="B1681" s="9" t="s">
        <v>457</v>
      </c>
      <c r="C1681" s="9" t="n">
        <v>4</v>
      </c>
      <c r="D1681" s="10" t="n">
        <v>4.21</v>
      </c>
      <c r="E1681" s="10" t="n">
        <f aca="false">C1681*D1681</f>
        <v>16.84</v>
      </c>
    </row>
    <row r="1682" customFormat="false" ht="15" hidden="false" customHeight="false" outlineLevel="0" collapsed="false">
      <c r="A1682" s="9" t="s">
        <v>892</v>
      </c>
      <c r="B1682" s="9" t="s">
        <v>1067</v>
      </c>
      <c r="C1682" s="9" t="n">
        <v>5</v>
      </c>
      <c r="D1682" s="10" t="n">
        <v>0.85</v>
      </c>
      <c r="E1682" s="10" t="n">
        <f aca="false">C1682*D1682</f>
        <v>4.25</v>
      </c>
    </row>
    <row r="1683" customFormat="false" ht="15" hidden="false" customHeight="false" outlineLevel="0" collapsed="false">
      <c r="A1683" s="9" t="s">
        <v>892</v>
      </c>
      <c r="B1683" s="9" t="s">
        <v>1068</v>
      </c>
      <c r="C1683" s="9" t="n">
        <v>1</v>
      </c>
      <c r="D1683" s="10" t="n">
        <v>0.85</v>
      </c>
      <c r="E1683" s="10" t="n">
        <f aca="false">C1683*D1683</f>
        <v>0.85</v>
      </c>
    </row>
    <row r="1684" customFormat="false" ht="15" hidden="false" customHeight="false" outlineLevel="0" collapsed="false">
      <c r="A1684" s="9" t="s">
        <v>892</v>
      </c>
      <c r="B1684" s="9" t="s">
        <v>497</v>
      </c>
      <c r="C1684" s="9" t="n">
        <v>2</v>
      </c>
      <c r="D1684" s="10" t="n">
        <v>8.47</v>
      </c>
      <c r="E1684" s="10" t="n">
        <f aca="false">C1684*D1684</f>
        <v>16.94</v>
      </c>
    </row>
    <row r="1685" customFormat="false" ht="15" hidden="false" customHeight="false" outlineLevel="0" collapsed="false">
      <c r="A1685" s="9" t="s">
        <v>892</v>
      </c>
      <c r="B1685" s="9" t="s">
        <v>513</v>
      </c>
      <c r="C1685" s="9" t="n">
        <v>2</v>
      </c>
      <c r="D1685" s="10" t="n">
        <v>5.91</v>
      </c>
      <c r="E1685" s="10" t="n">
        <f aca="false">C1685*D1685</f>
        <v>11.82</v>
      </c>
    </row>
    <row r="1686" customFormat="false" ht="15" hidden="false" customHeight="false" outlineLevel="0" collapsed="false">
      <c r="A1686" s="9" t="s">
        <v>892</v>
      </c>
      <c r="B1686" s="9" t="s">
        <v>105</v>
      </c>
      <c r="C1686" s="9" t="n">
        <v>3</v>
      </c>
      <c r="D1686" s="10" t="n">
        <v>8.47</v>
      </c>
      <c r="E1686" s="10" t="n">
        <f aca="false">C1686*D1686</f>
        <v>25.41</v>
      </c>
    </row>
    <row r="1687" customFormat="false" ht="15" hidden="false" customHeight="false" outlineLevel="0" collapsed="false">
      <c r="A1687" s="9" t="s">
        <v>892</v>
      </c>
      <c r="B1687" s="9" t="s">
        <v>270</v>
      </c>
      <c r="C1687" s="9" t="n">
        <v>2</v>
      </c>
      <c r="D1687" s="10" t="n">
        <v>11.02</v>
      </c>
      <c r="E1687" s="10" t="n">
        <f aca="false">C1687*D1687</f>
        <v>22.04</v>
      </c>
    </row>
    <row r="1688" customFormat="false" ht="15" hidden="false" customHeight="false" outlineLevel="0" collapsed="false">
      <c r="A1688" s="9" t="s">
        <v>892</v>
      </c>
      <c r="B1688" s="9" t="s">
        <v>178</v>
      </c>
      <c r="C1688" s="9" t="n">
        <v>1</v>
      </c>
      <c r="D1688" s="10" t="n">
        <v>5.91</v>
      </c>
      <c r="E1688" s="10" t="n">
        <f aca="false">C1688*D1688</f>
        <v>5.91</v>
      </c>
    </row>
    <row r="1689" customFormat="false" ht="15" hidden="false" customHeight="false" outlineLevel="0" collapsed="false">
      <c r="A1689" s="9" t="s">
        <v>892</v>
      </c>
      <c r="B1689" s="9" t="s">
        <v>272</v>
      </c>
      <c r="C1689" s="9" t="n">
        <v>2</v>
      </c>
      <c r="D1689" s="10" t="n">
        <v>11.02</v>
      </c>
      <c r="E1689" s="10" t="n">
        <f aca="false">C1689*D1689</f>
        <v>22.04</v>
      </c>
    </row>
    <row r="1690" customFormat="false" ht="15" hidden="false" customHeight="false" outlineLevel="0" collapsed="false">
      <c r="A1690" s="9" t="s">
        <v>892</v>
      </c>
      <c r="B1690" s="9" t="s">
        <v>1069</v>
      </c>
      <c r="C1690" s="9" t="n">
        <v>2</v>
      </c>
      <c r="D1690" s="10" t="n">
        <v>1.28</v>
      </c>
      <c r="E1690" s="10" t="n">
        <f aca="false">C1690*D1690</f>
        <v>2.56</v>
      </c>
    </row>
    <row r="1691" customFormat="false" ht="15" hidden="false" customHeight="false" outlineLevel="0" collapsed="false">
      <c r="A1691" s="9" t="s">
        <v>892</v>
      </c>
      <c r="B1691" s="9" t="s">
        <v>549</v>
      </c>
      <c r="C1691" s="9" t="n">
        <v>4</v>
      </c>
      <c r="D1691" s="10" t="n">
        <v>2.51</v>
      </c>
      <c r="E1691" s="10" t="n">
        <f aca="false">C1691*D1691</f>
        <v>10.04</v>
      </c>
    </row>
    <row r="1692" customFormat="false" ht="15" hidden="false" customHeight="false" outlineLevel="0" collapsed="false">
      <c r="A1692" s="9" t="s">
        <v>892</v>
      </c>
      <c r="B1692" s="9" t="s">
        <v>1070</v>
      </c>
      <c r="C1692" s="9" t="n">
        <v>1</v>
      </c>
      <c r="D1692" s="10" t="n">
        <v>5.06</v>
      </c>
      <c r="E1692" s="10" t="n">
        <f aca="false">C1692*D1692</f>
        <v>5.06</v>
      </c>
    </row>
    <row r="1693" customFormat="false" ht="15" hidden="false" customHeight="false" outlineLevel="0" collapsed="false">
      <c r="A1693" s="9" t="s">
        <v>892</v>
      </c>
      <c r="B1693" s="9" t="s">
        <v>298</v>
      </c>
      <c r="C1693" s="9" t="n">
        <v>2</v>
      </c>
      <c r="D1693" s="10" t="n">
        <v>4.21</v>
      </c>
      <c r="E1693" s="10" t="n">
        <f aca="false">C1693*D1693</f>
        <v>8.42</v>
      </c>
    </row>
    <row r="1694" customFormat="false" ht="15" hidden="false" customHeight="false" outlineLevel="0" collapsed="false">
      <c r="A1694" s="9" t="s">
        <v>892</v>
      </c>
      <c r="B1694" s="9" t="s">
        <v>344</v>
      </c>
      <c r="C1694" s="9" t="n">
        <v>1</v>
      </c>
      <c r="D1694" s="10" t="n">
        <v>4.21</v>
      </c>
      <c r="E1694" s="10" t="n">
        <f aca="false">C1694*D1694</f>
        <v>4.21</v>
      </c>
    </row>
    <row r="1695" customFormat="false" ht="15" hidden="false" customHeight="false" outlineLevel="0" collapsed="false">
      <c r="A1695" s="9" t="s">
        <v>892</v>
      </c>
      <c r="B1695" s="9" t="s">
        <v>1071</v>
      </c>
      <c r="C1695" s="9" t="n">
        <v>1</v>
      </c>
      <c r="D1695" s="10" t="n">
        <v>4.21</v>
      </c>
      <c r="E1695" s="10" t="n">
        <f aca="false">C1695*D1695</f>
        <v>4.21</v>
      </c>
    </row>
    <row r="1696" customFormat="false" ht="15" hidden="false" customHeight="false" outlineLevel="0" collapsed="false">
      <c r="A1696" s="9" t="s">
        <v>892</v>
      </c>
      <c r="B1696" s="9" t="s">
        <v>171</v>
      </c>
      <c r="C1696" s="9" t="n">
        <v>2</v>
      </c>
      <c r="D1696" s="10" t="n">
        <v>4.21</v>
      </c>
      <c r="E1696" s="10" t="n">
        <f aca="false">C1696*D1696</f>
        <v>8.42</v>
      </c>
    </row>
    <row r="1697" customFormat="false" ht="15" hidden="false" customHeight="false" outlineLevel="0" collapsed="false">
      <c r="A1697" s="9" t="s">
        <v>892</v>
      </c>
      <c r="B1697" s="9" t="s">
        <v>1072</v>
      </c>
      <c r="C1697" s="9" t="n">
        <v>2</v>
      </c>
      <c r="D1697" s="10" t="n">
        <v>4.21</v>
      </c>
      <c r="E1697" s="10" t="n">
        <f aca="false">C1697*D1697</f>
        <v>8.42</v>
      </c>
    </row>
    <row r="1698" customFormat="false" ht="15" hidden="false" customHeight="false" outlineLevel="0" collapsed="false">
      <c r="A1698" s="9" t="s">
        <v>892</v>
      </c>
      <c r="B1698" s="9" t="s">
        <v>625</v>
      </c>
      <c r="C1698" s="9" t="n">
        <v>1</v>
      </c>
      <c r="D1698" s="10" t="n">
        <v>8.47</v>
      </c>
      <c r="E1698" s="10" t="n">
        <f aca="false">C1698*D1698</f>
        <v>8.47</v>
      </c>
    </row>
    <row r="1699" customFormat="false" ht="15" hidden="false" customHeight="false" outlineLevel="0" collapsed="false">
      <c r="A1699" s="9" t="s">
        <v>892</v>
      </c>
      <c r="B1699" s="9" t="s">
        <v>1073</v>
      </c>
      <c r="C1699" s="9" t="n">
        <v>2</v>
      </c>
      <c r="D1699" s="10" t="n">
        <v>8.47</v>
      </c>
      <c r="E1699" s="10" t="n">
        <f aca="false">C1699*D1699</f>
        <v>16.94</v>
      </c>
    </row>
    <row r="1700" customFormat="false" ht="15" hidden="false" customHeight="false" outlineLevel="0" collapsed="false">
      <c r="A1700" s="9" t="s">
        <v>892</v>
      </c>
      <c r="B1700" s="9" t="s">
        <v>371</v>
      </c>
      <c r="C1700" s="9" t="n">
        <v>1</v>
      </c>
      <c r="D1700" s="10" t="n">
        <v>8.47</v>
      </c>
      <c r="E1700" s="10" t="n">
        <f aca="false">C1700*D1700</f>
        <v>8.47</v>
      </c>
    </row>
    <row r="1701" customFormat="false" ht="15" hidden="false" customHeight="false" outlineLevel="0" collapsed="false">
      <c r="A1701" s="9" t="s">
        <v>892</v>
      </c>
      <c r="B1701" s="9" t="s">
        <v>492</v>
      </c>
      <c r="C1701" s="9" t="n">
        <v>1</v>
      </c>
      <c r="D1701" s="10" t="n">
        <v>4.21</v>
      </c>
      <c r="E1701" s="10" t="n">
        <f aca="false">C1701*D1701</f>
        <v>4.21</v>
      </c>
    </row>
    <row r="1702" customFormat="false" ht="15" hidden="false" customHeight="false" outlineLevel="0" collapsed="false">
      <c r="A1702" s="9" t="s">
        <v>892</v>
      </c>
      <c r="B1702" s="9" t="s">
        <v>1074</v>
      </c>
      <c r="C1702" s="9" t="n">
        <v>2</v>
      </c>
      <c r="D1702" s="10" t="n">
        <v>5.91</v>
      </c>
      <c r="E1702" s="10" t="n">
        <f aca="false">C1702*D1702</f>
        <v>11.82</v>
      </c>
    </row>
    <row r="1703" customFormat="false" ht="15" hidden="false" customHeight="false" outlineLevel="0" collapsed="false">
      <c r="A1703" s="9" t="s">
        <v>892</v>
      </c>
      <c r="B1703" s="9" t="s">
        <v>775</v>
      </c>
      <c r="C1703" s="9" t="n">
        <v>2</v>
      </c>
      <c r="D1703" s="10" t="n">
        <v>5.91</v>
      </c>
      <c r="E1703" s="10" t="n">
        <f aca="false">C1703*D1703</f>
        <v>11.82</v>
      </c>
    </row>
    <row r="1704" customFormat="false" ht="15" hidden="false" customHeight="false" outlineLevel="0" collapsed="false">
      <c r="A1704" s="9" t="s">
        <v>892</v>
      </c>
      <c r="B1704" s="9" t="s">
        <v>1075</v>
      </c>
      <c r="C1704" s="9" t="n">
        <v>2</v>
      </c>
      <c r="D1704" s="10" t="n">
        <v>5.91</v>
      </c>
      <c r="E1704" s="10" t="n">
        <f aca="false">C1704*D1704</f>
        <v>11.82</v>
      </c>
    </row>
    <row r="1705" customFormat="false" ht="15" hidden="false" customHeight="false" outlineLevel="0" collapsed="false">
      <c r="A1705" s="9" t="s">
        <v>892</v>
      </c>
      <c r="B1705" s="9" t="s">
        <v>514</v>
      </c>
      <c r="C1705" s="9" t="n">
        <v>1</v>
      </c>
      <c r="D1705" s="10" t="n">
        <v>8.47</v>
      </c>
      <c r="E1705" s="10" t="n">
        <f aca="false">C1705*D1705</f>
        <v>8.47</v>
      </c>
    </row>
    <row r="1706" customFormat="false" ht="15" hidden="false" customHeight="false" outlineLevel="0" collapsed="false">
      <c r="A1706" s="9" t="s">
        <v>892</v>
      </c>
      <c r="B1706" s="9" t="s">
        <v>1076</v>
      </c>
      <c r="C1706" s="9" t="n">
        <v>9</v>
      </c>
      <c r="D1706" s="10" t="n">
        <v>1.66</v>
      </c>
      <c r="E1706" s="10" t="n">
        <f aca="false">C1706*D1706</f>
        <v>14.94</v>
      </c>
    </row>
    <row r="1707" customFormat="false" ht="15" hidden="false" customHeight="false" outlineLevel="0" collapsed="false">
      <c r="A1707" s="9" t="s">
        <v>892</v>
      </c>
      <c r="B1707" s="9" t="s">
        <v>885</v>
      </c>
      <c r="C1707" s="9" t="n">
        <v>3</v>
      </c>
      <c r="D1707" s="10" t="n">
        <v>1.66</v>
      </c>
      <c r="E1707" s="10" t="n">
        <f aca="false">C1707*D1707</f>
        <v>4.98</v>
      </c>
    </row>
    <row r="1708" customFormat="false" ht="15" hidden="false" customHeight="false" outlineLevel="0" collapsed="false">
      <c r="A1708" s="9" t="s">
        <v>892</v>
      </c>
      <c r="B1708" s="9" t="s">
        <v>1077</v>
      </c>
      <c r="C1708" s="9" t="n">
        <v>3</v>
      </c>
      <c r="D1708" s="10" t="n">
        <v>1.66</v>
      </c>
      <c r="E1708" s="10" t="n">
        <f aca="false">C1708*D1708</f>
        <v>4.98</v>
      </c>
    </row>
    <row r="1709" customFormat="false" ht="15" hidden="false" customHeight="false" outlineLevel="0" collapsed="false">
      <c r="A1709" s="9" t="s">
        <v>892</v>
      </c>
      <c r="B1709" s="9" t="s">
        <v>1078</v>
      </c>
      <c r="C1709" s="9" t="n">
        <v>1</v>
      </c>
      <c r="D1709" s="10" t="n">
        <v>1.66</v>
      </c>
      <c r="E1709" s="10" t="n">
        <f aca="false">C1709*D1709</f>
        <v>1.66</v>
      </c>
    </row>
    <row r="1710" customFormat="false" ht="15" hidden="false" customHeight="false" outlineLevel="0" collapsed="false">
      <c r="A1710" s="9" t="s">
        <v>892</v>
      </c>
      <c r="B1710" s="9" t="s">
        <v>1079</v>
      </c>
      <c r="C1710" s="9" t="n">
        <v>4</v>
      </c>
      <c r="D1710" s="10" t="n">
        <v>1.28</v>
      </c>
      <c r="E1710" s="10" t="n">
        <f aca="false">C1710*D1710</f>
        <v>5.12</v>
      </c>
    </row>
    <row r="1711" customFormat="false" ht="15" hidden="false" customHeight="false" outlineLevel="0" collapsed="false">
      <c r="A1711" s="9" t="s">
        <v>892</v>
      </c>
      <c r="B1711" s="9" t="s">
        <v>1080</v>
      </c>
      <c r="C1711" s="9" t="n">
        <v>4</v>
      </c>
      <c r="D1711" s="10" t="n">
        <v>1.28</v>
      </c>
      <c r="E1711" s="10" t="n">
        <f aca="false">C1711*D1711</f>
        <v>5.12</v>
      </c>
    </row>
    <row r="1712" customFormat="false" ht="15" hidden="false" customHeight="false" outlineLevel="0" collapsed="false">
      <c r="A1712" s="9" t="s">
        <v>892</v>
      </c>
      <c r="B1712" s="9" t="s">
        <v>207</v>
      </c>
      <c r="C1712" s="9" t="n">
        <v>1</v>
      </c>
      <c r="D1712" s="10" t="n">
        <v>5.91</v>
      </c>
      <c r="E1712" s="10" t="n">
        <f aca="false">C1712*D1712</f>
        <v>5.91</v>
      </c>
    </row>
    <row r="1713" customFormat="false" ht="15" hidden="false" customHeight="false" outlineLevel="0" collapsed="false">
      <c r="A1713" s="9" t="s">
        <v>892</v>
      </c>
      <c r="B1713" s="9" t="s">
        <v>1081</v>
      </c>
      <c r="C1713" s="9" t="n">
        <v>1</v>
      </c>
      <c r="D1713" s="10" t="n">
        <v>5.91</v>
      </c>
      <c r="E1713" s="10" t="n">
        <f aca="false">C1713*D1713</f>
        <v>5.91</v>
      </c>
    </row>
    <row r="1714" customFormat="false" ht="15" hidden="false" customHeight="false" outlineLevel="0" collapsed="false">
      <c r="A1714" s="9" t="s">
        <v>892</v>
      </c>
      <c r="B1714" s="9" t="s">
        <v>54</v>
      </c>
      <c r="C1714" s="9" t="n">
        <v>9</v>
      </c>
      <c r="D1714" s="10" t="n">
        <v>3.36</v>
      </c>
      <c r="E1714" s="10" t="n">
        <f aca="false">C1714*D1714</f>
        <v>30.24</v>
      </c>
    </row>
    <row r="1715" customFormat="false" ht="15" hidden="false" customHeight="false" outlineLevel="0" collapsed="false">
      <c r="A1715" s="9" t="s">
        <v>892</v>
      </c>
      <c r="B1715" s="9" t="s">
        <v>1082</v>
      </c>
      <c r="C1715" s="9" t="n">
        <v>1</v>
      </c>
      <c r="D1715" s="10" t="n">
        <v>5.06</v>
      </c>
      <c r="E1715" s="10" t="n">
        <f aca="false">C1715*D1715</f>
        <v>5.06</v>
      </c>
    </row>
    <row r="1716" customFormat="false" ht="15" hidden="false" customHeight="false" outlineLevel="0" collapsed="false">
      <c r="A1716" s="9" t="s">
        <v>892</v>
      </c>
      <c r="B1716" s="9" t="s">
        <v>1083</v>
      </c>
      <c r="C1716" s="9" t="n">
        <v>2</v>
      </c>
      <c r="D1716" s="10" t="n">
        <v>5.06</v>
      </c>
      <c r="E1716" s="10" t="n">
        <f aca="false">C1716*D1716</f>
        <v>10.12</v>
      </c>
    </row>
    <row r="1717" customFormat="false" ht="15" hidden="false" customHeight="false" outlineLevel="0" collapsed="false">
      <c r="A1717" s="9" t="s">
        <v>892</v>
      </c>
      <c r="B1717" s="9" t="s">
        <v>1084</v>
      </c>
      <c r="C1717" s="9" t="n">
        <v>1</v>
      </c>
      <c r="D1717" s="10" t="n">
        <v>5.06</v>
      </c>
      <c r="E1717" s="10" t="n">
        <f aca="false">C1717*D1717</f>
        <v>5.06</v>
      </c>
    </row>
    <row r="1718" customFormat="false" ht="15" hidden="false" customHeight="false" outlineLevel="0" collapsed="false">
      <c r="A1718" s="9" t="s">
        <v>892</v>
      </c>
      <c r="B1718" s="9" t="s">
        <v>1085</v>
      </c>
      <c r="C1718" s="9" t="n">
        <v>1</v>
      </c>
      <c r="D1718" s="10" t="n">
        <v>2.51</v>
      </c>
      <c r="E1718" s="10" t="n">
        <f aca="false">C1718*D1718</f>
        <v>2.51</v>
      </c>
    </row>
    <row r="1719" customFormat="false" ht="15" hidden="false" customHeight="false" outlineLevel="0" collapsed="false">
      <c r="A1719" s="9" t="s">
        <v>892</v>
      </c>
      <c r="B1719" s="9" t="s">
        <v>352</v>
      </c>
      <c r="C1719" s="9" t="n">
        <v>1</v>
      </c>
      <c r="D1719" s="10" t="n">
        <v>2.51</v>
      </c>
      <c r="E1719" s="10" t="n">
        <f aca="false">C1719*D1719</f>
        <v>2.51</v>
      </c>
    </row>
    <row r="1720" customFormat="false" ht="15" hidden="false" customHeight="false" outlineLevel="0" collapsed="false">
      <c r="A1720" s="9" t="s">
        <v>892</v>
      </c>
      <c r="B1720" s="9" t="s">
        <v>341</v>
      </c>
      <c r="C1720" s="9" t="n">
        <v>1</v>
      </c>
      <c r="D1720" s="10" t="n">
        <v>3.36</v>
      </c>
      <c r="E1720" s="10" t="n">
        <f aca="false">C1720*D1720</f>
        <v>3.36</v>
      </c>
    </row>
    <row r="1721" customFormat="false" ht="15" hidden="false" customHeight="false" outlineLevel="0" collapsed="false">
      <c r="A1721" s="9" t="s">
        <v>892</v>
      </c>
      <c r="B1721" s="9" t="s">
        <v>1086</v>
      </c>
      <c r="C1721" s="9" t="n">
        <v>1</v>
      </c>
      <c r="D1721" s="10" t="n">
        <v>5.91</v>
      </c>
      <c r="E1721" s="10" t="n">
        <f aca="false">C1721*D1721</f>
        <v>5.91</v>
      </c>
    </row>
    <row r="1722" customFormat="false" ht="15" hidden="false" customHeight="false" outlineLevel="0" collapsed="false">
      <c r="A1722" s="9" t="s">
        <v>892</v>
      </c>
      <c r="B1722" s="9" t="s">
        <v>309</v>
      </c>
      <c r="C1722" s="9" t="n">
        <v>2</v>
      </c>
      <c r="D1722" s="10" t="n">
        <v>7.62</v>
      </c>
      <c r="E1722" s="10" t="n">
        <f aca="false">C1722*D1722</f>
        <v>15.24</v>
      </c>
    </row>
    <row r="1723" customFormat="false" ht="15" hidden="false" customHeight="false" outlineLevel="0" collapsed="false">
      <c r="A1723" s="9" t="s">
        <v>892</v>
      </c>
      <c r="B1723" s="9" t="s">
        <v>671</v>
      </c>
      <c r="C1723" s="9" t="n">
        <v>1</v>
      </c>
      <c r="D1723" s="10" t="n">
        <v>7.62</v>
      </c>
      <c r="E1723" s="10" t="n">
        <f aca="false">C1723*D1723</f>
        <v>7.62</v>
      </c>
    </row>
    <row r="1724" customFormat="false" ht="15" hidden="false" customHeight="false" outlineLevel="0" collapsed="false">
      <c r="A1724" s="9" t="s">
        <v>892</v>
      </c>
      <c r="B1724" s="9" t="s">
        <v>311</v>
      </c>
      <c r="C1724" s="9" t="n">
        <v>1</v>
      </c>
      <c r="D1724" s="10" t="n">
        <v>2.51</v>
      </c>
      <c r="E1724" s="10" t="n">
        <f aca="false">C1724*D1724</f>
        <v>2.51</v>
      </c>
    </row>
    <row r="1725" customFormat="false" ht="15" hidden="false" customHeight="false" outlineLevel="0" collapsed="false">
      <c r="A1725" s="9" t="s">
        <v>892</v>
      </c>
      <c r="B1725" s="9" t="s">
        <v>77</v>
      </c>
      <c r="C1725" s="9" t="n">
        <v>1</v>
      </c>
      <c r="D1725" s="10" t="n">
        <v>7.62</v>
      </c>
      <c r="E1725" s="10" t="n">
        <f aca="false">C1725*D1725</f>
        <v>7.62</v>
      </c>
    </row>
    <row r="1726" customFormat="false" ht="15" hidden="false" customHeight="false" outlineLevel="0" collapsed="false">
      <c r="A1726" s="9" t="s">
        <v>892</v>
      </c>
      <c r="B1726" s="9" t="s">
        <v>170</v>
      </c>
      <c r="C1726" s="9" t="n">
        <v>3</v>
      </c>
      <c r="D1726" s="10" t="n">
        <v>7.62</v>
      </c>
      <c r="E1726" s="10" t="n">
        <f aca="false">C1726*D1726</f>
        <v>22.86</v>
      </c>
    </row>
    <row r="1727" customFormat="false" ht="15" hidden="false" customHeight="false" outlineLevel="0" collapsed="false">
      <c r="A1727" s="9" t="s">
        <v>892</v>
      </c>
      <c r="B1727" s="9" t="s">
        <v>1087</v>
      </c>
      <c r="C1727" s="9" t="n">
        <v>1</v>
      </c>
      <c r="D1727" s="10" t="n">
        <v>3.36</v>
      </c>
      <c r="E1727" s="10" t="n">
        <f aca="false">C1727*D1727</f>
        <v>3.36</v>
      </c>
    </row>
    <row r="1728" customFormat="false" ht="15" hidden="false" customHeight="false" outlineLevel="0" collapsed="false">
      <c r="A1728" s="9" t="s">
        <v>892</v>
      </c>
      <c r="B1728" s="9" t="s">
        <v>622</v>
      </c>
      <c r="C1728" s="9" t="n">
        <v>1</v>
      </c>
      <c r="D1728" s="10" t="n">
        <v>2.51</v>
      </c>
      <c r="E1728" s="10" t="n">
        <f aca="false">C1728*D1728</f>
        <v>2.51</v>
      </c>
    </row>
    <row r="1729" customFormat="false" ht="15" hidden="false" customHeight="false" outlineLevel="0" collapsed="false">
      <c r="A1729" s="9" t="s">
        <v>892</v>
      </c>
      <c r="B1729" s="9" t="s">
        <v>521</v>
      </c>
      <c r="C1729" s="9" t="n">
        <v>3</v>
      </c>
      <c r="D1729" s="10" t="n">
        <v>2.51</v>
      </c>
      <c r="E1729" s="10" t="n">
        <f aca="false">C1729*D1729</f>
        <v>7.53</v>
      </c>
    </row>
    <row r="1730" customFormat="false" ht="15" hidden="false" customHeight="false" outlineLevel="0" collapsed="false">
      <c r="A1730" s="9" t="s">
        <v>892</v>
      </c>
      <c r="B1730" s="9" t="s">
        <v>243</v>
      </c>
      <c r="C1730" s="9" t="n">
        <v>2</v>
      </c>
      <c r="D1730" s="10" t="n">
        <v>2.51</v>
      </c>
      <c r="E1730" s="10" t="n">
        <f aca="false">C1730*D1730</f>
        <v>5.02</v>
      </c>
    </row>
    <row r="1731" customFormat="false" ht="15" hidden="false" customHeight="false" outlineLevel="0" collapsed="false">
      <c r="A1731" s="9" t="s">
        <v>892</v>
      </c>
      <c r="B1731" s="9" t="s">
        <v>1088</v>
      </c>
      <c r="C1731" s="9" t="n">
        <v>1</v>
      </c>
      <c r="D1731" s="10" t="n">
        <v>7.62</v>
      </c>
      <c r="E1731" s="10" t="n">
        <f aca="false">C1731*D1731</f>
        <v>7.62</v>
      </c>
    </row>
    <row r="1732" customFormat="false" ht="15" hidden="false" customHeight="false" outlineLevel="0" collapsed="false">
      <c r="A1732" s="9" t="s">
        <v>892</v>
      </c>
      <c r="B1732" s="9" t="s">
        <v>1089</v>
      </c>
      <c r="C1732" s="9" t="n">
        <v>1</v>
      </c>
      <c r="D1732" s="10" t="n">
        <v>1.66</v>
      </c>
      <c r="E1732" s="10" t="n">
        <f aca="false">C1732*D1732</f>
        <v>1.66</v>
      </c>
    </row>
    <row r="1733" customFormat="false" ht="15" hidden="false" customHeight="false" outlineLevel="0" collapsed="false">
      <c r="A1733" s="9" t="s">
        <v>892</v>
      </c>
      <c r="B1733" s="9" t="s">
        <v>1090</v>
      </c>
      <c r="C1733" s="9" t="n">
        <v>1</v>
      </c>
      <c r="D1733" s="10" t="n">
        <v>1.66</v>
      </c>
      <c r="E1733" s="10" t="n">
        <f aca="false">C1733*D1733</f>
        <v>1.66</v>
      </c>
    </row>
    <row r="1734" customFormat="false" ht="15" hidden="false" customHeight="false" outlineLevel="0" collapsed="false">
      <c r="A1734" s="9" t="s">
        <v>892</v>
      </c>
      <c r="B1734" s="9" t="s">
        <v>795</v>
      </c>
      <c r="C1734" s="9" t="n">
        <v>1</v>
      </c>
      <c r="D1734" s="10" t="n">
        <v>3.36</v>
      </c>
      <c r="E1734" s="10" t="n">
        <f aca="false">C1734*D1734</f>
        <v>3.36</v>
      </c>
    </row>
    <row r="1735" customFormat="false" ht="15" hidden="false" customHeight="false" outlineLevel="0" collapsed="false">
      <c r="A1735" s="9" t="s">
        <v>892</v>
      </c>
      <c r="B1735" s="9" t="s">
        <v>96</v>
      </c>
      <c r="C1735" s="9" t="n">
        <v>5</v>
      </c>
      <c r="D1735" s="10" t="n">
        <v>3.36</v>
      </c>
      <c r="E1735" s="10" t="n">
        <f aca="false">C1735*D1735</f>
        <v>16.8</v>
      </c>
    </row>
    <row r="1736" customFormat="false" ht="15" hidden="false" customHeight="false" outlineLevel="0" collapsed="false">
      <c r="A1736" s="9" t="s">
        <v>892</v>
      </c>
      <c r="B1736" s="9" t="s">
        <v>794</v>
      </c>
      <c r="C1736" s="9" t="n">
        <v>1</v>
      </c>
      <c r="D1736" s="10" t="n">
        <v>3.36</v>
      </c>
      <c r="E1736" s="10" t="n">
        <f aca="false">C1736*D1736</f>
        <v>3.36</v>
      </c>
    </row>
    <row r="1737" customFormat="false" ht="15" hidden="false" customHeight="false" outlineLevel="0" collapsed="false">
      <c r="A1737" s="9" t="s">
        <v>892</v>
      </c>
      <c r="B1737" s="9" t="s">
        <v>1091</v>
      </c>
      <c r="C1737" s="9" t="n">
        <v>1</v>
      </c>
      <c r="D1737" s="10" t="n">
        <v>4.21</v>
      </c>
      <c r="E1737" s="10" t="n">
        <f aca="false">C1737*D1737</f>
        <v>4.21</v>
      </c>
    </row>
    <row r="1738" customFormat="false" ht="15" hidden="false" customHeight="false" outlineLevel="0" collapsed="false">
      <c r="A1738" s="9" t="s">
        <v>892</v>
      </c>
      <c r="B1738" s="9" t="s">
        <v>278</v>
      </c>
      <c r="C1738" s="9" t="n">
        <v>2</v>
      </c>
      <c r="D1738" s="10" t="n">
        <v>5.91</v>
      </c>
      <c r="E1738" s="10" t="n">
        <f aca="false">C1738*D1738</f>
        <v>11.82</v>
      </c>
    </row>
    <row r="1739" customFormat="false" ht="15" hidden="false" customHeight="false" outlineLevel="0" collapsed="false">
      <c r="A1739" s="9" t="s">
        <v>892</v>
      </c>
      <c r="B1739" s="9" t="s">
        <v>408</v>
      </c>
      <c r="C1739" s="9" t="n">
        <v>2</v>
      </c>
      <c r="D1739" s="10" t="n">
        <v>2.98</v>
      </c>
      <c r="E1739" s="10" t="n">
        <f aca="false">C1739*D1739</f>
        <v>5.96</v>
      </c>
    </row>
    <row r="1740" customFormat="false" ht="15" hidden="false" customHeight="false" outlineLevel="0" collapsed="false">
      <c r="A1740" s="9" t="s">
        <v>892</v>
      </c>
      <c r="B1740" s="9" t="s">
        <v>1092</v>
      </c>
      <c r="C1740" s="9" t="n">
        <v>1</v>
      </c>
      <c r="D1740" s="10" t="n">
        <v>4.21</v>
      </c>
      <c r="E1740" s="10" t="n">
        <f aca="false">C1740*D1740</f>
        <v>4.21</v>
      </c>
    </row>
    <row r="1741" customFormat="false" ht="15" hidden="false" customHeight="false" outlineLevel="0" collapsed="false">
      <c r="A1741" s="9" t="s">
        <v>892</v>
      </c>
      <c r="B1741" s="9" t="s">
        <v>1093</v>
      </c>
      <c r="C1741" s="9" t="n">
        <v>1</v>
      </c>
      <c r="D1741" s="10" t="n">
        <v>7.62</v>
      </c>
      <c r="E1741" s="10" t="n">
        <f aca="false">C1741*D1741</f>
        <v>7.62</v>
      </c>
    </row>
    <row r="1742" customFormat="false" ht="15" hidden="false" customHeight="false" outlineLevel="0" collapsed="false">
      <c r="A1742" s="9" t="s">
        <v>892</v>
      </c>
      <c r="B1742" s="9" t="s">
        <v>428</v>
      </c>
      <c r="C1742" s="9" t="n">
        <v>1</v>
      </c>
      <c r="D1742" s="10" t="n">
        <v>2.51</v>
      </c>
      <c r="E1742" s="10" t="n">
        <f aca="false">C1742*D1742</f>
        <v>2.51</v>
      </c>
    </row>
    <row r="1743" customFormat="false" ht="15" hidden="false" customHeight="false" outlineLevel="0" collapsed="false">
      <c r="A1743" s="9" t="s">
        <v>892</v>
      </c>
      <c r="B1743" s="9" t="s">
        <v>695</v>
      </c>
      <c r="C1743" s="9" t="n">
        <v>3</v>
      </c>
      <c r="D1743" s="10" t="n">
        <v>2.51</v>
      </c>
      <c r="E1743" s="10" t="n">
        <f aca="false">C1743*D1743</f>
        <v>7.53</v>
      </c>
    </row>
    <row r="1744" customFormat="false" ht="15" hidden="false" customHeight="false" outlineLevel="0" collapsed="false">
      <c r="A1744" s="9" t="s">
        <v>892</v>
      </c>
      <c r="B1744" s="9" t="s">
        <v>1094</v>
      </c>
      <c r="C1744" s="9" t="n">
        <v>1</v>
      </c>
      <c r="D1744" s="10" t="n">
        <v>2.51</v>
      </c>
      <c r="E1744" s="10" t="n">
        <f aca="false">C1744*D1744</f>
        <v>2.51</v>
      </c>
    </row>
    <row r="1745" customFormat="false" ht="15" hidden="false" customHeight="false" outlineLevel="0" collapsed="false">
      <c r="A1745" s="9" t="s">
        <v>892</v>
      </c>
      <c r="B1745" s="9" t="s">
        <v>1095</v>
      </c>
      <c r="C1745" s="9" t="n">
        <v>11</v>
      </c>
      <c r="D1745" s="10" t="n">
        <v>0.43</v>
      </c>
      <c r="E1745" s="10" t="n">
        <f aca="false">C1745*D1745</f>
        <v>4.73</v>
      </c>
    </row>
    <row r="1746" customFormat="false" ht="15" hidden="false" customHeight="false" outlineLevel="0" collapsed="false">
      <c r="A1746" s="9" t="s">
        <v>892</v>
      </c>
      <c r="B1746" s="9" t="s">
        <v>1096</v>
      </c>
      <c r="C1746" s="9" t="n">
        <v>9</v>
      </c>
      <c r="D1746" s="10" t="n">
        <v>0.43</v>
      </c>
      <c r="E1746" s="10" t="n">
        <f aca="false">C1746*D1746</f>
        <v>3.87</v>
      </c>
    </row>
    <row r="1747" customFormat="false" ht="15" hidden="false" customHeight="false" outlineLevel="0" collapsed="false">
      <c r="A1747" s="9" t="s">
        <v>892</v>
      </c>
      <c r="B1747" s="9" t="s">
        <v>1097</v>
      </c>
      <c r="C1747" s="9" t="n">
        <v>10</v>
      </c>
      <c r="D1747" s="10" t="n">
        <v>0.43</v>
      </c>
      <c r="E1747" s="10" t="n">
        <f aca="false">C1747*D1747</f>
        <v>4.3</v>
      </c>
    </row>
    <row r="1748" customFormat="false" ht="15" hidden="false" customHeight="false" outlineLevel="0" collapsed="false">
      <c r="A1748" s="9" t="s">
        <v>892</v>
      </c>
      <c r="B1748" s="9" t="s">
        <v>79</v>
      </c>
      <c r="C1748" s="9" t="n">
        <v>2</v>
      </c>
      <c r="D1748" s="10" t="n">
        <v>2.51</v>
      </c>
      <c r="E1748" s="10" t="n">
        <f aca="false">C1748*D1748</f>
        <v>5.02</v>
      </c>
    </row>
    <row r="1749" customFormat="false" ht="15" hidden="false" customHeight="false" outlineLevel="0" collapsed="false">
      <c r="A1749" s="9" t="s">
        <v>892</v>
      </c>
      <c r="B1749" s="9" t="s">
        <v>506</v>
      </c>
      <c r="C1749" s="9" t="n">
        <v>9</v>
      </c>
      <c r="D1749" s="10" t="n">
        <v>1.66</v>
      </c>
      <c r="E1749" s="10" t="n">
        <f aca="false">C1749*D1749</f>
        <v>14.94</v>
      </c>
    </row>
    <row r="1750" customFormat="false" ht="15" hidden="false" customHeight="false" outlineLevel="0" collapsed="false">
      <c r="A1750" s="9" t="s">
        <v>892</v>
      </c>
      <c r="B1750" s="9" t="s">
        <v>1098</v>
      </c>
      <c r="C1750" s="9" t="n">
        <v>2</v>
      </c>
      <c r="D1750" s="10" t="n">
        <v>1.66</v>
      </c>
      <c r="E1750" s="10" t="n">
        <f aca="false">C1750*D1750</f>
        <v>3.32</v>
      </c>
    </row>
    <row r="1751" customFormat="false" ht="15" hidden="false" customHeight="false" outlineLevel="0" collapsed="false">
      <c r="A1751" s="9" t="s">
        <v>892</v>
      </c>
      <c r="B1751" s="9" t="s">
        <v>223</v>
      </c>
      <c r="C1751" s="9" t="n">
        <v>4</v>
      </c>
      <c r="D1751" s="10" t="n">
        <v>0.85</v>
      </c>
      <c r="E1751" s="10" t="n">
        <f aca="false">C1751*D1751</f>
        <v>3.4</v>
      </c>
    </row>
    <row r="1752" customFormat="false" ht="15" hidden="false" customHeight="false" outlineLevel="0" collapsed="false">
      <c r="A1752" s="9" t="s">
        <v>892</v>
      </c>
      <c r="B1752" s="9" t="s">
        <v>1099</v>
      </c>
      <c r="C1752" s="9" t="n">
        <v>2</v>
      </c>
      <c r="D1752" s="10" t="n">
        <v>2.51</v>
      </c>
      <c r="E1752" s="10" t="n">
        <f aca="false">C1752*D1752</f>
        <v>5.02</v>
      </c>
    </row>
    <row r="1753" customFormat="false" ht="15" hidden="false" customHeight="false" outlineLevel="0" collapsed="false">
      <c r="A1753" s="9" t="s">
        <v>892</v>
      </c>
      <c r="B1753" s="9" t="s">
        <v>1100</v>
      </c>
      <c r="C1753" s="9" t="n">
        <v>1</v>
      </c>
      <c r="D1753" s="10" t="n">
        <v>2.51</v>
      </c>
      <c r="E1753" s="10" t="n">
        <f aca="false">C1753*D1753</f>
        <v>2.51</v>
      </c>
    </row>
    <row r="1754" customFormat="false" ht="15" hidden="false" customHeight="false" outlineLevel="0" collapsed="false">
      <c r="A1754" s="9" t="s">
        <v>892</v>
      </c>
      <c r="B1754" s="9" t="s">
        <v>387</v>
      </c>
      <c r="C1754" s="9" t="n">
        <v>3</v>
      </c>
      <c r="D1754" s="10" t="n">
        <v>2.51</v>
      </c>
      <c r="E1754" s="10" t="n">
        <f aca="false">C1754*D1754</f>
        <v>7.53</v>
      </c>
    </row>
    <row r="1755" customFormat="false" ht="15" hidden="false" customHeight="false" outlineLevel="0" collapsed="false">
      <c r="A1755" s="9" t="s">
        <v>892</v>
      </c>
      <c r="B1755" s="9" t="s">
        <v>384</v>
      </c>
      <c r="C1755" s="9" t="n">
        <v>2</v>
      </c>
      <c r="D1755" s="10" t="n">
        <v>2.51</v>
      </c>
      <c r="E1755" s="10" t="n">
        <f aca="false">C1755*D1755</f>
        <v>5.02</v>
      </c>
    </row>
    <row r="1756" customFormat="false" ht="15" hidden="false" customHeight="false" outlineLevel="0" collapsed="false">
      <c r="A1756" s="9" t="s">
        <v>892</v>
      </c>
      <c r="B1756" s="9" t="s">
        <v>1101</v>
      </c>
      <c r="C1756" s="9" t="n">
        <v>2</v>
      </c>
      <c r="D1756" s="10" t="n">
        <v>16.98</v>
      </c>
      <c r="E1756" s="10" t="n">
        <f aca="false">C1756*D1756</f>
        <v>33.96</v>
      </c>
    </row>
    <row r="1757" customFormat="false" ht="15" hidden="false" customHeight="false" outlineLevel="0" collapsed="false">
      <c r="A1757" s="9" t="s">
        <v>892</v>
      </c>
      <c r="B1757" s="9" t="s">
        <v>891</v>
      </c>
      <c r="C1757" s="9" t="n">
        <v>1</v>
      </c>
      <c r="D1757" s="10" t="n">
        <v>4.21</v>
      </c>
      <c r="E1757" s="10" t="n">
        <f aca="false">C1757*D1757</f>
        <v>4.21</v>
      </c>
    </row>
    <row r="1758" customFormat="false" ht="15" hidden="false" customHeight="false" outlineLevel="0" collapsed="false">
      <c r="A1758" s="9" t="s">
        <v>892</v>
      </c>
      <c r="B1758" s="9" t="s">
        <v>814</v>
      </c>
      <c r="C1758" s="9" t="n">
        <v>2</v>
      </c>
      <c r="D1758" s="10" t="n">
        <v>2.51</v>
      </c>
      <c r="E1758" s="10" t="n">
        <f aca="false">C1758*D1758</f>
        <v>5.02</v>
      </c>
    </row>
    <row r="1759" customFormat="false" ht="15" hidden="false" customHeight="false" outlineLevel="0" collapsed="false">
      <c r="A1759" s="9" t="s">
        <v>892</v>
      </c>
      <c r="B1759" s="9" t="s">
        <v>1102</v>
      </c>
      <c r="C1759" s="9" t="n">
        <v>1</v>
      </c>
      <c r="D1759" s="10" t="n">
        <v>5.91</v>
      </c>
      <c r="E1759" s="10" t="n">
        <f aca="false">C1759*D1759</f>
        <v>5.91</v>
      </c>
    </row>
    <row r="1760" customFormat="false" ht="15" hidden="false" customHeight="false" outlineLevel="0" collapsed="false">
      <c r="A1760" s="9" t="s">
        <v>892</v>
      </c>
      <c r="B1760" s="9" t="s">
        <v>631</v>
      </c>
      <c r="C1760" s="9" t="n">
        <v>2</v>
      </c>
      <c r="D1760" s="10" t="n">
        <v>5.91</v>
      </c>
      <c r="E1760" s="10" t="n">
        <f aca="false">C1760*D1760</f>
        <v>11.82</v>
      </c>
    </row>
    <row r="1761" customFormat="false" ht="15" hidden="false" customHeight="false" outlineLevel="0" collapsed="false">
      <c r="A1761" s="9" t="s">
        <v>892</v>
      </c>
      <c r="B1761" s="9" t="s">
        <v>88</v>
      </c>
      <c r="C1761" s="9" t="n">
        <v>33</v>
      </c>
      <c r="D1761" s="10" t="n">
        <v>5.91</v>
      </c>
      <c r="E1761" s="10" t="n">
        <f aca="false">C1761*D1761</f>
        <v>195.03</v>
      </c>
    </row>
    <row r="1762" customFormat="false" ht="15" hidden="false" customHeight="false" outlineLevel="0" collapsed="false">
      <c r="A1762" s="9" t="s">
        <v>892</v>
      </c>
      <c r="B1762" s="9" t="s">
        <v>145</v>
      </c>
      <c r="C1762" s="9" t="n">
        <v>4</v>
      </c>
      <c r="D1762" s="10" t="n">
        <v>5.91</v>
      </c>
      <c r="E1762" s="10" t="n">
        <f aca="false">C1762*D1762</f>
        <v>23.64</v>
      </c>
    </row>
    <row r="1763" customFormat="false" ht="15" hidden="false" customHeight="false" outlineLevel="0" collapsed="false">
      <c r="A1763" s="9" t="s">
        <v>892</v>
      </c>
      <c r="B1763" s="9" t="s">
        <v>578</v>
      </c>
      <c r="C1763" s="9" t="n">
        <v>1</v>
      </c>
      <c r="D1763" s="10" t="n">
        <v>3.36</v>
      </c>
      <c r="E1763" s="10" t="n">
        <f aca="false">C1763*D1763</f>
        <v>3.36</v>
      </c>
    </row>
    <row r="1764" customFormat="false" ht="15" hidden="false" customHeight="false" outlineLevel="0" collapsed="false">
      <c r="A1764" s="9" t="s">
        <v>892</v>
      </c>
      <c r="B1764" s="9" t="s">
        <v>1103</v>
      </c>
      <c r="C1764" s="9" t="n">
        <v>1</v>
      </c>
      <c r="D1764" s="10" t="n">
        <v>3.36</v>
      </c>
      <c r="E1764" s="10" t="n">
        <f aca="false">C1764*D1764</f>
        <v>3.36</v>
      </c>
    </row>
    <row r="1765" customFormat="false" ht="15" hidden="false" customHeight="false" outlineLevel="0" collapsed="false">
      <c r="A1765" s="9" t="s">
        <v>892</v>
      </c>
      <c r="B1765" s="9" t="s">
        <v>1104</v>
      </c>
      <c r="C1765" s="9" t="n">
        <v>1</v>
      </c>
      <c r="D1765" s="10" t="n">
        <v>3.36</v>
      </c>
      <c r="E1765" s="10" t="n">
        <f aca="false">C1765*D1765</f>
        <v>3.36</v>
      </c>
    </row>
    <row r="1766" customFormat="false" ht="15" hidden="false" customHeight="false" outlineLevel="0" collapsed="false">
      <c r="A1766" s="9" t="s">
        <v>892</v>
      </c>
      <c r="B1766" s="9" t="s">
        <v>449</v>
      </c>
      <c r="C1766" s="9" t="n">
        <v>3</v>
      </c>
      <c r="D1766" s="10" t="n">
        <v>3.36</v>
      </c>
      <c r="E1766" s="10" t="n">
        <f aca="false">C1766*D1766</f>
        <v>10.08</v>
      </c>
    </row>
    <row r="1767" customFormat="false" ht="15" hidden="false" customHeight="false" outlineLevel="0" collapsed="false">
      <c r="A1767" s="9" t="s">
        <v>892</v>
      </c>
      <c r="B1767" s="9" t="s">
        <v>1105</v>
      </c>
      <c r="C1767" s="9" t="n">
        <v>1</v>
      </c>
      <c r="D1767" s="10" t="n">
        <v>3.36</v>
      </c>
      <c r="E1767" s="10" t="n">
        <f aca="false">C1767*D1767</f>
        <v>3.36</v>
      </c>
    </row>
    <row r="1768" customFormat="false" ht="15" hidden="false" customHeight="false" outlineLevel="0" collapsed="false">
      <c r="A1768" s="9" t="s">
        <v>892</v>
      </c>
      <c r="B1768" s="9" t="s">
        <v>401</v>
      </c>
      <c r="C1768" s="9" t="n">
        <v>1</v>
      </c>
      <c r="D1768" s="10" t="n">
        <v>3.36</v>
      </c>
      <c r="E1768" s="10" t="n">
        <f aca="false">C1768*D1768</f>
        <v>3.36</v>
      </c>
    </row>
    <row r="1769" customFormat="false" ht="15" hidden="false" customHeight="false" outlineLevel="0" collapsed="false">
      <c r="A1769" s="9" t="s">
        <v>892</v>
      </c>
      <c r="B1769" s="9" t="s">
        <v>1106</v>
      </c>
      <c r="C1769" s="9" t="n">
        <v>1</v>
      </c>
      <c r="D1769" s="10" t="n">
        <v>7.62</v>
      </c>
      <c r="E1769" s="10" t="n">
        <f aca="false">C1769*D1769</f>
        <v>7.62</v>
      </c>
    </row>
    <row r="1770" customFormat="false" ht="15" hidden="false" customHeight="false" outlineLevel="0" collapsed="false">
      <c r="A1770" s="9" t="s">
        <v>892</v>
      </c>
      <c r="B1770" s="9" t="s">
        <v>1107</v>
      </c>
      <c r="C1770" s="9" t="n">
        <v>1</v>
      </c>
      <c r="D1770" s="10" t="n">
        <v>3.36</v>
      </c>
      <c r="E1770" s="10" t="n">
        <f aca="false">C1770*D1770</f>
        <v>3.36</v>
      </c>
    </row>
    <row r="1771" customFormat="false" ht="15" hidden="false" customHeight="false" outlineLevel="0" collapsed="false">
      <c r="A1771" s="9" t="s">
        <v>892</v>
      </c>
      <c r="B1771" s="9" t="s">
        <v>289</v>
      </c>
      <c r="C1771" s="9" t="n">
        <v>1</v>
      </c>
      <c r="D1771" s="10" t="n">
        <v>3.36</v>
      </c>
      <c r="E1771" s="10" t="n">
        <f aca="false">C1771*D1771</f>
        <v>3.36</v>
      </c>
    </row>
    <row r="1772" customFormat="false" ht="15" hidden="false" customHeight="false" outlineLevel="0" collapsed="false">
      <c r="A1772" s="9" t="s">
        <v>892</v>
      </c>
      <c r="B1772" s="9" t="s">
        <v>1108</v>
      </c>
      <c r="C1772" s="9" t="n">
        <v>1</v>
      </c>
      <c r="D1772" s="10" t="n">
        <v>2.51</v>
      </c>
      <c r="E1772" s="10" t="n">
        <f aca="false">C1772*D1772</f>
        <v>2.51</v>
      </c>
    </row>
    <row r="1773" customFormat="false" ht="15" hidden="false" customHeight="false" outlineLevel="0" collapsed="false">
      <c r="A1773" s="9" t="s">
        <v>892</v>
      </c>
      <c r="B1773" s="9" t="s">
        <v>1109</v>
      </c>
      <c r="C1773" s="9" t="n">
        <v>1</v>
      </c>
      <c r="D1773" s="10" t="n">
        <v>3.36</v>
      </c>
      <c r="E1773" s="10" t="n">
        <f aca="false">C1773*D1773</f>
        <v>3.36</v>
      </c>
    </row>
    <row r="1774" customFormat="false" ht="15" hidden="false" customHeight="false" outlineLevel="0" collapsed="false">
      <c r="A1774" s="9" t="s">
        <v>892</v>
      </c>
      <c r="B1774" s="9" t="s">
        <v>274</v>
      </c>
      <c r="C1774" s="9" t="n">
        <v>1</v>
      </c>
      <c r="D1774" s="10" t="n">
        <v>3.36</v>
      </c>
      <c r="E1774" s="10" t="n">
        <f aca="false">C1774*D1774</f>
        <v>3.36</v>
      </c>
    </row>
    <row r="1775" customFormat="false" ht="15" hidden="false" customHeight="false" outlineLevel="0" collapsed="false">
      <c r="A1775" s="9" t="s">
        <v>892</v>
      </c>
      <c r="B1775" s="9" t="s">
        <v>1110</v>
      </c>
      <c r="C1775" s="9" t="n">
        <v>1</v>
      </c>
      <c r="D1775" s="10" t="n">
        <v>0.43</v>
      </c>
      <c r="E1775" s="10" t="n">
        <f aca="false">C1775*D1775</f>
        <v>0.43</v>
      </c>
    </row>
    <row r="1776" customFormat="false" ht="15" hidden="false" customHeight="false" outlineLevel="0" collapsed="false">
      <c r="A1776" s="9" t="s">
        <v>892</v>
      </c>
      <c r="B1776" s="9" t="s">
        <v>1111</v>
      </c>
      <c r="C1776" s="9" t="n">
        <v>1</v>
      </c>
      <c r="D1776" s="10" t="n">
        <v>0.85</v>
      </c>
      <c r="E1776" s="10" t="n">
        <f aca="false">C1776*D1776</f>
        <v>0.85</v>
      </c>
    </row>
    <row r="1777" customFormat="false" ht="15" hidden="false" customHeight="false" outlineLevel="0" collapsed="false">
      <c r="A1777" s="9" t="s">
        <v>892</v>
      </c>
      <c r="B1777" s="9" t="s">
        <v>1112</v>
      </c>
      <c r="C1777" s="9" t="n">
        <v>4</v>
      </c>
      <c r="D1777" s="10" t="n">
        <v>2.51</v>
      </c>
      <c r="E1777" s="10" t="n">
        <f aca="false">C1777*D1777</f>
        <v>10.04</v>
      </c>
    </row>
    <row r="1778" customFormat="false" ht="15" hidden="false" customHeight="false" outlineLevel="0" collapsed="false">
      <c r="A1778" s="9" t="s">
        <v>892</v>
      </c>
      <c r="B1778" s="9" t="s">
        <v>610</v>
      </c>
      <c r="C1778" s="9" t="n">
        <v>6</v>
      </c>
      <c r="D1778" s="10" t="n">
        <v>2.51</v>
      </c>
      <c r="E1778" s="10" t="n">
        <f aca="false">C1778*D1778</f>
        <v>15.06</v>
      </c>
    </row>
    <row r="1779" customFormat="false" ht="15" hidden="false" customHeight="false" outlineLevel="0" collapsed="false">
      <c r="A1779" s="9" t="s">
        <v>892</v>
      </c>
      <c r="B1779" s="9" t="s">
        <v>1113</v>
      </c>
      <c r="C1779" s="9" t="n">
        <v>1</v>
      </c>
      <c r="D1779" s="10" t="n">
        <v>2.51</v>
      </c>
      <c r="E1779" s="10" t="n">
        <f aca="false">C1779*D1779</f>
        <v>2.51</v>
      </c>
    </row>
    <row r="1780" customFormat="false" ht="15" hidden="false" customHeight="false" outlineLevel="0" collapsed="false">
      <c r="A1780" s="9" t="s">
        <v>892</v>
      </c>
      <c r="B1780" s="9" t="s">
        <v>1114</v>
      </c>
      <c r="C1780" s="9" t="n">
        <v>2</v>
      </c>
      <c r="D1780" s="10" t="n">
        <v>2.51</v>
      </c>
      <c r="E1780" s="10" t="n">
        <f aca="false">C1780*D1780</f>
        <v>5.02</v>
      </c>
    </row>
    <row r="1781" customFormat="false" ht="15" hidden="false" customHeight="false" outlineLevel="0" collapsed="false">
      <c r="A1781" s="9" t="s">
        <v>892</v>
      </c>
      <c r="B1781" s="9" t="s">
        <v>822</v>
      </c>
      <c r="C1781" s="9" t="n">
        <v>1</v>
      </c>
      <c r="D1781" s="10" t="n">
        <v>0.85</v>
      </c>
      <c r="E1781" s="10" t="n">
        <f aca="false">C1781*D1781</f>
        <v>0.85</v>
      </c>
    </row>
    <row r="1782" customFormat="false" ht="15" hidden="false" customHeight="false" outlineLevel="0" collapsed="false">
      <c r="A1782" s="9" t="s">
        <v>892</v>
      </c>
      <c r="B1782" s="9" t="s">
        <v>114</v>
      </c>
      <c r="C1782" s="9" t="n">
        <v>1</v>
      </c>
      <c r="D1782" s="10" t="n">
        <v>1.28</v>
      </c>
      <c r="E1782" s="10" t="n">
        <f aca="false">C1782*D1782</f>
        <v>1.28</v>
      </c>
    </row>
    <row r="1783" customFormat="false" ht="15" hidden="false" customHeight="false" outlineLevel="0" collapsed="false">
      <c r="A1783" s="9" t="s">
        <v>892</v>
      </c>
      <c r="B1783" s="9" t="s">
        <v>115</v>
      </c>
      <c r="C1783" s="9" t="n">
        <v>1</v>
      </c>
      <c r="D1783" s="10" t="n">
        <v>1.28</v>
      </c>
      <c r="E1783" s="10" t="n">
        <f aca="false">C1783*D1783</f>
        <v>1.28</v>
      </c>
    </row>
    <row r="1784" customFormat="false" ht="15" hidden="false" customHeight="false" outlineLevel="0" collapsed="false">
      <c r="A1784" s="9" t="s">
        <v>892</v>
      </c>
      <c r="B1784" s="9" t="s">
        <v>1115</v>
      </c>
      <c r="C1784" s="9" t="n">
        <v>1</v>
      </c>
      <c r="D1784" s="10" t="n">
        <v>2.51</v>
      </c>
      <c r="E1784" s="10" t="n">
        <f aca="false">C1784*D1784</f>
        <v>2.51</v>
      </c>
    </row>
    <row r="1785" customFormat="false" ht="15" hidden="false" customHeight="false" outlineLevel="0" collapsed="false">
      <c r="A1785" s="9" t="s">
        <v>892</v>
      </c>
      <c r="B1785" s="9" t="s">
        <v>1116</v>
      </c>
      <c r="C1785" s="9" t="n">
        <v>1</v>
      </c>
      <c r="D1785" s="10" t="n">
        <v>1.66</v>
      </c>
      <c r="E1785" s="10" t="n">
        <f aca="false">C1785*D1785</f>
        <v>1.66</v>
      </c>
    </row>
    <row r="1786" customFormat="false" ht="15" hidden="false" customHeight="false" outlineLevel="0" collapsed="false">
      <c r="A1786" s="9" t="s">
        <v>892</v>
      </c>
      <c r="B1786" s="9" t="s">
        <v>1117</v>
      </c>
      <c r="C1786" s="9" t="n">
        <v>2</v>
      </c>
      <c r="D1786" s="10" t="n">
        <v>1.66</v>
      </c>
      <c r="E1786" s="10" t="n">
        <f aca="false">C1786*D1786</f>
        <v>3.32</v>
      </c>
    </row>
    <row r="1787" customFormat="false" ht="15" hidden="false" customHeight="false" outlineLevel="0" collapsed="false">
      <c r="A1787" s="9" t="s">
        <v>892</v>
      </c>
      <c r="B1787" s="9" t="s">
        <v>1118</v>
      </c>
      <c r="C1787" s="9" t="n">
        <v>1</v>
      </c>
      <c r="D1787" s="10" t="n">
        <v>3.36</v>
      </c>
      <c r="E1787" s="10" t="n">
        <f aca="false">C1787*D1787</f>
        <v>3.36</v>
      </c>
    </row>
    <row r="1788" customFormat="false" ht="15" hidden="false" customHeight="false" outlineLevel="0" collapsed="false">
      <c r="A1788" s="9" t="s">
        <v>892</v>
      </c>
      <c r="B1788" s="9" t="s">
        <v>1119</v>
      </c>
      <c r="C1788" s="9" t="n">
        <v>1</v>
      </c>
      <c r="D1788" s="10" t="n">
        <v>3.36</v>
      </c>
      <c r="E1788" s="10" t="n">
        <f aca="false">C1788*D1788</f>
        <v>3.36</v>
      </c>
    </row>
    <row r="1789" customFormat="false" ht="15" hidden="false" customHeight="false" outlineLevel="0" collapsed="false">
      <c r="A1789" s="9" t="s">
        <v>892</v>
      </c>
      <c r="B1789" s="9" t="s">
        <v>396</v>
      </c>
      <c r="C1789" s="9" t="n">
        <v>1</v>
      </c>
      <c r="D1789" s="10" t="n">
        <v>1.66</v>
      </c>
      <c r="E1789" s="10" t="n">
        <f aca="false">C1789*D1789</f>
        <v>1.66</v>
      </c>
    </row>
    <row r="1790" customFormat="false" ht="15" hidden="false" customHeight="false" outlineLevel="0" collapsed="false">
      <c r="A1790" s="9" t="s">
        <v>892</v>
      </c>
      <c r="B1790" s="9" t="s">
        <v>380</v>
      </c>
      <c r="C1790" s="9" t="n">
        <v>3</v>
      </c>
      <c r="D1790" s="10" t="n">
        <v>1.66</v>
      </c>
      <c r="E1790" s="10" t="n">
        <f aca="false">C1790*D1790</f>
        <v>4.98</v>
      </c>
    </row>
    <row r="1791" customFormat="false" ht="15" hidden="false" customHeight="false" outlineLevel="0" collapsed="false">
      <c r="A1791" s="9" t="s">
        <v>892</v>
      </c>
      <c r="B1791" s="9" t="s">
        <v>1120</v>
      </c>
      <c r="C1791" s="9" t="n">
        <v>2</v>
      </c>
      <c r="D1791" s="10" t="n">
        <v>1.28</v>
      </c>
      <c r="E1791" s="10" t="n">
        <f aca="false">C1791*D1791</f>
        <v>2.56</v>
      </c>
    </row>
    <row r="1792" customFormat="false" ht="15" hidden="false" customHeight="false" outlineLevel="0" collapsed="false">
      <c r="A1792" s="9" t="s">
        <v>892</v>
      </c>
      <c r="B1792" s="9" t="s">
        <v>386</v>
      </c>
      <c r="C1792" s="9" t="n">
        <v>1</v>
      </c>
      <c r="D1792" s="10" t="n">
        <v>4.21</v>
      </c>
      <c r="E1792" s="10" t="n">
        <f aca="false">C1792*D1792</f>
        <v>4.21</v>
      </c>
    </row>
    <row r="1793" customFormat="false" ht="15" hidden="false" customHeight="false" outlineLevel="0" collapsed="false">
      <c r="A1793" s="9" t="s">
        <v>892</v>
      </c>
      <c r="B1793" s="9" t="s">
        <v>372</v>
      </c>
      <c r="C1793" s="9" t="n">
        <v>2</v>
      </c>
      <c r="D1793" s="10" t="n">
        <v>4.21</v>
      </c>
      <c r="E1793" s="10" t="n">
        <f aca="false">C1793*D1793</f>
        <v>8.42</v>
      </c>
    </row>
    <row r="1794" customFormat="false" ht="15" hidden="false" customHeight="false" outlineLevel="0" collapsed="false">
      <c r="A1794" s="9" t="s">
        <v>892</v>
      </c>
      <c r="B1794" s="9" t="s">
        <v>163</v>
      </c>
      <c r="C1794" s="9" t="n">
        <v>2</v>
      </c>
      <c r="D1794" s="10" t="n">
        <v>5.91</v>
      </c>
      <c r="E1794" s="10" t="n">
        <f aca="false">C1794*D1794</f>
        <v>11.82</v>
      </c>
    </row>
    <row r="1795" customFormat="false" ht="15" hidden="false" customHeight="false" outlineLevel="0" collapsed="false">
      <c r="A1795" s="9" t="s">
        <v>892</v>
      </c>
      <c r="B1795" s="9" t="s">
        <v>1121</v>
      </c>
      <c r="C1795" s="9" t="n">
        <v>2</v>
      </c>
      <c r="D1795" s="10" t="n">
        <v>1.66</v>
      </c>
      <c r="E1795" s="10" t="n">
        <f aca="false">C1795*D1795</f>
        <v>3.32</v>
      </c>
    </row>
    <row r="1796" customFormat="false" ht="15" hidden="false" customHeight="false" outlineLevel="0" collapsed="false">
      <c r="A1796" s="9" t="s">
        <v>892</v>
      </c>
      <c r="B1796" s="9" t="s">
        <v>861</v>
      </c>
      <c r="C1796" s="9" t="n">
        <v>3</v>
      </c>
      <c r="D1796" s="10" t="n">
        <v>2.51</v>
      </c>
      <c r="E1796" s="10" t="n">
        <f aca="false">C1796*D1796</f>
        <v>7.53</v>
      </c>
    </row>
    <row r="1797" customFormat="false" ht="15" hidden="false" customHeight="false" outlineLevel="0" collapsed="false">
      <c r="A1797" s="9" t="s">
        <v>892</v>
      </c>
      <c r="B1797" s="9" t="s">
        <v>1122</v>
      </c>
      <c r="C1797" s="9" t="n">
        <v>1</v>
      </c>
      <c r="D1797" s="10" t="n">
        <v>51.02</v>
      </c>
      <c r="E1797" s="10" t="n">
        <f aca="false">C1797*D1797</f>
        <v>51.02</v>
      </c>
    </row>
    <row r="1798" customFormat="false" ht="15" hidden="false" customHeight="false" outlineLevel="0" collapsed="false">
      <c r="A1798" s="9" t="s">
        <v>892</v>
      </c>
      <c r="B1798" s="9" t="s">
        <v>672</v>
      </c>
      <c r="C1798" s="9" t="n">
        <v>1</v>
      </c>
      <c r="D1798" s="10" t="n">
        <v>25.49</v>
      </c>
      <c r="E1798" s="10" t="n">
        <f aca="false">C1798*D1798</f>
        <v>25.49</v>
      </c>
    </row>
    <row r="1799" customFormat="false" ht="15" hidden="false" customHeight="false" outlineLevel="0" collapsed="false">
      <c r="A1799" s="9" t="s">
        <v>892</v>
      </c>
      <c r="B1799" s="9" t="s">
        <v>440</v>
      </c>
      <c r="C1799" s="9" t="n">
        <v>3</v>
      </c>
      <c r="D1799" s="10" t="n">
        <v>3.36</v>
      </c>
      <c r="E1799" s="10" t="n">
        <f aca="false">C1799*D1799</f>
        <v>10.08</v>
      </c>
    </row>
    <row r="1800" customFormat="false" ht="15" hidden="false" customHeight="false" outlineLevel="0" collapsed="false">
      <c r="A1800" s="9" t="s">
        <v>892</v>
      </c>
      <c r="B1800" s="9" t="s">
        <v>1123</v>
      </c>
      <c r="C1800" s="9" t="n">
        <v>2</v>
      </c>
      <c r="D1800" s="10" t="n">
        <v>2.51</v>
      </c>
      <c r="E1800" s="10" t="n">
        <f aca="false">C1800*D1800</f>
        <v>5.02</v>
      </c>
    </row>
    <row r="1801" customFormat="false" ht="15" hidden="false" customHeight="false" outlineLevel="0" collapsed="false">
      <c r="A1801" s="9" t="s">
        <v>892</v>
      </c>
      <c r="B1801" s="9" t="s">
        <v>1124</v>
      </c>
      <c r="C1801" s="9" t="n">
        <v>3</v>
      </c>
      <c r="D1801" s="10" t="n">
        <v>2.51</v>
      </c>
      <c r="E1801" s="10" t="n">
        <f aca="false">C1801*D1801</f>
        <v>7.53</v>
      </c>
    </row>
    <row r="1802" customFormat="false" ht="15" hidden="false" customHeight="false" outlineLevel="0" collapsed="false">
      <c r="A1802" s="9" t="s">
        <v>892</v>
      </c>
      <c r="B1802" s="9" t="s">
        <v>1125</v>
      </c>
      <c r="C1802" s="9" t="n">
        <v>3</v>
      </c>
      <c r="D1802" s="10" t="n">
        <v>1.66</v>
      </c>
      <c r="E1802" s="10" t="n">
        <f aca="false">C1802*D1802</f>
        <v>4.98</v>
      </c>
    </row>
    <row r="1803" customFormat="false" ht="15" hidden="false" customHeight="false" outlineLevel="0" collapsed="false">
      <c r="A1803" s="9" t="s">
        <v>892</v>
      </c>
      <c r="B1803" s="9" t="s">
        <v>57</v>
      </c>
      <c r="C1803" s="9" t="n">
        <v>1</v>
      </c>
      <c r="D1803" s="10" t="n">
        <v>4.21</v>
      </c>
      <c r="E1803" s="10" t="n">
        <f aca="false">C1803*D1803</f>
        <v>4.21</v>
      </c>
    </row>
    <row r="1804" customFormat="false" ht="15" hidden="false" customHeight="false" outlineLevel="0" collapsed="false">
      <c r="A1804" s="9" t="s">
        <v>892</v>
      </c>
      <c r="B1804" s="9" t="s">
        <v>58</v>
      </c>
      <c r="C1804" s="9" t="n">
        <v>1</v>
      </c>
      <c r="D1804" s="10" t="n">
        <v>4.21</v>
      </c>
      <c r="E1804" s="10" t="n">
        <f aca="false">C1804*D1804</f>
        <v>4.21</v>
      </c>
    </row>
    <row r="1805" customFormat="false" ht="15" hidden="false" customHeight="false" outlineLevel="0" collapsed="false">
      <c r="A1805" s="9" t="s">
        <v>892</v>
      </c>
      <c r="B1805" s="9" t="s">
        <v>591</v>
      </c>
      <c r="C1805" s="9" t="n">
        <v>1</v>
      </c>
      <c r="D1805" s="10" t="n">
        <v>5.91</v>
      </c>
      <c r="E1805" s="10" t="n">
        <f aca="false">C1805*D1805</f>
        <v>5.91</v>
      </c>
    </row>
    <row r="1806" customFormat="false" ht="15" hidden="false" customHeight="false" outlineLevel="0" collapsed="false">
      <c r="A1806" s="9" t="s">
        <v>892</v>
      </c>
      <c r="B1806" s="9" t="s">
        <v>1126</v>
      </c>
      <c r="C1806" s="9" t="n">
        <v>8</v>
      </c>
      <c r="D1806" s="10" t="n">
        <v>1.66</v>
      </c>
      <c r="E1806" s="10" t="n">
        <f aca="false">C1806*D1806</f>
        <v>13.28</v>
      </c>
    </row>
    <row r="1807" customFormat="false" ht="15" hidden="false" customHeight="false" outlineLevel="0" collapsed="false">
      <c r="A1807" s="9" t="s">
        <v>892</v>
      </c>
      <c r="B1807" s="9" t="s">
        <v>829</v>
      </c>
      <c r="C1807" s="9" t="n">
        <v>13</v>
      </c>
      <c r="D1807" s="10" t="n">
        <v>1.66</v>
      </c>
      <c r="E1807" s="10" t="n">
        <f aca="false">C1807*D1807</f>
        <v>21.58</v>
      </c>
    </row>
    <row r="1808" customFormat="false" ht="15" hidden="false" customHeight="false" outlineLevel="0" collapsed="false">
      <c r="A1808" s="9" t="s">
        <v>892</v>
      </c>
      <c r="B1808" s="9" t="s">
        <v>488</v>
      </c>
      <c r="C1808" s="9" t="n">
        <v>1</v>
      </c>
      <c r="D1808" s="10" t="n">
        <v>3.36</v>
      </c>
      <c r="E1808" s="10" t="n">
        <f aca="false">C1808*D1808</f>
        <v>3.36</v>
      </c>
    </row>
    <row r="1809" customFormat="false" ht="15" hidden="false" customHeight="false" outlineLevel="0" collapsed="false">
      <c r="A1809" s="9" t="s">
        <v>892</v>
      </c>
      <c r="B1809" s="9" t="s">
        <v>489</v>
      </c>
      <c r="C1809" s="9" t="n">
        <v>3</v>
      </c>
      <c r="D1809" s="10" t="n">
        <v>3.36</v>
      </c>
      <c r="E1809" s="10" t="n">
        <f aca="false">C1809*D1809</f>
        <v>10.08</v>
      </c>
    </row>
    <row r="1810" customFormat="false" ht="15" hidden="false" customHeight="false" outlineLevel="0" collapsed="false">
      <c r="A1810" s="9" t="s">
        <v>892</v>
      </c>
      <c r="B1810" s="9" t="s">
        <v>593</v>
      </c>
      <c r="C1810" s="9" t="n">
        <v>1</v>
      </c>
      <c r="D1810" s="10" t="n">
        <v>3.36</v>
      </c>
      <c r="E1810" s="10" t="n">
        <f aca="false">C1810*D1810</f>
        <v>3.36</v>
      </c>
    </row>
    <row r="1811" customFormat="false" ht="15" hidden="false" customHeight="false" outlineLevel="0" collapsed="false">
      <c r="A1811" s="9" t="s">
        <v>892</v>
      </c>
      <c r="B1811" s="9" t="s">
        <v>1127</v>
      </c>
      <c r="C1811" s="9" t="n">
        <v>3</v>
      </c>
      <c r="D1811" s="10" t="n">
        <v>5.06</v>
      </c>
      <c r="E1811" s="10" t="n">
        <f aca="false">C1811*D1811</f>
        <v>15.18</v>
      </c>
    </row>
    <row r="1812" customFormat="false" ht="15" hidden="false" customHeight="false" outlineLevel="0" collapsed="false">
      <c r="A1812" s="9" t="s">
        <v>892</v>
      </c>
      <c r="B1812" s="9" t="s">
        <v>260</v>
      </c>
      <c r="C1812" s="9" t="n">
        <v>1</v>
      </c>
      <c r="D1812" s="10" t="n">
        <v>7.62</v>
      </c>
      <c r="E1812" s="10" t="n">
        <f aca="false">C1812*D1812</f>
        <v>7.62</v>
      </c>
    </row>
    <row r="1813" customFormat="false" ht="15" hidden="false" customHeight="false" outlineLevel="0" collapsed="false">
      <c r="A1813" s="9" t="s">
        <v>892</v>
      </c>
      <c r="B1813" s="9" t="s">
        <v>259</v>
      </c>
      <c r="C1813" s="9" t="n">
        <v>2</v>
      </c>
      <c r="D1813" s="10" t="n">
        <v>7.62</v>
      </c>
      <c r="E1813" s="10" t="n">
        <f aca="false">C1813*D1813</f>
        <v>15.24</v>
      </c>
    </row>
    <row r="1814" customFormat="false" ht="15" hidden="false" customHeight="false" outlineLevel="0" collapsed="false">
      <c r="A1814" s="9" t="s">
        <v>892</v>
      </c>
      <c r="B1814" s="9" t="s">
        <v>86</v>
      </c>
      <c r="C1814" s="9" t="n">
        <v>1</v>
      </c>
      <c r="D1814" s="10" t="n">
        <v>7.62</v>
      </c>
      <c r="E1814" s="10" t="n">
        <f aca="false">C1814*D1814</f>
        <v>7.62</v>
      </c>
    </row>
    <row r="1815" customFormat="false" ht="15" hidden="false" customHeight="false" outlineLevel="0" collapsed="false">
      <c r="A1815" s="9" t="s">
        <v>892</v>
      </c>
      <c r="B1815" s="9" t="s">
        <v>85</v>
      </c>
      <c r="C1815" s="9" t="n">
        <v>2</v>
      </c>
      <c r="D1815" s="10" t="n">
        <v>7.62</v>
      </c>
      <c r="E1815" s="10" t="n">
        <f aca="false">C1815*D1815</f>
        <v>15.24</v>
      </c>
    </row>
    <row r="1816" customFormat="false" ht="15" hidden="false" customHeight="false" outlineLevel="0" collapsed="false">
      <c r="A1816" s="9" t="s">
        <v>892</v>
      </c>
      <c r="B1816" s="9" t="s">
        <v>141</v>
      </c>
      <c r="C1816" s="9" t="n">
        <v>1</v>
      </c>
      <c r="D1816" s="10" t="n">
        <v>2.51</v>
      </c>
      <c r="E1816" s="10" t="n">
        <f aca="false">C1816*D1816</f>
        <v>2.51</v>
      </c>
    </row>
    <row r="1817" customFormat="false" ht="15" hidden="false" customHeight="false" outlineLevel="0" collapsed="false">
      <c r="A1817" s="9" t="s">
        <v>892</v>
      </c>
      <c r="B1817" s="9" t="s">
        <v>717</v>
      </c>
      <c r="C1817" s="9" t="n">
        <v>2</v>
      </c>
      <c r="D1817" s="10" t="n">
        <v>5.91</v>
      </c>
      <c r="E1817" s="10" t="n">
        <f aca="false">C1817*D1817</f>
        <v>11.82</v>
      </c>
    </row>
    <row r="1818" customFormat="false" ht="15" hidden="false" customHeight="false" outlineLevel="0" collapsed="false">
      <c r="A1818" s="9" t="s">
        <v>892</v>
      </c>
      <c r="B1818" s="9" t="s">
        <v>722</v>
      </c>
      <c r="C1818" s="9" t="n">
        <v>6</v>
      </c>
      <c r="D1818" s="10" t="n">
        <v>5.91</v>
      </c>
      <c r="E1818" s="10" t="n">
        <f aca="false">C1818*D1818</f>
        <v>35.46</v>
      </c>
    </row>
    <row r="1819" customFormat="false" ht="15" hidden="false" customHeight="false" outlineLevel="0" collapsed="false">
      <c r="A1819" s="9" t="s">
        <v>892</v>
      </c>
      <c r="B1819" s="9" t="s">
        <v>493</v>
      </c>
      <c r="C1819" s="9" t="n">
        <v>2</v>
      </c>
      <c r="D1819" s="10" t="n">
        <v>3.36</v>
      </c>
      <c r="E1819" s="10" t="n">
        <f aca="false">C1819*D1819</f>
        <v>6.72</v>
      </c>
    </row>
    <row r="1820" customFormat="false" ht="15" hidden="false" customHeight="false" outlineLevel="0" collapsed="false">
      <c r="A1820" s="9" t="s">
        <v>892</v>
      </c>
      <c r="B1820" s="9" t="s">
        <v>507</v>
      </c>
      <c r="C1820" s="9" t="n">
        <v>4</v>
      </c>
      <c r="D1820" s="10" t="n">
        <v>4.21</v>
      </c>
      <c r="E1820" s="10" t="n">
        <f aca="false">C1820*D1820</f>
        <v>16.84</v>
      </c>
    </row>
    <row r="1821" customFormat="false" ht="15" hidden="false" customHeight="false" outlineLevel="0" collapsed="false">
      <c r="A1821" s="9" t="s">
        <v>892</v>
      </c>
      <c r="B1821" s="9" t="s">
        <v>1128</v>
      </c>
      <c r="C1821" s="9" t="n">
        <v>4</v>
      </c>
      <c r="D1821" s="10" t="n">
        <v>0.85</v>
      </c>
      <c r="E1821" s="10" t="n">
        <f aca="false">C1821*D1821</f>
        <v>3.4</v>
      </c>
    </row>
    <row r="1822" customFormat="false" ht="15" hidden="false" customHeight="false" outlineLevel="0" collapsed="false">
      <c r="A1822" s="9" t="s">
        <v>892</v>
      </c>
      <c r="B1822" s="9" t="s">
        <v>1129</v>
      </c>
      <c r="C1822" s="9" t="n">
        <v>2</v>
      </c>
      <c r="D1822" s="10" t="n">
        <v>2.51</v>
      </c>
      <c r="E1822" s="10" t="n">
        <f aca="false">C1822*D1822</f>
        <v>5.02</v>
      </c>
    </row>
    <row r="1823" customFormat="false" ht="15" hidden="false" customHeight="false" outlineLevel="0" collapsed="false">
      <c r="A1823" s="9" t="s">
        <v>892</v>
      </c>
      <c r="B1823" s="9" t="s">
        <v>1130</v>
      </c>
      <c r="C1823" s="9" t="n">
        <v>6</v>
      </c>
      <c r="D1823" s="10" t="n">
        <v>0.85</v>
      </c>
      <c r="E1823" s="10" t="n">
        <f aca="false">C1823*D1823</f>
        <v>5.1</v>
      </c>
    </row>
    <row r="1824" customFormat="false" ht="15" hidden="false" customHeight="false" outlineLevel="0" collapsed="false">
      <c r="A1824" s="9" t="s">
        <v>892</v>
      </c>
      <c r="B1824" s="9" t="s">
        <v>271</v>
      </c>
      <c r="C1824" s="9" t="n">
        <v>4</v>
      </c>
      <c r="D1824" s="10" t="n">
        <v>9.32</v>
      </c>
      <c r="E1824" s="10" t="n">
        <f aca="false">C1824*D1824</f>
        <v>37.28</v>
      </c>
    </row>
    <row r="1825" customFormat="false" ht="15" hidden="false" customHeight="false" outlineLevel="0" collapsed="false">
      <c r="A1825" s="9" t="s">
        <v>892</v>
      </c>
      <c r="B1825" s="9" t="s">
        <v>128</v>
      </c>
      <c r="C1825" s="9" t="n">
        <v>9</v>
      </c>
      <c r="D1825" s="10" t="n">
        <v>3.36</v>
      </c>
      <c r="E1825" s="10" t="n">
        <f aca="false">C1825*D1825</f>
        <v>30.24</v>
      </c>
    </row>
    <row r="1826" customFormat="false" ht="15" hidden="false" customHeight="false" outlineLevel="0" collapsed="false">
      <c r="A1826" s="9" t="s">
        <v>892</v>
      </c>
      <c r="B1826" s="9" t="s">
        <v>63</v>
      </c>
      <c r="C1826" s="9" t="n">
        <v>7</v>
      </c>
      <c r="D1826" s="10" t="n">
        <v>8.47</v>
      </c>
      <c r="E1826" s="10" t="n">
        <f aca="false">C1826*D1826</f>
        <v>59.29</v>
      </c>
    </row>
    <row r="1827" customFormat="false" ht="15" hidden="false" customHeight="false" outlineLevel="0" collapsed="false">
      <c r="A1827" s="9" t="s">
        <v>892</v>
      </c>
      <c r="B1827" s="9" t="s">
        <v>569</v>
      </c>
      <c r="C1827" s="9" t="n">
        <v>1</v>
      </c>
      <c r="D1827" s="10" t="n">
        <v>4.21</v>
      </c>
      <c r="E1827" s="10" t="n">
        <f aca="false">C1827*D1827</f>
        <v>4.21</v>
      </c>
    </row>
    <row r="1828" customFormat="false" ht="15" hidden="false" customHeight="false" outlineLevel="0" collapsed="false">
      <c r="A1828" s="9" t="s">
        <v>892</v>
      </c>
      <c r="B1828" s="9" t="s">
        <v>487</v>
      </c>
      <c r="C1828" s="9" t="n">
        <v>1</v>
      </c>
      <c r="D1828" s="10" t="n">
        <v>1.28</v>
      </c>
      <c r="E1828" s="10" t="n">
        <f aca="false">C1828*D1828</f>
        <v>1.28</v>
      </c>
    </row>
    <row r="1829" customFormat="false" ht="15" hidden="false" customHeight="false" outlineLevel="0" collapsed="false">
      <c r="A1829" s="9" t="s">
        <v>892</v>
      </c>
      <c r="B1829" s="9" t="s">
        <v>469</v>
      </c>
      <c r="C1829" s="9" t="n">
        <v>2</v>
      </c>
      <c r="D1829" s="10" t="n">
        <v>1.28</v>
      </c>
      <c r="E1829" s="10" t="n">
        <f aca="false">C1829*D1829</f>
        <v>2.56</v>
      </c>
    </row>
    <row r="1830" customFormat="false" ht="15" hidden="false" customHeight="false" outlineLevel="0" collapsed="false">
      <c r="A1830" s="9" t="s">
        <v>892</v>
      </c>
      <c r="B1830" s="9" t="s">
        <v>1131</v>
      </c>
      <c r="C1830" s="9" t="n">
        <v>1</v>
      </c>
      <c r="D1830" s="10" t="n">
        <v>2.98</v>
      </c>
      <c r="E1830" s="10" t="n">
        <f aca="false">C1830*D1830</f>
        <v>2.98</v>
      </c>
    </row>
    <row r="1831" customFormat="false" ht="15" hidden="false" customHeight="false" outlineLevel="0" collapsed="false">
      <c r="A1831" s="9" t="s">
        <v>892</v>
      </c>
      <c r="B1831" s="9" t="s">
        <v>1132</v>
      </c>
      <c r="C1831" s="9" t="n">
        <v>2</v>
      </c>
      <c r="D1831" s="10" t="n">
        <v>6.77</v>
      </c>
      <c r="E1831" s="10" t="n">
        <f aca="false">C1831*D1831</f>
        <v>13.54</v>
      </c>
    </row>
    <row r="1832" customFormat="false" ht="15" hidden="false" customHeight="false" outlineLevel="0" collapsed="false">
      <c r="A1832" s="9" t="s">
        <v>892</v>
      </c>
      <c r="B1832" s="9" t="s">
        <v>606</v>
      </c>
      <c r="C1832" s="9" t="n">
        <v>1</v>
      </c>
      <c r="D1832" s="10" t="n">
        <v>11.02</v>
      </c>
      <c r="E1832" s="10" t="n">
        <f aca="false">C1832*D1832</f>
        <v>11.02</v>
      </c>
    </row>
    <row r="1833" customFormat="false" ht="15" hidden="false" customHeight="false" outlineLevel="0" collapsed="false">
      <c r="A1833" s="9" t="s">
        <v>892</v>
      </c>
      <c r="B1833" s="9" t="s">
        <v>465</v>
      </c>
      <c r="C1833" s="9" t="n">
        <v>2</v>
      </c>
      <c r="D1833" s="10" t="n">
        <v>8.47</v>
      </c>
      <c r="E1833" s="10" t="n">
        <f aca="false">C1833*D1833</f>
        <v>16.94</v>
      </c>
    </row>
    <row r="1834" customFormat="false" ht="15" hidden="false" customHeight="false" outlineLevel="0" collapsed="false">
      <c r="A1834" s="9" t="s">
        <v>892</v>
      </c>
      <c r="B1834" s="9" t="s">
        <v>1133</v>
      </c>
      <c r="C1834" s="9" t="n">
        <v>1</v>
      </c>
      <c r="D1834" s="10" t="n">
        <v>11.87</v>
      </c>
      <c r="E1834" s="10" t="n">
        <f aca="false">C1834*D1834</f>
        <v>11.87</v>
      </c>
    </row>
    <row r="1835" customFormat="false" ht="15" hidden="false" customHeight="false" outlineLevel="0" collapsed="false">
      <c r="A1835" s="9" t="s">
        <v>892</v>
      </c>
      <c r="B1835" s="9" t="s">
        <v>683</v>
      </c>
      <c r="C1835" s="9" t="n">
        <v>1</v>
      </c>
      <c r="D1835" s="10" t="n">
        <v>1.66</v>
      </c>
      <c r="E1835" s="10" t="n">
        <f aca="false">C1835*D1835</f>
        <v>1.66</v>
      </c>
    </row>
    <row r="1836" customFormat="false" ht="15" hidden="false" customHeight="false" outlineLevel="0" collapsed="false">
      <c r="A1836" s="9" t="s">
        <v>892</v>
      </c>
      <c r="B1836" s="9" t="s">
        <v>684</v>
      </c>
      <c r="C1836" s="9" t="n">
        <v>1</v>
      </c>
      <c r="D1836" s="10" t="n">
        <v>1.66</v>
      </c>
      <c r="E1836" s="10" t="n">
        <f aca="false">C1836*D1836</f>
        <v>1.66</v>
      </c>
    </row>
    <row r="1837" customFormat="false" ht="15" hidden="false" customHeight="false" outlineLevel="0" collapsed="false">
      <c r="A1837" s="9" t="s">
        <v>892</v>
      </c>
      <c r="B1837" s="9" t="s">
        <v>686</v>
      </c>
      <c r="C1837" s="9" t="n">
        <v>1</v>
      </c>
      <c r="D1837" s="10" t="n">
        <v>1.66</v>
      </c>
      <c r="E1837" s="10" t="n">
        <f aca="false">C1837*D1837</f>
        <v>1.66</v>
      </c>
    </row>
    <row r="1838" customFormat="false" ht="15" hidden="false" customHeight="false" outlineLevel="0" collapsed="false">
      <c r="A1838" s="9" t="s">
        <v>892</v>
      </c>
      <c r="B1838" s="9" t="s">
        <v>687</v>
      </c>
      <c r="C1838" s="9" t="n">
        <v>1</v>
      </c>
      <c r="D1838" s="10" t="n">
        <v>1.66</v>
      </c>
      <c r="E1838" s="10" t="n">
        <f aca="false">C1838*D1838</f>
        <v>1.66</v>
      </c>
    </row>
    <row r="1839" customFormat="false" ht="15" hidden="false" customHeight="false" outlineLevel="0" collapsed="false">
      <c r="A1839" s="9" t="s">
        <v>892</v>
      </c>
      <c r="B1839" s="9" t="s">
        <v>685</v>
      </c>
      <c r="C1839" s="9" t="n">
        <v>1</v>
      </c>
      <c r="D1839" s="10" t="n">
        <v>1.66</v>
      </c>
      <c r="E1839" s="10" t="n">
        <f aca="false">C1839*D1839</f>
        <v>1.66</v>
      </c>
    </row>
    <row r="1840" customFormat="false" ht="15" hidden="false" customHeight="false" outlineLevel="0" collapsed="false">
      <c r="A1840" s="9" t="s">
        <v>892</v>
      </c>
      <c r="B1840" s="9" t="s">
        <v>682</v>
      </c>
      <c r="C1840" s="9" t="n">
        <v>1</v>
      </c>
      <c r="D1840" s="10" t="n">
        <v>1.66</v>
      </c>
      <c r="E1840" s="10" t="n">
        <f aca="false">C1840*D1840</f>
        <v>1.66</v>
      </c>
    </row>
    <row r="1841" customFormat="false" ht="15" hidden="false" customHeight="false" outlineLevel="0" collapsed="false">
      <c r="A1841" s="9" t="s">
        <v>892</v>
      </c>
      <c r="B1841" s="9" t="s">
        <v>233</v>
      </c>
      <c r="C1841" s="9" t="n">
        <v>4</v>
      </c>
      <c r="D1841" s="10" t="n">
        <v>5.91</v>
      </c>
      <c r="E1841" s="10" t="n">
        <f aca="false">C1841*D1841</f>
        <v>23.64</v>
      </c>
    </row>
    <row r="1842" customFormat="false" ht="15" hidden="false" customHeight="false" outlineLevel="0" collapsed="false">
      <c r="A1842" s="9" t="s">
        <v>892</v>
      </c>
      <c r="B1842" s="9" t="s">
        <v>490</v>
      </c>
      <c r="C1842" s="9" t="n">
        <v>3</v>
      </c>
      <c r="D1842" s="10" t="n">
        <v>1.66</v>
      </c>
      <c r="E1842" s="10" t="n">
        <f aca="false">C1842*D1842</f>
        <v>4.98</v>
      </c>
    </row>
    <row r="1843" customFormat="false" ht="15" hidden="false" customHeight="false" outlineLevel="0" collapsed="false">
      <c r="A1843" s="9" t="s">
        <v>892</v>
      </c>
      <c r="B1843" s="9" t="s">
        <v>689</v>
      </c>
      <c r="C1843" s="9" t="n">
        <v>2</v>
      </c>
      <c r="D1843" s="10" t="n">
        <v>3.36</v>
      </c>
      <c r="E1843" s="10" t="n">
        <f aca="false">C1843*D1843</f>
        <v>6.72</v>
      </c>
    </row>
    <row r="1844" customFormat="false" ht="15" hidden="false" customHeight="false" outlineLevel="0" collapsed="false">
      <c r="A1844" s="9" t="s">
        <v>892</v>
      </c>
      <c r="B1844" s="9" t="s">
        <v>72</v>
      </c>
      <c r="C1844" s="9" t="n">
        <v>1</v>
      </c>
      <c r="D1844" s="10" t="n">
        <v>5.91</v>
      </c>
      <c r="E1844" s="10" t="n">
        <f aca="false">C1844*D1844</f>
        <v>5.91</v>
      </c>
    </row>
    <row r="1845" customFormat="false" ht="15" hidden="false" customHeight="false" outlineLevel="0" collapsed="false">
      <c r="A1845" s="9" t="s">
        <v>892</v>
      </c>
      <c r="B1845" s="9" t="s">
        <v>486</v>
      </c>
      <c r="C1845" s="9" t="n">
        <v>2</v>
      </c>
      <c r="D1845" s="10" t="n">
        <v>4.21</v>
      </c>
      <c r="E1845" s="10" t="n">
        <f aca="false">C1845*D1845</f>
        <v>8.42</v>
      </c>
    </row>
    <row r="1846" customFormat="false" ht="15" hidden="false" customHeight="false" outlineLevel="0" collapsed="false">
      <c r="A1846" s="9" t="s">
        <v>892</v>
      </c>
      <c r="B1846" s="9" t="s">
        <v>1134</v>
      </c>
      <c r="C1846" s="9" t="n">
        <v>1</v>
      </c>
      <c r="D1846" s="10" t="n">
        <v>4.21</v>
      </c>
      <c r="E1846" s="10" t="n">
        <f aca="false">C1846*D1846</f>
        <v>4.21</v>
      </c>
    </row>
    <row r="1847" customFormat="false" ht="15" hidden="false" customHeight="false" outlineLevel="0" collapsed="false">
      <c r="A1847" s="9" t="s">
        <v>892</v>
      </c>
      <c r="B1847" s="9" t="s">
        <v>258</v>
      </c>
      <c r="C1847" s="9" t="n">
        <v>4</v>
      </c>
      <c r="D1847" s="10" t="n">
        <v>4.21</v>
      </c>
      <c r="E1847" s="10" t="n">
        <f aca="false">C1847*D1847</f>
        <v>16.84</v>
      </c>
    </row>
    <row r="1848" customFormat="false" ht="15" hidden="false" customHeight="false" outlineLevel="0" collapsed="false">
      <c r="A1848" s="9" t="s">
        <v>892</v>
      </c>
      <c r="B1848" s="9" t="s">
        <v>254</v>
      </c>
      <c r="C1848" s="9" t="n">
        <v>4</v>
      </c>
      <c r="D1848" s="10" t="n">
        <v>4.21</v>
      </c>
      <c r="E1848" s="10" t="n">
        <f aca="false">C1848*D1848</f>
        <v>16.84</v>
      </c>
    </row>
    <row r="1849" customFormat="false" ht="15" hidden="false" customHeight="false" outlineLevel="0" collapsed="false">
      <c r="A1849" s="9" t="s">
        <v>892</v>
      </c>
      <c r="B1849" s="9" t="s">
        <v>255</v>
      </c>
      <c r="C1849" s="9" t="n">
        <v>1</v>
      </c>
      <c r="D1849" s="10" t="n">
        <v>4.21</v>
      </c>
      <c r="E1849" s="10" t="n">
        <f aca="false">C1849*D1849</f>
        <v>4.21</v>
      </c>
    </row>
    <row r="1850" customFormat="false" ht="15" hidden="false" customHeight="false" outlineLevel="0" collapsed="false">
      <c r="A1850" s="9" t="s">
        <v>892</v>
      </c>
      <c r="B1850" s="9" t="s">
        <v>1040</v>
      </c>
      <c r="C1850" s="9" t="n">
        <v>1</v>
      </c>
      <c r="D1850" s="10" t="n">
        <v>8.47</v>
      </c>
      <c r="E1850" s="10" t="n">
        <f aca="false">C1850*D1850</f>
        <v>8.47</v>
      </c>
    </row>
    <row r="1851" customFormat="false" ht="15" hidden="false" customHeight="false" outlineLevel="0" collapsed="false">
      <c r="A1851" s="9" t="s">
        <v>892</v>
      </c>
      <c r="B1851" s="9" t="s">
        <v>1135</v>
      </c>
      <c r="C1851" s="9" t="n">
        <v>1</v>
      </c>
      <c r="D1851" s="10" t="n">
        <v>34</v>
      </c>
      <c r="E1851" s="10" t="n">
        <f aca="false">C1851*D1851</f>
        <v>34</v>
      </c>
    </row>
    <row r="1852" customFormat="false" ht="15" hidden="false" customHeight="false" outlineLevel="0" collapsed="false">
      <c r="A1852" s="9" t="s">
        <v>892</v>
      </c>
      <c r="B1852" s="9" t="s">
        <v>1038</v>
      </c>
      <c r="C1852" s="9" t="n">
        <v>1</v>
      </c>
      <c r="D1852" s="10" t="n">
        <v>16.98</v>
      </c>
      <c r="E1852" s="10" t="n">
        <f aca="false">C1852*D1852</f>
        <v>16.98</v>
      </c>
    </row>
    <row r="1853" customFormat="false" ht="15" hidden="false" customHeight="false" outlineLevel="0" collapsed="false">
      <c r="A1853" s="9" t="s">
        <v>892</v>
      </c>
      <c r="B1853" s="9" t="s">
        <v>1136</v>
      </c>
      <c r="C1853" s="9" t="n">
        <v>4</v>
      </c>
      <c r="D1853" s="10" t="n">
        <v>0.85</v>
      </c>
      <c r="E1853" s="10" t="n">
        <f aca="false">C1853*D1853</f>
        <v>3.4</v>
      </c>
    </row>
    <row r="1854" customFormat="false" ht="15" hidden="false" customHeight="false" outlineLevel="0" collapsed="false">
      <c r="A1854" s="9" t="s">
        <v>892</v>
      </c>
      <c r="B1854" s="9" t="s">
        <v>1137</v>
      </c>
      <c r="C1854" s="9" t="n">
        <v>1</v>
      </c>
      <c r="D1854" s="10" t="n">
        <v>12.72</v>
      </c>
      <c r="E1854" s="10" t="n">
        <f aca="false">C1854*D1854</f>
        <v>12.72</v>
      </c>
    </row>
    <row r="1855" customFormat="false" ht="15" hidden="false" customHeight="false" outlineLevel="0" collapsed="false">
      <c r="A1855" s="9" t="s">
        <v>892</v>
      </c>
      <c r="B1855" s="9" t="s">
        <v>1138</v>
      </c>
      <c r="C1855" s="9" t="n">
        <v>1</v>
      </c>
      <c r="D1855" s="10" t="n">
        <v>5.91</v>
      </c>
      <c r="E1855" s="10" t="n">
        <f aca="false">C1855*D1855</f>
        <v>5.91</v>
      </c>
    </row>
    <row r="1856" customFormat="false" ht="15" hidden="false" customHeight="false" outlineLevel="0" collapsed="false">
      <c r="A1856" s="9" t="s">
        <v>892</v>
      </c>
      <c r="B1856" s="9" t="s">
        <v>337</v>
      </c>
      <c r="C1856" s="9" t="n">
        <v>1</v>
      </c>
      <c r="D1856" s="10" t="n">
        <v>9.32</v>
      </c>
      <c r="E1856" s="10" t="n">
        <f aca="false">C1856*D1856</f>
        <v>9.32</v>
      </c>
    </row>
    <row r="1857" customFormat="false" ht="15" hidden="false" customHeight="false" outlineLevel="0" collapsed="false">
      <c r="A1857" s="9" t="s">
        <v>892</v>
      </c>
      <c r="B1857" s="9" t="s">
        <v>801</v>
      </c>
      <c r="C1857" s="9" t="n">
        <v>1</v>
      </c>
      <c r="D1857" s="10" t="n">
        <v>5.91</v>
      </c>
      <c r="E1857" s="10" t="n">
        <f aca="false">C1857*D1857</f>
        <v>5.91</v>
      </c>
    </row>
    <row r="1858" customFormat="false" ht="15" hidden="false" customHeight="false" outlineLevel="0" collapsed="false">
      <c r="A1858" s="9" t="s">
        <v>892</v>
      </c>
      <c r="B1858" s="9" t="s">
        <v>1139</v>
      </c>
      <c r="C1858" s="9" t="n">
        <v>2</v>
      </c>
      <c r="D1858" s="10" t="n">
        <v>7.62</v>
      </c>
      <c r="E1858" s="10" t="n">
        <f aca="false">C1858*D1858</f>
        <v>15.24</v>
      </c>
    </row>
    <row r="1859" customFormat="false" ht="15" hidden="false" customHeight="false" outlineLevel="0" collapsed="false">
      <c r="A1859" s="9" t="s">
        <v>892</v>
      </c>
      <c r="B1859" s="9" t="s">
        <v>314</v>
      </c>
      <c r="C1859" s="9" t="n">
        <v>1</v>
      </c>
      <c r="D1859" s="10" t="n">
        <v>3.36</v>
      </c>
      <c r="E1859" s="10" t="n">
        <f aca="false">C1859*D1859</f>
        <v>3.36</v>
      </c>
    </row>
    <row r="1860" customFormat="false" ht="15" hidden="false" customHeight="false" outlineLevel="0" collapsed="false">
      <c r="A1860" s="9" t="s">
        <v>892</v>
      </c>
      <c r="B1860" s="9" t="s">
        <v>729</v>
      </c>
      <c r="C1860" s="9" t="n">
        <v>1</v>
      </c>
      <c r="D1860" s="10" t="n">
        <v>2.51</v>
      </c>
      <c r="E1860" s="10" t="n">
        <f aca="false">C1860*D1860</f>
        <v>2.51</v>
      </c>
    </row>
    <row r="1861" customFormat="false" ht="15" hidden="false" customHeight="false" outlineLevel="0" collapsed="false">
      <c r="A1861" s="9" t="s">
        <v>892</v>
      </c>
      <c r="B1861" s="9" t="s">
        <v>1140</v>
      </c>
      <c r="C1861" s="9" t="n">
        <v>1</v>
      </c>
      <c r="D1861" s="10" t="n">
        <v>0.85</v>
      </c>
      <c r="E1861" s="10" t="n">
        <f aca="false">C1861*D1861</f>
        <v>0.85</v>
      </c>
    </row>
    <row r="1862" customFormat="false" ht="15" hidden="false" customHeight="false" outlineLevel="0" collapsed="false">
      <c r="A1862" s="9" t="s">
        <v>892</v>
      </c>
      <c r="B1862" s="9" t="s">
        <v>71</v>
      </c>
      <c r="C1862" s="9" t="n">
        <v>1</v>
      </c>
      <c r="D1862" s="10" t="n">
        <v>0.85</v>
      </c>
      <c r="E1862" s="10" t="n">
        <f aca="false">C1862*D1862</f>
        <v>0.85</v>
      </c>
    </row>
    <row r="1863" customFormat="false" ht="15" hidden="false" customHeight="false" outlineLevel="0" collapsed="false">
      <c r="A1863" s="9" t="s">
        <v>892</v>
      </c>
      <c r="B1863" s="9" t="s">
        <v>427</v>
      </c>
      <c r="C1863" s="9" t="n">
        <v>8</v>
      </c>
      <c r="D1863" s="10" t="n">
        <v>0.85</v>
      </c>
      <c r="E1863" s="10" t="n">
        <f aca="false">C1863*D1863</f>
        <v>6.8</v>
      </c>
    </row>
    <row r="1864" customFormat="false" ht="15" hidden="false" customHeight="false" outlineLevel="0" collapsed="false">
      <c r="A1864" s="9" t="s">
        <v>892</v>
      </c>
      <c r="B1864" s="9" t="s">
        <v>480</v>
      </c>
      <c r="C1864" s="9" t="n">
        <v>5</v>
      </c>
      <c r="D1864" s="10" t="n">
        <v>0.85</v>
      </c>
      <c r="E1864" s="10" t="n">
        <f aca="false">C1864*D1864</f>
        <v>4.25</v>
      </c>
    </row>
    <row r="1865" customFormat="false" ht="15" hidden="false" customHeight="false" outlineLevel="0" collapsed="false">
      <c r="A1865" s="9" t="s">
        <v>892</v>
      </c>
      <c r="B1865" s="9" t="s">
        <v>1141</v>
      </c>
      <c r="C1865" s="9" t="n">
        <v>1</v>
      </c>
      <c r="D1865" s="10" t="n">
        <v>4.21</v>
      </c>
      <c r="E1865" s="10" t="n">
        <f aca="false">C1865*D1865</f>
        <v>4.21</v>
      </c>
    </row>
    <row r="1866" customFormat="false" ht="15" hidden="false" customHeight="false" outlineLevel="0" collapsed="false">
      <c r="A1866" s="9" t="s">
        <v>892</v>
      </c>
      <c r="B1866" s="9" t="s">
        <v>1142</v>
      </c>
      <c r="C1866" s="9" t="n">
        <v>1</v>
      </c>
      <c r="D1866" s="10" t="n">
        <v>4.21</v>
      </c>
      <c r="E1866" s="10" t="n">
        <f aca="false">C1866*D1866</f>
        <v>4.21</v>
      </c>
    </row>
    <row r="1867" customFormat="false" ht="15" hidden="false" customHeight="false" outlineLevel="0" collapsed="false">
      <c r="A1867" s="9" t="s">
        <v>892</v>
      </c>
      <c r="B1867" s="9" t="s">
        <v>1143</v>
      </c>
      <c r="C1867" s="9" t="n">
        <v>1</v>
      </c>
      <c r="D1867" s="10" t="n">
        <v>4.21</v>
      </c>
      <c r="E1867" s="10" t="n">
        <f aca="false">C1867*D1867</f>
        <v>4.21</v>
      </c>
    </row>
    <row r="1868" customFormat="false" ht="15" hidden="false" customHeight="false" outlineLevel="0" collapsed="false">
      <c r="A1868" s="9" t="s">
        <v>892</v>
      </c>
      <c r="B1868" s="9" t="s">
        <v>1144</v>
      </c>
      <c r="C1868" s="9" t="n">
        <v>2</v>
      </c>
      <c r="D1868" s="10" t="n">
        <v>8.47</v>
      </c>
      <c r="E1868" s="10" t="n">
        <f aca="false">C1868*D1868</f>
        <v>16.94</v>
      </c>
    </row>
    <row r="1869" customFormat="false" ht="15" hidden="false" customHeight="false" outlineLevel="0" collapsed="false">
      <c r="A1869" s="9" t="s">
        <v>892</v>
      </c>
      <c r="B1869" s="9" t="s">
        <v>806</v>
      </c>
      <c r="C1869" s="9" t="n">
        <v>2</v>
      </c>
      <c r="D1869" s="10" t="n">
        <v>2.51</v>
      </c>
      <c r="E1869" s="10" t="n">
        <f aca="false">C1869*D1869</f>
        <v>5.02</v>
      </c>
    </row>
    <row r="1870" customFormat="false" ht="15" hidden="false" customHeight="false" outlineLevel="0" collapsed="false">
      <c r="A1870" s="9" t="s">
        <v>892</v>
      </c>
      <c r="B1870" s="9" t="s">
        <v>816</v>
      </c>
      <c r="C1870" s="9" t="n">
        <v>1</v>
      </c>
      <c r="D1870" s="10" t="n">
        <v>0.85</v>
      </c>
      <c r="E1870" s="10" t="n">
        <f aca="false">C1870*D1870</f>
        <v>0.85</v>
      </c>
    </row>
    <row r="1871" customFormat="false" ht="15" hidden="false" customHeight="false" outlineLevel="0" collapsed="false">
      <c r="A1871" s="9" t="s">
        <v>892</v>
      </c>
      <c r="B1871" s="9" t="s">
        <v>760</v>
      </c>
      <c r="C1871" s="9" t="n">
        <v>1</v>
      </c>
      <c r="D1871" s="10" t="n">
        <v>20.38</v>
      </c>
      <c r="E1871" s="10" t="n">
        <f aca="false">C1871*D1871</f>
        <v>20.38</v>
      </c>
    </row>
    <row r="1872" customFormat="false" ht="15" hidden="false" customHeight="false" outlineLevel="0" collapsed="false">
      <c r="A1872" s="9" t="s">
        <v>892</v>
      </c>
      <c r="B1872" s="9" t="s">
        <v>1145</v>
      </c>
      <c r="C1872" s="9" t="n">
        <v>1</v>
      </c>
      <c r="D1872" s="10" t="n">
        <v>2.51</v>
      </c>
      <c r="E1872" s="10" t="n">
        <f aca="false">C1872*D1872</f>
        <v>2.51</v>
      </c>
    </row>
    <row r="1873" customFormat="false" ht="15" hidden="false" customHeight="false" outlineLevel="0" collapsed="false">
      <c r="A1873" s="9" t="s">
        <v>892</v>
      </c>
      <c r="B1873" s="9" t="s">
        <v>1146</v>
      </c>
      <c r="C1873" s="9" t="n">
        <v>1</v>
      </c>
      <c r="D1873" s="10" t="n">
        <v>2.51</v>
      </c>
      <c r="E1873" s="10" t="n">
        <f aca="false">C1873*D1873</f>
        <v>2.51</v>
      </c>
    </row>
    <row r="1874" customFormat="false" ht="15" hidden="false" customHeight="false" outlineLevel="0" collapsed="false">
      <c r="A1874" s="9" t="s">
        <v>892</v>
      </c>
      <c r="B1874" s="9" t="s">
        <v>1147</v>
      </c>
      <c r="C1874" s="9" t="n">
        <v>2</v>
      </c>
      <c r="D1874" s="10" t="n">
        <v>2.51</v>
      </c>
      <c r="E1874" s="10" t="n">
        <f aca="false">C1874*D1874</f>
        <v>5.02</v>
      </c>
    </row>
    <row r="1875" customFormat="false" ht="15" hidden="false" customHeight="false" outlineLevel="0" collapsed="false">
      <c r="A1875" s="9" t="s">
        <v>892</v>
      </c>
      <c r="B1875" s="9" t="s">
        <v>1148</v>
      </c>
      <c r="C1875" s="9" t="n">
        <v>1</v>
      </c>
      <c r="D1875" s="10" t="n">
        <v>11.02</v>
      </c>
      <c r="E1875" s="10" t="n">
        <f aca="false">C1875*D1875</f>
        <v>11.02</v>
      </c>
    </row>
    <row r="1876" customFormat="false" ht="15" hidden="false" customHeight="false" outlineLevel="0" collapsed="false">
      <c r="A1876" s="9" t="s">
        <v>892</v>
      </c>
      <c r="B1876" s="9" t="s">
        <v>1149</v>
      </c>
      <c r="C1876" s="9" t="n">
        <v>1</v>
      </c>
      <c r="D1876" s="10" t="n">
        <v>11.02</v>
      </c>
      <c r="E1876" s="10" t="n">
        <f aca="false">C1876*D1876</f>
        <v>11.02</v>
      </c>
    </row>
    <row r="1877" customFormat="false" ht="15" hidden="false" customHeight="false" outlineLevel="0" collapsed="false">
      <c r="A1877" s="9" t="s">
        <v>892</v>
      </c>
      <c r="B1877" s="9" t="s">
        <v>185</v>
      </c>
      <c r="C1877" s="9" t="n">
        <v>1</v>
      </c>
      <c r="D1877" s="10" t="n">
        <v>5.91</v>
      </c>
      <c r="E1877" s="10" t="n">
        <f aca="false">C1877*D1877</f>
        <v>5.91</v>
      </c>
    </row>
    <row r="1878" customFormat="false" ht="15" hidden="false" customHeight="false" outlineLevel="0" collapsed="false">
      <c r="A1878" s="9" t="s">
        <v>892</v>
      </c>
      <c r="B1878" s="9" t="s">
        <v>179</v>
      </c>
      <c r="C1878" s="9" t="n">
        <v>8</v>
      </c>
      <c r="D1878" s="10" t="n">
        <v>3.36</v>
      </c>
      <c r="E1878" s="10" t="n">
        <f aca="false">C1878*D1878</f>
        <v>26.88</v>
      </c>
    </row>
    <row r="1879" customFormat="false" ht="15" hidden="false" customHeight="false" outlineLevel="0" collapsed="false">
      <c r="A1879" s="9" t="s">
        <v>892</v>
      </c>
      <c r="B1879" s="9" t="s">
        <v>180</v>
      </c>
      <c r="C1879" s="9" t="n">
        <v>6</v>
      </c>
      <c r="D1879" s="10" t="n">
        <v>5.91</v>
      </c>
      <c r="E1879" s="10" t="n">
        <f aca="false">C1879*D1879</f>
        <v>35.46</v>
      </c>
    </row>
    <row r="1880" customFormat="false" ht="15" hidden="false" customHeight="false" outlineLevel="0" collapsed="false">
      <c r="A1880" s="9" t="s">
        <v>892</v>
      </c>
      <c r="B1880" s="9" t="s">
        <v>313</v>
      </c>
      <c r="C1880" s="9" t="n">
        <v>2</v>
      </c>
      <c r="D1880" s="10" t="n">
        <v>6.77</v>
      </c>
      <c r="E1880" s="10" t="n">
        <f aca="false">C1880*D1880</f>
        <v>13.54</v>
      </c>
    </row>
    <row r="1881" customFormat="false" ht="15" hidden="false" customHeight="false" outlineLevel="0" collapsed="false">
      <c r="A1881" s="9" t="s">
        <v>892</v>
      </c>
      <c r="B1881" s="9" t="s">
        <v>812</v>
      </c>
      <c r="C1881" s="9" t="n">
        <v>1</v>
      </c>
      <c r="D1881" s="10" t="n">
        <v>2.51</v>
      </c>
      <c r="E1881" s="10" t="n">
        <f aca="false">C1881*D1881</f>
        <v>2.51</v>
      </c>
    </row>
    <row r="1882" customFormat="false" ht="15" hidden="false" customHeight="false" outlineLevel="0" collapsed="false">
      <c r="A1882" s="9" t="s">
        <v>892</v>
      </c>
      <c r="B1882" s="9" t="s">
        <v>1150</v>
      </c>
      <c r="C1882" s="9" t="n">
        <v>1</v>
      </c>
      <c r="D1882" s="10" t="n">
        <v>1.66</v>
      </c>
      <c r="E1882" s="10" t="n">
        <f aca="false">C1882*D1882</f>
        <v>1.66</v>
      </c>
    </row>
    <row r="1883" customFormat="false" ht="15" hidden="false" customHeight="false" outlineLevel="0" collapsed="false">
      <c r="A1883" s="9" t="s">
        <v>892</v>
      </c>
      <c r="B1883" s="9" t="s">
        <v>1151</v>
      </c>
      <c r="C1883" s="9" t="n">
        <v>1</v>
      </c>
      <c r="D1883" s="10" t="n">
        <v>4.21</v>
      </c>
      <c r="E1883" s="10" t="n">
        <f aca="false">C1883*D1883</f>
        <v>4.21</v>
      </c>
    </row>
    <row r="1884" customFormat="false" ht="15" hidden="false" customHeight="false" outlineLevel="0" collapsed="false">
      <c r="A1884" s="9" t="s">
        <v>892</v>
      </c>
      <c r="B1884" s="9" t="s">
        <v>1152</v>
      </c>
      <c r="C1884" s="9" t="n">
        <v>1</v>
      </c>
      <c r="D1884" s="10" t="n">
        <v>10.17</v>
      </c>
      <c r="E1884" s="10" t="n">
        <f aca="false">C1884*D1884</f>
        <v>10.17</v>
      </c>
    </row>
    <row r="1885" customFormat="false" ht="15" hidden="false" customHeight="false" outlineLevel="0" collapsed="false">
      <c r="A1885" s="9" t="s">
        <v>892</v>
      </c>
      <c r="B1885" s="9" t="s">
        <v>613</v>
      </c>
      <c r="C1885" s="9" t="n">
        <v>40</v>
      </c>
      <c r="D1885" s="10" t="n">
        <v>12.72</v>
      </c>
      <c r="E1885" s="10" t="n">
        <f aca="false">C1885*D1885</f>
        <v>508.8</v>
      </c>
    </row>
    <row r="1886" customFormat="false" ht="15" hidden="false" customHeight="false" outlineLevel="0" collapsed="false">
      <c r="A1886" s="9" t="s">
        <v>892</v>
      </c>
      <c r="B1886" s="9" t="s">
        <v>802</v>
      </c>
      <c r="C1886" s="9" t="n">
        <v>2</v>
      </c>
      <c r="D1886" s="10" t="n">
        <v>5.91</v>
      </c>
      <c r="E1886" s="10" t="n">
        <f aca="false">C1886*D1886</f>
        <v>11.82</v>
      </c>
    </row>
    <row r="1887" customFormat="false" ht="15" hidden="false" customHeight="false" outlineLevel="0" collapsed="false">
      <c r="A1887" s="9" t="s">
        <v>892</v>
      </c>
      <c r="B1887" s="9" t="s">
        <v>379</v>
      </c>
      <c r="C1887" s="9" t="n">
        <v>1</v>
      </c>
      <c r="D1887" s="10" t="n">
        <v>3.36</v>
      </c>
      <c r="E1887" s="10" t="n">
        <f aca="false">C1887*D1887</f>
        <v>3.36</v>
      </c>
    </row>
    <row r="1888" customFormat="false" ht="15" hidden="false" customHeight="false" outlineLevel="0" collapsed="false">
      <c r="A1888" s="9" t="s">
        <v>892</v>
      </c>
      <c r="B1888" s="9" t="s">
        <v>810</v>
      </c>
      <c r="C1888" s="9" t="n">
        <v>1</v>
      </c>
      <c r="D1888" s="10" t="n">
        <v>3.36</v>
      </c>
      <c r="E1888" s="10" t="n">
        <f aca="false">C1888*D1888</f>
        <v>3.36</v>
      </c>
    </row>
    <row r="1889" customFormat="false" ht="15" hidden="false" customHeight="false" outlineLevel="0" collapsed="false">
      <c r="A1889" s="9" t="s">
        <v>892</v>
      </c>
      <c r="B1889" s="9" t="s">
        <v>808</v>
      </c>
      <c r="C1889" s="9" t="n">
        <v>4</v>
      </c>
      <c r="D1889" s="10" t="n">
        <v>0.85</v>
      </c>
      <c r="E1889" s="10" t="n">
        <f aca="false">C1889*D1889</f>
        <v>3.4</v>
      </c>
    </row>
    <row r="1890" customFormat="false" ht="15" hidden="false" customHeight="false" outlineLevel="0" collapsed="false">
      <c r="A1890" s="9" t="s">
        <v>892</v>
      </c>
      <c r="B1890" s="9" t="s">
        <v>1153</v>
      </c>
      <c r="C1890" s="9" t="n">
        <v>1</v>
      </c>
      <c r="D1890" s="10" t="n">
        <v>2.51</v>
      </c>
      <c r="E1890" s="10" t="n">
        <f aca="false">C1890*D1890</f>
        <v>2.51</v>
      </c>
    </row>
    <row r="1891" customFormat="false" ht="15" hidden="false" customHeight="false" outlineLevel="0" collapsed="false">
      <c r="A1891" s="9" t="s">
        <v>892</v>
      </c>
      <c r="B1891" s="9" t="s">
        <v>418</v>
      </c>
      <c r="C1891" s="9" t="n">
        <v>4</v>
      </c>
      <c r="D1891" s="10" t="n">
        <v>4.21</v>
      </c>
      <c r="E1891" s="10" t="n">
        <f aca="false">C1891*D1891</f>
        <v>16.84</v>
      </c>
    </row>
    <row r="1892" customFormat="false" ht="15" hidden="false" customHeight="false" outlineLevel="0" collapsed="false">
      <c r="A1892" s="9" t="s">
        <v>892</v>
      </c>
      <c r="B1892" s="9" t="s">
        <v>188</v>
      </c>
      <c r="C1892" s="9" t="n">
        <v>2</v>
      </c>
      <c r="D1892" s="10" t="n">
        <v>4.21</v>
      </c>
      <c r="E1892" s="10" t="n">
        <f aca="false">C1892*D1892</f>
        <v>8.42</v>
      </c>
    </row>
    <row r="1893" customFormat="false" ht="15" hidden="false" customHeight="false" outlineLevel="0" collapsed="false">
      <c r="A1893" s="9" t="s">
        <v>892</v>
      </c>
      <c r="B1893" s="9" t="s">
        <v>224</v>
      </c>
      <c r="C1893" s="9" t="n">
        <v>1</v>
      </c>
      <c r="D1893" s="10" t="n">
        <v>11.87</v>
      </c>
      <c r="E1893" s="10" t="n">
        <f aca="false">C1893*D1893</f>
        <v>11.87</v>
      </c>
    </row>
    <row r="1894" customFormat="false" ht="15" hidden="false" customHeight="false" outlineLevel="0" collapsed="false">
      <c r="A1894" s="9" t="s">
        <v>892</v>
      </c>
      <c r="B1894" s="9" t="s">
        <v>632</v>
      </c>
      <c r="C1894" s="9" t="n">
        <v>3</v>
      </c>
      <c r="D1894" s="10" t="n">
        <v>1.66</v>
      </c>
      <c r="E1894" s="10" t="n">
        <f aca="false">C1894*D1894</f>
        <v>4.98</v>
      </c>
    </row>
    <row r="1895" customFormat="false" ht="15" hidden="false" customHeight="false" outlineLevel="0" collapsed="false">
      <c r="A1895" s="9" t="s">
        <v>892</v>
      </c>
      <c r="B1895" s="9" t="s">
        <v>137</v>
      </c>
      <c r="C1895" s="9" t="n">
        <v>1</v>
      </c>
      <c r="D1895" s="10" t="n">
        <v>3.36</v>
      </c>
      <c r="E1895" s="10" t="n">
        <f aca="false">C1895*D1895</f>
        <v>3.36</v>
      </c>
    </row>
    <row r="1896" customFormat="false" ht="15" hidden="false" customHeight="false" outlineLevel="0" collapsed="false">
      <c r="A1896" s="9" t="s">
        <v>892</v>
      </c>
      <c r="B1896" s="9" t="s">
        <v>529</v>
      </c>
      <c r="C1896" s="9" t="n">
        <v>1</v>
      </c>
      <c r="D1896" s="10" t="n">
        <v>3.36</v>
      </c>
      <c r="E1896" s="10" t="n">
        <f aca="false">C1896*D1896</f>
        <v>3.36</v>
      </c>
    </row>
    <row r="1897" customFormat="false" ht="15" hidden="false" customHeight="false" outlineLevel="0" collapsed="false">
      <c r="A1897" s="9" t="s">
        <v>892</v>
      </c>
      <c r="B1897" s="9" t="s">
        <v>131</v>
      </c>
      <c r="C1897" s="9" t="n">
        <v>1</v>
      </c>
      <c r="D1897" s="10" t="n">
        <v>3.36</v>
      </c>
      <c r="E1897" s="10" t="n">
        <f aca="false">C1897*D1897</f>
        <v>3.36</v>
      </c>
    </row>
    <row r="1898" customFormat="false" ht="15" hidden="false" customHeight="false" outlineLevel="0" collapsed="false">
      <c r="A1898" s="9" t="s">
        <v>892</v>
      </c>
      <c r="B1898" s="9" t="s">
        <v>1154</v>
      </c>
      <c r="C1898" s="9" t="n">
        <v>1</v>
      </c>
      <c r="D1898" s="10" t="n">
        <v>5.06</v>
      </c>
      <c r="E1898" s="10" t="n">
        <f aca="false">C1898*D1898</f>
        <v>5.06</v>
      </c>
    </row>
    <row r="1899" customFormat="false" ht="15" hidden="false" customHeight="false" outlineLevel="0" collapsed="false">
      <c r="A1899" s="9" t="s">
        <v>892</v>
      </c>
      <c r="B1899" s="9" t="s">
        <v>754</v>
      </c>
      <c r="C1899" s="9" t="n">
        <v>1</v>
      </c>
      <c r="D1899" s="10" t="n">
        <v>20.38</v>
      </c>
      <c r="E1899" s="10" t="n">
        <f aca="false">C1899*D1899</f>
        <v>20.38</v>
      </c>
    </row>
    <row r="1900" customFormat="false" ht="15" hidden="false" customHeight="false" outlineLevel="0" collapsed="false">
      <c r="A1900" s="9" t="s">
        <v>892</v>
      </c>
      <c r="B1900" s="9" t="s">
        <v>250</v>
      </c>
      <c r="C1900" s="9" t="n">
        <v>4</v>
      </c>
      <c r="D1900" s="10" t="n">
        <v>2.51</v>
      </c>
      <c r="E1900" s="10" t="n">
        <f aca="false">C1900*D1900</f>
        <v>10.04</v>
      </c>
    </row>
    <row r="1901" customFormat="false" ht="15" hidden="false" customHeight="false" outlineLevel="0" collapsed="false">
      <c r="A1901" s="9" t="s">
        <v>892</v>
      </c>
      <c r="B1901" s="9" t="s">
        <v>76</v>
      </c>
      <c r="C1901" s="9" t="n">
        <v>1</v>
      </c>
      <c r="D1901" s="10" t="n">
        <v>4.21</v>
      </c>
      <c r="E1901" s="10" t="n">
        <f aca="false">C1901*D1901</f>
        <v>4.21</v>
      </c>
    </row>
    <row r="1902" customFormat="false" ht="15" hidden="false" customHeight="false" outlineLevel="0" collapsed="false">
      <c r="A1902" s="9" t="s">
        <v>892</v>
      </c>
      <c r="B1902" s="9" t="s">
        <v>733</v>
      </c>
      <c r="C1902" s="9" t="n">
        <v>2</v>
      </c>
      <c r="D1902" s="10" t="n">
        <v>16.98</v>
      </c>
      <c r="E1902" s="10" t="n">
        <f aca="false">C1902*D1902</f>
        <v>33.96</v>
      </c>
    </row>
    <row r="1903" customFormat="false" ht="15" hidden="false" customHeight="false" outlineLevel="0" collapsed="false">
      <c r="A1903" s="9" t="s">
        <v>892</v>
      </c>
      <c r="B1903" s="9" t="s">
        <v>377</v>
      </c>
      <c r="C1903" s="9" t="n">
        <v>7</v>
      </c>
      <c r="D1903" s="10" t="n">
        <v>2.51</v>
      </c>
      <c r="E1903" s="10" t="n">
        <f aca="false">C1903*D1903</f>
        <v>17.57</v>
      </c>
    </row>
    <row r="1904" customFormat="false" ht="15" hidden="false" customHeight="false" outlineLevel="0" collapsed="false">
      <c r="A1904" s="9" t="s">
        <v>892</v>
      </c>
      <c r="B1904" s="9" t="s">
        <v>498</v>
      </c>
      <c r="C1904" s="9" t="n">
        <v>3</v>
      </c>
      <c r="D1904" s="10" t="n">
        <v>0.85</v>
      </c>
      <c r="E1904" s="10" t="n">
        <f aca="false">C1904*D1904</f>
        <v>2.55</v>
      </c>
    </row>
    <row r="1905" customFormat="false" ht="15" hidden="false" customHeight="false" outlineLevel="0" collapsed="false">
      <c r="A1905" s="9" t="s">
        <v>892</v>
      </c>
      <c r="B1905" s="9" t="s">
        <v>807</v>
      </c>
      <c r="C1905" s="9" t="n">
        <v>1</v>
      </c>
      <c r="D1905" s="10" t="n">
        <v>0.85</v>
      </c>
      <c r="E1905" s="10" t="n">
        <f aca="false">C1905*D1905</f>
        <v>0.85</v>
      </c>
    </row>
    <row r="1906" customFormat="false" ht="15" hidden="false" customHeight="false" outlineLevel="0" collapsed="false">
      <c r="A1906" s="9" t="s">
        <v>892</v>
      </c>
      <c r="B1906" s="9" t="s">
        <v>46</v>
      </c>
      <c r="C1906" s="9" t="n">
        <v>1</v>
      </c>
      <c r="D1906" s="10" t="n">
        <v>4.21</v>
      </c>
      <c r="E1906" s="10" t="n">
        <f aca="false">C1906*D1906</f>
        <v>4.21</v>
      </c>
    </row>
    <row r="1907" customFormat="false" ht="15" hidden="false" customHeight="false" outlineLevel="0" collapsed="false">
      <c r="A1907" s="9" t="s">
        <v>892</v>
      </c>
      <c r="B1907" s="9" t="s">
        <v>590</v>
      </c>
      <c r="C1907" s="9" t="n">
        <v>4</v>
      </c>
      <c r="D1907" s="10" t="n">
        <v>1.66</v>
      </c>
      <c r="E1907" s="10" t="n">
        <f aca="false">C1907*D1907</f>
        <v>6.64</v>
      </c>
    </row>
    <row r="1908" customFormat="false" ht="15" hidden="false" customHeight="false" outlineLevel="0" collapsed="false">
      <c r="A1908" s="9" t="s">
        <v>892</v>
      </c>
      <c r="B1908" s="9" t="s">
        <v>850</v>
      </c>
      <c r="C1908" s="9" t="n">
        <v>2</v>
      </c>
      <c r="D1908" s="10" t="n">
        <v>1.66</v>
      </c>
      <c r="E1908" s="10" t="n">
        <f aca="false">C1908*D1908</f>
        <v>3.32</v>
      </c>
    </row>
    <row r="1909" customFormat="false" ht="15" hidden="false" customHeight="false" outlineLevel="0" collapsed="false">
      <c r="A1909" s="9" t="s">
        <v>892</v>
      </c>
      <c r="B1909" s="9" t="s">
        <v>851</v>
      </c>
      <c r="C1909" s="9" t="n">
        <v>1</v>
      </c>
      <c r="D1909" s="10" t="n">
        <v>1.66</v>
      </c>
      <c r="E1909" s="10" t="n">
        <f aca="false">C1909*D1909</f>
        <v>1.66</v>
      </c>
    </row>
    <row r="1910" customFormat="false" ht="15" hidden="false" customHeight="false" outlineLevel="0" collapsed="false">
      <c r="A1910" s="9" t="s">
        <v>892</v>
      </c>
      <c r="B1910" s="9" t="s">
        <v>445</v>
      </c>
      <c r="C1910" s="9" t="n">
        <v>1</v>
      </c>
      <c r="D1910" s="10" t="n">
        <v>7.62</v>
      </c>
      <c r="E1910" s="10" t="n">
        <f aca="false">C1910*D1910</f>
        <v>7.62</v>
      </c>
    </row>
    <row r="1911" customFormat="false" ht="15" hidden="false" customHeight="false" outlineLevel="0" collapsed="false">
      <c r="A1911" s="9" t="s">
        <v>892</v>
      </c>
      <c r="B1911" s="9" t="s">
        <v>501</v>
      </c>
      <c r="C1911" s="9" t="n">
        <v>1</v>
      </c>
      <c r="D1911" s="10" t="n">
        <v>1.66</v>
      </c>
      <c r="E1911" s="10" t="n">
        <f aca="false">C1911*D1911</f>
        <v>1.66</v>
      </c>
    </row>
    <row r="1912" customFormat="false" ht="15" hidden="false" customHeight="false" outlineLevel="0" collapsed="false">
      <c r="A1912" s="9" t="s">
        <v>892</v>
      </c>
      <c r="B1912" s="9" t="s">
        <v>1155</v>
      </c>
      <c r="C1912" s="9" t="n">
        <v>1</v>
      </c>
      <c r="D1912" s="10" t="n">
        <v>5.06</v>
      </c>
      <c r="E1912" s="10" t="n">
        <f aca="false">C1912*D1912</f>
        <v>5.06</v>
      </c>
    </row>
    <row r="1913" customFormat="false" ht="15" hidden="false" customHeight="false" outlineLevel="0" collapsed="false">
      <c r="A1913" s="9" t="s">
        <v>892</v>
      </c>
      <c r="B1913" s="9" t="s">
        <v>675</v>
      </c>
      <c r="C1913" s="9" t="n">
        <v>3</v>
      </c>
      <c r="D1913" s="10" t="n">
        <v>5.06</v>
      </c>
      <c r="E1913" s="10" t="n">
        <f aca="false">C1913*D1913</f>
        <v>15.18</v>
      </c>
    </row>
    <row r="1914" customFormat="false" ht="15" hidden="false" customHeight="false" outlineLevel="0" collapsed="false">
      <c r="A1914" s="9" t="s">
        <v>892</v>
      </c>
      <c r="B1914" s="9" t="s">
        <v>655</v>
      </c>
      <c r="C1914" s="9" t="n">
        <v>1</v>
      </c>
      <c r="D1914" s="10" t="n">
        <v>5.06</v>
      </c>
      <c r="E1914" s="10" t="n">
        <f aca="false">C1914*D1914</f>
        <v>5.06</v>
      </c>
    </row>
    <row r="1915" customFormat="false" ht="15" hidden="false" customHeight="false" outlineLevel="0" collapsed="false">
      <c r="A1915" s="9" t="s">
        <v>892</v>
      </c>
      <c r="B1915" s="9" t="s">
        <v>568</v>
      </c>
      <c r="C1915" s="9" t="n">
        <v>1</v>
      </c>
      <c r="D1915" s="10" t="n">
        <v>5.06</v>
      </c>
      <c r="E1915" s="10" t="n">
        <f aca="false">C1915*D1915</f>
        <v>5.06</v>
      </c>
    </row>
    <row r="1916" customFormat="false" ht="15" hidden="false" customHeight="false" outlineLevel="0" collapsed="false">
      <c r="A1916" s="9" t="s">
        <v>892</v>
      </c>
      <c r="B1916" s="9" t="s">
        <v>494</v>
      </c>
      <c r="C1916" s="9" t="n">
        <v>1</v>
      </c>
      <c r="D1916" s="10" t="n">
        <v>11.87</v>
      </c>
      <c r="E1916" s="10" t="n">
        <f aca="false">C1916*D1916</f>
        <v>11.87</v>
      </c>
    </row>
    <row r="1917" customFormat="false" ht="15" hidden="false" customHeight="false" outlineLevel="0" collapsed="false">
      <c r="A1917" s="9" t="s">
        <v>892</v>
      </c>
      <c r="B1917" s="9" t="s">
        <v>852</v>
      </c>
      <c r="C1917" s="9" t="n">
        <v>1</v>
      </c>
      <c r="D1917" s="10" t="n">
        <v>1.66</v>
      </c>
      <c r="E1917" s="10" t="n">
        <f aca="false">C1917*D1917</f>
        <v>1.66</v>
      </c>
    </row>
    <row r="1918" customFormat="false" ht="15" hidden="false" customHeight="false" outlineLevel="0" collapsed="false">
      <c r="A1918" s="9" t="s">
        <v>892</v>
      </c>
      <c r="B1918" s="9" t="s">
        <v>602</v>
      </c>
      <c r="C1918" s="9" t="n">
        <v>5</v>
      </c>
      <c r="D1918" s="10" t="n">
        <v>1.66</v>
      </c>
      <c r="E1918" s="10" t="n">
        <f aca="false">C1918*D1918</f>
        <v>8.3</v>
      </c>
    </row>
    <row r="1919" customFormat="false" ht="15" hidden="false" customHeight="false" outlineLevel="0" collapsed="false">
      <c r="A1919" s="9" t="s">
        <v>892</v>
      </c>
      <c r="B1919" s="9" t="s">
        <v>614</v>
      </c>
      <c r="C1919" s="9" t="n">
        <v>1</v>
      </c>
      <c r="D1919" s="10" t="n">
        <v>1.66</v>
      </c>
      <c r="E1919" s="10" t="n">
        <f aca="false">C1919*D1919</f>
        <v>1.66</v>
      </c>
    </row>
    <row r="1920" customFormat="false" ht="15" hidden="false" customHeight="false" outlineLevel="0" collapsed="false">
      <c r="A1920" s="9" t="s">
        <v>892</v>
      </c>
      <c r="B1920" s="9" t="s">
        <v>1156</v>
      </c>
      <c r="C1920" s="9" t="n">
        <v>1</v>
      </c>
      <c r="D1920" s="10" t="n">
        <v>25.49</v>
      </c>
      <c r="E1920" s="10" t="n">
        <f aca="false">C1920*D1920</f>
        <v>25.49</v>
      </c>
    </row>
    <row r="1921" customFormat="false" ht="15" hidden="false" customHeight="false" outlineLevel="0" collapsed="false">
      <c r="A1921" s="9" t="s">
        <v>1157</v>
      </c>
      <c r="B1921" s="9" t="s">
        <v>68</v>
      </c>
      <c r="C1921" s="9" t="n">
        <v>1</v>
      </c>
      <c r="D1921" s="10" t="n">
        <v>1.95</v>
      </c>
      <c r="E1921" s="10" t="n">
        <f aca="false">C1921*D1921</f>
        <v>1.95</v>
      </c>
    </row>
    <row r="1922" customFormat="false" ht="15" hidden="false" customHeight="false" outlineLevel="0" collapsed="false">
      <c r="A1922" s="9" t="s">
        <v>1157</v>
      </c>
      <c r="B1922" s="9" t="s">
        <v>703</v>
      </c>
      <c r="C1922" s="9" t="n">
        <v>2</v>
      </c>
      <c r="D1922" s="10" t="n">
        <v>1.25</v>
      </c>
      <c r="E1922" s="10" t="n">
        <f aca="false">C1922*D1922</f>
        <v>2.5</v>
      </c>
    </row>
    <row r="1923" customFormat="false" ht="15" hidden="false" customHeight="false" outlineLevel="0" collapsed="false">
      <c r="A1923" s="9" t="s">
        <v>1157</v>
      </c>
      <c r="B1923" s="9" t="s">
        <v>391</v>
      </c>
      <c r="C1923" s="9" t="n">
        <v>6</v>
      </c>
      <c r="D1923" s="10" t="n">
        <v>1.65</v>
      </c>
      <c r="E1923" s="10" t="n">
        <f aca="false">C1923*D1923</f>
        <v>9.9</v>
      </c>
    </row>
    <row r="1924" customFormat="false" ht="15" hidden="false" customHeight="false" outlineLevel="0" collapsed="false">
      <c r="A1924" s="9" t="s">
        <v>1157</v>
      </c>
      <c r="B1924" s="9" t="s">
        <v>1158</v>
      </c>
      <c r="C1924" s="9" t="n">
        <v>2</v>
      </c>
      <c r="D1924" s="10" t="n">
        <v>1.25</v>
      </c>
      <c r="E1924" s="10" t="n">
        <f aca="false">C1924*D1924</f>
        <v>2.5</v>
      </c>
    </row>
    <row r="1925" customFormat="false" ht="15" hidden="false" customHeight="false" outlineLevel="0" collapsed="false">
      <c r="A1925" s="9" t="s">
        <v>1157</v>
      </c>
      <c r="B1925" s="9" t="s">
        <v>189</v>
      </c>
      <c r="C1925" s="9" t="n">
        <v>4</v>
      </c>
      <c r="D1925" s="10" t="n">
        <v>1.95</v>
      </c>
      <c r="E1925" s="10" t="n">
        <f aca="false">C1925*D1925</f>
        <v>7.8</v>
      </c>
    </row>
    <row r="1926" customFormat="false" ht="15" hidden="false" customHeight="false" outlineLevel="0" collapsed="false">
      <c r="A1926" s="9" t="s">
        <v>1157</v>
      </c>
      <c r="B1926" s="9" t="s">
        <v>402</v>
      </c>
      <c r="C1926" s="9" t="n">
        <v>12</v>
      </c>
      <c r="D1926" s="10" t="n">
        <v>0.65</v>
      </c>
      <c r="E1926" s="10" t="n">
        <f aca="false">C1926*D1926</f>
        <v>7.8</v>
      </c>
    </row>
    <row r="1927" customFormat="false" ht="15" hidden="false" customHeight="false" outlineLevel="0" collapsed="false">
      <c r="A1927" s="9" t="s">
        <v>1157</v>
      </c>
      <c r="B1927" s="9" t="s">
        <v>468</v>
      </c>
      <c r="C1927" s="9" t="n">
        <v>3</v>
      </c>
      <c r="D1927" s="10" t="n">
        <v>0.42</v>
      </c>
      <c r="E1927" s="10" t="n">
        <f aca="false">C1927*D1927</f>
        <v>1.26</v>
      </c>
    </row>
    <row r="1928" customFormat="false" ht="15" hidden="false" customHeight="false" outlineLevel="0" collapsed="false">
      <c r="A1928" s="9" t="s">
        <v>1157</v>
      </c>
      <c r="B1928" s="9" t="s">
        <v>54</v>
      </c>
      <c r="C1928" s="9" t="n">
        <v>4</v>
      </c>
      <c r="D1928" s="10" t="n">
        <v>1.65</v>
      </c>
      <c r="E1928" s="10" t="n">
        <f aca="false">C1928*D1928</f>
        <v>6.6</v>
      </c>
    </row>
    <row r="1929" customFormat="false" ht="15" hidden="false" customHeight="false" outlineLevel="0" collapsed="false">
      <c r="A1929" s="9" t="s">
        <v>1157</v>
      </c>
      <c r="B1929" s="9" t="s">
        <v>272</v>
      </c>
      <c r="C1929" s="9" t="n">
        <v>1</v>
      </c>
      <c r="D1929" s="10" t="n">
        <v>4.95</v>
      </c>
      <c r="E1929" s="10" t="n">
        <f aca="false">C1929*D1929</f>
        <v>4.95</v>
      </c>
    </row>
    <row r="1930" customFormat="false" ht="15" hidden="false" customHeight="false" outlineLevel="0" collapsed="false">
      <c r="A1930" s="9" t="s">
        <v>1157</v>
      </c>
      <c r="B1930" s="9" t="s">
        <v>285</v>
      </c>
      <c r="C1930" s="9" t="n">
        <v>1</v>
      </c>
      <c r="D1930" s="10" t="n">
        <v>1.25</v>
      </c>
      <c r="E1930" s="10" t="n">
        <f aca="false">C1930*D1930</f>
        <v>1.25</v>
      </c>
    </row>
    <row r="1931" customFormat="false" ht="15" hidden="false" customHeight="false" outlineLevel="0" collapsed="false">
      <c r="A1931" s="9" t="s">
        <v>1157</v>
      </c>
      <c r="B1931" s="9" t="s">
        <v>76</v>
      </c>
      <c r="C1931" s="9" t="n">
        <v>1</v>
      </c>
      <c r="D1931" s="10" t="n">
        <v>1.95</v>
      </c>
      <c r="E1931" s="10" t="n">
        <f aca="false">C1931*D1931</f>
        <v>1.95</v>
      </c>
    </row>
    <row r="1932" customFormat="false" ht="15" hidden="false" customHeight="false" outlineLevel="0" collapsed="false">
      <c r="A1932" s="9" t="s">
        <v>1157</v>
      </c>
      <c r="B1932" s="9" t="s">
        <v>550</v>
      </c>
      <c r="C1932" s="9" t="n">
        <v>2</v>
      </c>
      <c r="D1932" s="10" t="n">
        <v>1.25</v>
      </c>
      <c r="E1932" s="10" t="n">
        <f aca="false">C1932*D1932</f>
        <v>2.5</v>
      </c>
    </row>
    <row r="1933" customFormat="false" ht="15" hidden="false" customHeight="false" outlineLevel="0" collapsed="false">
      <c r="A1933" s="9" t="s">
        <v>1157</v>
      </c>
      <c r="B1933" s="9" t="s">
        <v>1159</v>
      </c>
      <c r="C1933" s="9" t="n">
        <v>1</v>
      </c>
      <c r="D1933" s="10" t="n">
        <v>0.42</v>
      </c>
      <c r="E1933" s="10" t="n">
        <f aca="false">C1933*D1933</f>
        <v>0.42</v>
      </c>
    </row>
    <row r="1934" customFormat="false" ht="15" hidden="false" customHeight="false" outlineLevel="0" collapsed="false">
      <c r="A1934" s="9" t="s">
        <v>1157</v>
      </c>
      <c r="B1934" s="9" t="s">
        <v>633</v>
      </c>
      <c r="C1934" s="9" t="n">
        <v>12</v>
      </c>
      <c r="D1934" s="10" t="n">
        <v>0.42</v>
      </c>
      <c r="E1934" s="10" t="n">
        <f aca="false">C1934*D1934</f>
        <v>5.04</v>
      </c>
    </row>
    <row r="1935" customFormat="false" ht="15" hidden="false" customHeight="false" outlineLevel="0" collapsed="false">
      <c r="A1935" s="9" t="s">
        <v>1157</v>
      </c>
      <c r="B1935" s="9" t="s">
        <v>810</v>
      </c>
      <c r="C1935" s="9" t="n">
        <v>1</v>
      </c>
      <c r="D1935" s="10" t="n">
        <v>1.65</v>
      </c>
      <c r="E1935" s="10" t="n">
        <f aca="false">C1935*D1935</f>
        <v>1.65</v>
      </c>
    </row>
    <row r="1936" customFormat="false" ht="15" hidden="false" customHeight="false" outlineLevel="0" collapsed="false">
      <c r="A1936" s="9" t="s">
        <v>1157</v>
      </c>
      <c r="B1936" s="9" t="s">
        <v>733</v>
      </c>
      <c r="C1936" s="9" t="n">
        <v>1</v>
      </c>
      <c r="D1936" s="10" t="n">
        <v>8.5</v>
      </c>
      <c r="E1936" s="10" t="n">
        <f aca="false">C1936*D1936</f>
        <v>8.5</v>
      </c>
    </row>
    <row r="1937" customFormat="false" ht="15" hidden="false" customHeight="false" outlineLevel="0" collapsed="false">
      <c r="A1937" s="9" t="s">
        <v>1157</v>
      </c>
      <c r="B1937" s="9" t="s">
        <v>54</v>
      </c>
      <c r="C1937" s="9" t="n">
        <v>2</v>
      </c>
      <c r="D1937" s="10" t="n">
        <v>1.65</v>
      </c>
      <c r="E1937" s="10" t="n">
        <f aca="false">C1937*D1937</f>
        <v>3.3</v>
      </c>
    </row>
    <row r="1938" customFormat="false" ht="15" hidden="false" customHeight="false" outlineLevel="0" collapsed="false">
      <c r="A1938" s="9" t="s">
        <v>1157</v>
      </c>
      <c r="B1938" s="9" t="s">
        <v>475</v>
      </c>
      <c r="C1938" s="9" t="n">
        <v>1</v>
      </c>
      <c r="D1938" s="10" t="n">
        <v>1.65</v>
      </c>
      <c r="E1938" s="10" t="n">
        <f aca="false">C1938*D1938</f>
        <v>1.65</v>
      </c>
    </row>
    <row r="1939" customFormat="false" ht="15" hidden="false" customHeight="false" outlineLevel="0" collapsed="false">
      <c r="A1939" s="9" t="s">
        <v>1157</v>
      </c>
      <c r="B1939" s="9" t="s">
        <v>394</v>
      </c>
      <c r="C1939" s="9" t="n">
        <v>1</v>
      </c>
      <c r="D1939" s="10" t="n">
        <v>0.95</v>
      </c>
      <c r="E1939" s="10" t="n">
        <f aca="false">C1939*D1939</f>
        <v>0.95</v>
      </c>
    </row>
    <row r="1940" customFormat="false" ht="15" hidden="false" customHeight="false" outlineLevel="0" collapsed="false">
      <c r="A1940" s="9" t="s">
        <v>1157</v>
      </c>
      <c r="B1940" s="9" t="s">
        <v>226</v>
      </c>
      <c r="C1940" s="9" t="n">
        <v>2</v>
      </c>
      <c r="D1940" s="10" t="n">
        <v>0.85</v>
      </c>
      <c r="E1940" s="10" t="n">
        <f aca="false">C1940*D1940</f>
        <v>1.7</v>
      </c>
    </row>
    <row r="1941" customFormat="false" ht="15" hidden="false" customHeight="false" outlineLevel="0" collapsed="false">
      <c r="A1941" s="9" t="s">
        <v>1157</v>
      </c>
      <c r="B1941" s="9" t="s">
        <v>198</v>
      </c>
      <c r="C1941" s="9" t="n">
        <v>6</v>
      </c>
      <c r="D1941" s="10" t="n">
        <v>1.95</v>
      </c>
      <c r="E1941" s="10" t="n">
        <f aca="false">C1941*D1941</f>
        <v>11.7</v>
      </c>
    </row>
    <row r="1942" customFormat="false" ht="15" hidden="false" customHeight="false" outlineLevel="0" collapsed="false">
      <c r="A1942" s="9" t="s">
        <v>1157</v>
      </c>
      <c r="B1942" s="9" t="s">
        <v>271</v>
      </c>
      <c r="C1942" s="9" t="n">
        <v>2</v>
      </c>
      <c r="D1942" s="10" t="n">
        <v>4.65</v>
      </c>
      <c r="E1942" s="10" t="n">
        <f aca="false">C1942*D1942</f>
        <v>9.3</v>
      </c>
    </row>
    <row r="1943" customFormat="false" ht="15" hidden="false" customHeight="false" outlineLevel="0" collapsed="false">
      <c r="A1943" s="9" t="s">
        <v>1157</v>
      </c>
      <c r="B1943" s="9" t="s">
        <v>337</v>
      </c>
      <c r="C1943" s="9" t="n">
        <v>2</v>
      </c>
      <c r="D1943" s="10" t="n">
        <v>4.65</v>
      </c>
      <c r="E1943" s="10" t="n">
        <f aca="false">C1943*D1943</f>
        <v>9.3</v>
      </c>
    </row>
    <row r="1944" customFormat="false" ht="15" hidden="false" customHeight="false" outlineLevel="0" collapsed="false">
      <c r="A1944" s="9" t="s">
        <v>1157</v>
      </c>
      <c r="B1944" s="9" t="s">
        <v>363</v>
      </c>
      <c r="C1944" s="9" t="n">
        <v>3</v>
      </c>
      <c r="D1944" s="10" t="n">
        <v>2.95</v>
      </c>
      <c r="E1944" s="10" t="n">
        <f aca="false">C1944*D1944</f>
        <v>8.85</v>
      </c>
    </row>
    <row r="1945" customFormat="false" ht="15" hidden="false" customHeight="false" outlineLevel="0" collapsed="false">
      <c r="A1945" s="9" t="s">
        <v>1157</v>
      </c>
      <c r="B1945" s="9" t="s">
        <v>228</v>
      </c>
      <c r="C1945" s="9" t="n">
        <v>3</v>
      </c>
      <c r="D1945" s="10" t="n">
        <v>1.65</v>
      </c>
      <c r="E1945" s="10" t="n">
        <f aca="false">C1945*D1945</f>
        <v>4.95</v>
      </c>
    </row>
    <row r="1946" customFormat="false" ht="15" hidden="false" customHeight="false" outlineLevel="0" collapsed="false">
      <c r="A1946" s="9" t="s">
        <v>1157</v>
      </c>
      <c r="B1946" s="9" t="s">
        <v>270</v>
      </c>
      <c r="C1946" s="9" t="n">
        <v>1</v>
      </c>
      <c r="D1946" s="10" t="n">
        <v>4.95</v>
      </c>
      <c r="E1946" s="10" t="n">
        <f aca="false">C1946*D1946</f>
        <v>4.95</v>
      </c>
    </row>
    <row r="1947" customFormat="false" ht="15" hidden="false" customHeight="false" outlineLevel="0" collapsed="false">
      <c r="A1947" s="9" t="s">
        <v>1157</v>
      </c>
      <c r="B1947" s="9" t="s">
        <v>637</v>
      </c>
      <c r="C1947" s="9" t="n">
        <v>1</v>
      </c>
      <c r="D1947" s="10" t="n">
        <v>2.95</v>
      </c>
      <c r="E1947" s="10" t="n">
        <f aca="false">C1947*D1947</f>
        <v>2.95</v>
      </c>
    </row>
    <row r="1948" customFormat="false" ht="15" hidden="false" customHeight="false" outlineLevel="0" collapsed="false">
      <c r="A1948" s="9" t="s">
        <v>1157</v>
      </c>
      <c r="B1948" s="9" t="s">
        <v>285</v>
      </c>
      <c r="C1948" s="9" t="n">
        <v>2</v>
      </c>
      <c r="D1948" s="10" t="n">
        <v>1.25</v>
      </c>
      <c r="E1948" s="10" t="n">
        <f aca="false">C1948*D1948</f>
        <v>2.5</v>
      </c>
    </row>
    <row r="1949" customFormat="false" ht="15" hidden="false" customHeight="false" outlineLevel="0" collapsed="false">
      <c r="A1949" s="9" t="s">
        <v>1157</v>
      </c>
      <c r="B1949" s="9" t="s">
        <v>1160</v>
      </c>
      <c r="C1949" s="9" t="n">
        <v>2</v>
      </c>
      <c r="D1949" s="10" t="n">
        <v>0.42</v>
      </c>
      <c r="E1949" s="10" t="n">
        <f aca="false">C1949*D1949</f>
        <v>0.84</v>
      </c>
    </row>
    <row r="1950" customFormat="false" ht="15" hidden="false" customHeight="false" outlineLevel="0" collapsed="false">
      <c r="A1950" s="9" t="s">
        <v>1157</v>
      </c>
      <c r="B1950" s="9" t="s">
        <v>476</v>
      </c>
      <c r="C1950" s="9" t="n">
        <v>1</v>
      </c>
      <c r="D1950" s="10" t="n">
        <v>1.65</v>
      </c>
      <c r="E1950" s="10" t="n">
        <f aca="false">C1950*D1950</f>
        <v>1.65</v>
      </c>
    </row>
    <row r="1951" customFormat="false" ht="15" hidden="false" customHeight="false" outlineLevel="0" collapsed="false">
      <c r="A1951" s="9" t="s">
        <v>1157</v>
      </c>
      <c r="B1951" s="9" t="s">
        <v>72</v>
      </c>
      <c r="C1951" s="9" t="n">
        <v>1</v>
      </c>
      <c r="D1951" s="10" t="n">
        <v>2.95</v>
      </c>
      <c r="E1951" s="10" t="n">
        <f aca="false">C1951*D1951</f>
        <v>2.95</v>
      </c>
    </row>
    <row r="1952" customFormat="false" ht="15" hidden="false" customHeight="false" outlineLevel="0" collapsed="false">
      <c r="A1952" s="9" t="s">
        <v>1161</v>
      </c>
      <c r="B1952" s="9" t="s">
        <v>1162</v>
      </c>
      <c r="C1952" s="9" t="n">
        <v>1</v>
      </c>
      <c r="D1952" s="10" t="n">
        <v>2.55</v>
      </c>
      <c r="E1952" s="10" t="n">
        <f aca="false">C1952*D1952</f>
        <v>2.55</v>
      </c>
    </row>
    <row r="1953" customFormat="false" ht="15" hidden="false" customHeight="false" outlineLevel="0" collapsed="false">
      <c r="A1953" s="9" t="s">
        <v>1161</v>
      </c>
      <c r="B1953" s="9" t="s">
        <v>369</v>
      </c>
      <c r="C1953" s="9" t="n">
        <v>1</v>
      </c>
      <c r="D1953" s="10" t="n">
        <v>0.42</v>
      </c>
      <c r="E1953" s="10" t="n">
        <f aca="false">C1953*D1953</f>
        <v>0.42</v>
      </c>
    </row>
    <row r="1954" customFormat="false" ht="15" hidden="false" customHeight="false" outlineLevel="0" collapsed="false">
      <c r="A1954" s="9" t="s">
        <v>1163</v>
      </c>
      <c r="B1954" s="9" t="s">
        <v>826</v>
      </c>
      <c r="C1954" s="9" t="n">
        <v>1</v>
      </c>
      <c r="D1954" s="10" t="n">
        <v>10.95</v>
      </c>
      <c r="E1954" s="10" t="n">
        <f aca="false">C1954*D1954</f>
        <v>10.95</v>
      </c>
    </row>
    <row r="1955" customFormat="false" ht="15" hidden="false" customHeight="false" outlineLevel="0" collapsed="false">
      <c r="A1955" s="9" t="s">
        <v>1163</v>
      </c>
      <c r="B1955" s="9" t="s">
        <v>507</v>
      </c>
      <c r="C1955" s="9" t="n">
        <v>6</v>
      </c>
      <c r="D1955" s="10" t="n">
        <v>2.1</v>
      </c>
      <c r="E1955" s="10" t="n">
        <f aca="false">C1955*D1955</f>
        <v>12.6</v>
      </c>
    </row>
    <row r="1956" customFormat="false" ht="15" hidden="false" customHeight="false" outlineLevel="0" collapsed="false">
      <c r="A1956" s="9" t="s">
        <v>1163</v>
      </c>
      <c r="B1956" s="9" t="s">
        <v>305</v>
      </c>
      <c r="C1956" s="9" t="n">
        <v>2</v>
      </c>
      <c r="D1956" s="10" t="n">
        <v>7.95</v>
      </c>
      <c r="E1956" s="10" t="n">
        <f aca="false">C1956*D1956</f>
        <v>15.9</v>
      </c>
    </row>
    <row r="1957" customFormat="false" ht="15" hidden="false" customHeight="false" outlineLevel="0" collapsed="false">
      <c r="A1957" s="9" t="s">
        <v>1163</v>
      </c>
      <c r="B1957" s="9" t="s">
        <v>951</v>
      </c>
      <c r="C1957" s="9" t="n">
        <v>12</v>
      </c>
      <c r="D1957" s="10" t="n">
        <v>0.85</v>
      </c>
      <c r="E1957" s="10" t="n">
        <f aca="false">C1957*D1957</f>
        <v>10.2</v>
      </c>
    </row>
    <row r="1958" customFormat="false" ht="15" hidden="false" customHeight="false" outlineLevel="0" collapsed="false">
      <c r="A1958" s="9" t="s">
        <v>1163</v>
      </c>
      <c r="B1958" s="9" t="s">
        <v>1079</v>
      </c>
      <c r="C1958" s="9" t="n">
        <v>24</v>
      </c>
      <c r="D1958" s="10" t="n">
        <v>0.65</v>
      </c>
      <c r="E1958" s="10" t="n">
        <f aca="false">C1958*D1958</f>
        <v>15.6</v>
      </c>
    </row>
    <row r="1959" customFormat="false" ht="15" hidden="false" customHeight="false" outlineLevel="0" collapsed="false">
      <c r="A1959" s="9" t="s">
        <v>1163</v>
      </c>
      <c r="B1959" s="9" t="s">
        <v>1164</v>
      </c>
      <c r="C1959" s="9" t="n">
        <v>12</v>
      </c>
      <c r="D1959" s="10" t="n">
        <v>0.85</v>
      </c>
      <c r="E1959" s="10" t="n">
        <f aca="false">C1959*D1959</f>
        <v>10.2</v>
      </c>
    </row>
    <row r="1960" customFormat="false" ht="15" hidden="false" customHeight="false" outlineLevel="0" collapsed="false">
      <c r="A1960" s="9" t="s">
        <v>1163</v>
      </c>
      <c r="B1960" s="9" t="s">
        <v>1165</v>
      </c>
      <c r="C1960" s="9" t="n">
        <v>12</v>
      </c>
      <c r="D1960" s="10" t="n">
        <v>0.85</v>
      </c>
      <c r="E1960" s="10" t="n">
        <f aca="false">C1960*D1960</f>
        <v>10.2</v>
      </c>
    </row>
    <row r="1961" customFormat="false" ht="15" hidden="false" customHeight="false" outlineLevel="0" collapsed="false">
      <c r="A1961" s="9" t="s">
        <v>1163</v>
      </c>
      <c r="B1961" s="9" t="s">
        <v>1101</v>
      </c>
      <c r="C1961" s="9" t="n">
        <v>2</v>
      </c>
      <c r="D1961" s="10" t="n">
        <v>7.95</v>
      </c>
      <c r="E1961" s="10" t="n">
        <f aca="false">C1961*D1961</f>
        <v>15.9</v>
      </c>
    </row>
    <row r="1962" customFormat="false" ht="15" hidden="false" customHeight="false" outlineLevel="0" collapsed="false">
      <c r="A1962" s="9" t="s">
        <v>1166</v>
      </c>
      <c r="B1962" s="9" t="s">
        <v>1167</v>
      </c>
      <c r="C1962" s="9" t="n">
        <v>1</v>
      </c>
      <c r="D1962" s="10" t="n">
        <v>3.75</v>
      </c>
      <c r="E1962" s="10" t="n">
        <f aca="false">C1962*D1962</f>
        <v>3.75</v>
      </c>
    </row>
    <row r="1963" customFormat="false" ht="15" hidden="false" customHeight="false" outlineLevel="0" collapsed="false">
      <c r="A1963" s="9" t="s">
        <v>1166</v>
      </c>
      <c r="B1963" s="9" t="s">
        <v>184</v>
      </c>
      <c r="C1963" s="9" t="n">
        <v>1</v>
      </c>
      <c r="D1963" s="10" t="n">
        <v>6.45</v>
      </c>
      <c r="E1963" s="10" t="n">
        <f aca="false">C1963*D1963</f>
        <v>6.45</v>
      </c>
    </row>
    <row r="1964" customFormat="false" ht="15" hidden="false" customHeight="false" outlineLevel="0" collapsed="false">
      <c r="A1964" s="9" t="s">
        <v>1166</v>
      </c>
      <c r="B1964" s="9" t="s">
        <v>215</v>
      </c>
      <c r="C1964" s="9" t="n">
        <v>1</v>
      </c>
      <c r="D1964" s="10" t="n">
        <v>8.5</v>
      </c>
      <c r="E1964" s="10" t="n">
        <f aca="false">C1964*D1964</f>
        <v>8.5</v>
      </c>
    </row>
    <row r="1965" customFormat="false" ht="15" hidden="false" customHeight="false" outlineLevel="0" collapsed="false">
      <c r="A1965" s="9" t="s">
        <v>1166</v>
      </c>
      <c r="B1965" s="9" t="s">
        <v>560</v>
      </c>
      <c r="C1965" s="9" t="n">
        <v>4</v>
      </c>
      <c r="D1965" s="10" t="n">
        <v>5.95</v>
      </c>
      <c r="E1965" s="10" t="n">
        <f aca="false">C1965*D1965</f>
        <v>23.8</v>
      </c>
    </row>
    <row r="1966" customFormat="false" ht="15" hidden="false" customHeight="false" outlineLevel="0" collapsed="false">
      <c r="A1966" s="9" t="s">
        <v>1166</v>
      </c>
      <c r="B1966" s="9" t="s">
        <v>802</v>
      </c>
      <c r="C1966" s="9" t="n">
        <v>1</v>
      </c>
      <c r="D1966" s="10" t="n">
        <v>2.95</v>
      </c>
      <c r="E1966" s="10" t="n">
        <f aca="false">C1966*D1966</f>
        <v>2.95</v>
      </c>
    </row>
    <row r="1967" customFormat="false" ht="15" hidden="false" customHeight="false" outlineLevel="0" collapsed="false">
      <c r="A1967" s="9" t="s">
        <v>1166</v>
      </c>
      <c r="B1967" s="9" t="s">
        <v>797</v>
      </c>
      <c r="C1967" s="9" t="n">
        <v>1</v>
      </c>
      <c r="D1967" s="10" t="n">
        <v>2.95</v>
      </c>
      <c r="E1967" s="10" t="n">
        <f aca="false">C1967*D1967</f>
        <v>2.95</v>
      </c>
    </row>
    <row r="1968" customFormat="false" ht="15" hidden="false" customHeight="false" outlineLevel="0" collapsed="false">
      <c r="A1968" s="9" t="s">
        <v>1166</v>
      </c>
      <c r="B1968" s="9" t="s">
        <v>225</v>
      </c>
      <c r="C1968" s="9" t="n">
        <v>2</v>
      </c>
      <c r="D1968" s="10" t="n">
        <v>4.95</v>
      </c>
      <c r="E1968" s="10" t="n">
        <f aca="false">C1968*D1968</f>
        <v>9.9</v>
      </c>
    </row>
    <row r="1969" customFormat="false" ht="15" hidden="false" customHeight="false" outlineLevel="0" collapsed="false">
      <c r="A1969" s="9" t="s">
        <v>1166</v>
      </c>
      <c r="B1969" s="9" t="s">
        <v>271</v>
      </c>
      <c r="C1969" s="9" t="n">
        <v>1</v>
      </c>
      <c r="D1969" s="10" t="n">
        <v>4.65</v>
      </c>
      <c r="E1969" s="10" t="n">
        <f aca="false">C1969*D1969</f>
        <v>4.65</v>
      </c>
    </row>
    <row r="1970" customFormat="false" ht="15" hidden="false" customHeight="false" outlineLevel="0" collapsed="false">
      <c r="A1970" s="9" t="s">
        <v>1166</v>
      </c>
      <c r="B1970" s="9" t="s">
        <v>270</v>
      </c>
      <c r="C1970" s="9" t="n">
        <v>2</v>
      </c>
      <c r="D1970" s="10" t="n">
        <v>4.95</v>
      </c>
      <c r="E1970" s="10" t="n">
        <f aca="false">C1970*D1970</f>
        <v>9.9</v>
      </c>
    </row>
    <row r="1971" customFormat="false" ht="15" hidden="false" customHeight="false" outlineLevel="0" collapsed="false">
      <c r="A1971" s="9" t="s">
        <v>1166</v>
      </c>
      <c r="B1971" s="9" t="s">
        <v>269</v>
      </c>
      <c r="C1971" s="9" t="n">
        <v>5</v>
      </c>
      <c r="D1971" s="10" t="n">
        <v>3.75</v>
      </c>
      <c r="E1971" s="10" t="n">
        <f aca="false">C1971*D1971</f>
        <v>18.75</v>
      </c>
    </row>
    <row r="1972" customFormat="false" ht="15" hidden="false" customHeight="false" outlineLevel="0" collapsed="false">
      <c r="A1972" s="9" t="s">
        <v>1166</v>
      </c>
      <c r="B1972" s="9" t="s">
        <v>337</v>
      </c>
      <c r="C1972" s="9" t="n">
        <v>5</v>
      </c>
      <c r="D1972" s="10" t="n">
        <v>4.65</v>
      </c>
      <c r="E1972" s="10" t="n">
        <f aca="false">C1972*D1972</f>
        <v>23.25</v>
      </c>
    </row>
    <row r="1973" customFormat="false" ht="15" hidden="false" customHeight="false" outlineLevel="0" collapsed="false">
      <c r="A1973" s="9" t="s">
        <v>1166</v>
      </c>
      <c r="B1973" s="9" t="s">
        <v>40</v>
      </c>
      <c r="C1973" s="9" t="n">
        <v>2</v>
      </c>
      <c r="D1973" s="10" t="n">
        <v>3.75</v>
      </c>
      <c r="E1973" s="10" t="n">
        <f aca="false">C1973*D1973</f>
        <v>7.5</v>
      </c>
    </row>
    <row r="1974" customFormat="false" ht="15" hidden="false" customHeight="false" outlineLevel="0" collapsed="false">
      <c r="A1974" s="9" t="s">
        <v>1166</v>
      </c>
      <c r="B1974" s="9" t="s">
        <v>272</v>
      </c>
      <c r="C1974" s="9" t="n">
        <v>7</v>
      </c>
      <c r="D1974" s="10" t="n">
        <v>4.95</v>
      </c>
      <c r="E1974" s="10" t="n">
        <f aca="false">C1974*D1974</f>
        <v>34.65</v>
      </c>
    </row>
    <row r="1975" customFormat="false" ht="15" hidden="false" customHeight="false" outlineLevel="0" collapsed="false">
      <c r="A1975" s="9" t="s">
        <v>1166</v>
      </c>
      <c r="B1975" s="9" t="s">
        <v>1168</v>
      </c>
      <c r="C1975" s="9" t="n">
        <v>1</v>
      </c>
      <c r="D1975" s="10" t="n">
        <v>4.95</v>
      </c>
      <c r="E1975" s="10" t="n">
        <f aca="false">C1975*D1975</f>
        <v>4.95</v>
      </c>
    </row>
    <row r="1976" customFormat="false" ht="15" hidden="false" customHeight="false" outlineLevel="0" collapsed="false">
      <c r="A1976" s="9" t="s">
        <v>1166</v>
      </c>
      <c r="B1976" s="9" t="s">
        <v>185</v>
      </c>
      <c r="C1976" s="9" t="n">
        <v>2</v>
      </c>
      <c r="D1976" s="10" t="n">
        <v>2.95</v>
      </c>
      <c r="E1976" s="10" t="n">
        <f aca="false">C1976*D1976</f>
        <v>5.9</v>
      </c>
    </row>
    <row r="1977" customFormat="false" ht="15" hidden="false" customHeight="false" outlineLevel="0" collapsed="false">
      <c r="A1977" s="9" t="s">
        <v>1166</v>
      </c>
      <c r="B1977" s="9" t="s">
        <v>1169</v>
      </c>
      <c r="C1977" s="9" t="n">
        <v>2</v>
      </c>
      <c r="D1977" s="10" t="n">
        <v>2.1</v>
      </c>
      <c r="E1977" s="10" t="n">
        <f aca="false">C1977*D1977</f>
        <v>4.2</v>
      </c>
    </row>
    <row r="1978" customFormat="false" ht="15" hidden="false" customHeight="false" outlineLevel="0" collapsed="false">
      <c r="A1978" s="9" t="s">
        <v>1166</v>
      </c>
      <c r="B1978" s="9" t="s">
        <v>313</v>
      </c>
      <c r="C1978" s="9" t="n">
        <v>3</v>
      </c>
      <c r="D1978" s="10" t="n">
        <v>3.35</v>
      </c>
      <c r="E1978" s="10" t="n">
        <f aca="false">C1978*D1978</f>
        <v>10.05</v>
      </c>
    </row>
    <row r="1979" customFormat="false" ht="15" hidden="false" customHeight="false" outlineLevel="0" collapsed="false">
      <c r="A1979" s="9" t="s">
        <v>1166</v>
      </c>
      <c r="B1979" s="9" t="s">
        <v>105</v>
      </c>
      <c r="C1979" s="9" t="n">
        <v>1</v>
      </c>
      <c r="D1979" s="10" t="n">
        <v>3.95</v>
      </c>
      <c r="E1979" s="10" t="n">
        <f aca="false">C1979*D1979</f>
        <v>3.95</v>
      </c>
    </row>
    <row r="1980" customFormat="false" ht="15" hidden="false" customHeight="false" outlineLevel="0" collapsed="false">
      <c r="A1980" s="9" t="s">
        <v>1166</v>
      </c>
      <c r="B1980" s="9" t="s">
        <v>1170</v>
      </c>
      <c r="C1980" s="9" t="n">
        <v>9</v>
      </c>
      <c r="D1980" s="10" t="n">
        <v>0.85</v>
      </c>
      <c r="E1980" s="10" t="n">
        <f aca="false">C1980*D1980</f>
        <v>7.65</v>
      </c>
    </row>
    <row r="1981" customFormat="false" ht="15" hidden="false" customHeight="false" outlineLevel="0" collapsed="false">
      <c r="A1981" s="9" t="s">
        <v>1166</v>
      </c>
      <c r="B1981" s="9" t="s">
        <v>1171</v>
      </c>
      <c r="C1981" s="9" t="n">
        <v>1</v>
      </c>
      <c r="D1981" s="10" t="n">
        <v>0.85</v>
      </c>
      <c r="E1981" s="10" t="n">
        <f aca="false">C1981*D1981</f>
        <v>0.85</v>
      </c>
    </row>
    <row r="1982" customFormat="false" ht="15" hidden="false" customHeight="false" outlineLevel="0" collapsed="false">
      <c r="A1982" s="9" t="s">
        <v>1166</v>
      </c>
      <c r="B1982" s="9" t="s">
        <v>1172</v>
      </c>
      <c r="C1982" s="9" t="n">
        <v>1</v>
      </c>
      <c r="D1982" s="10" t="n">
        <v>7.95</v>
      </c>
      <c r="E1982" s="10" t="n">
        <f aca="false">C1982*D1982</f>
        <v>7.95</v>
      </c>
    </row>
    <row r="1983" customFormat="false" ht="15" hidden="false" customHeight="false" outlineLevel="0" collapsed="false">
      <c r="A1983" s="9" t="s">
        <v>1166</v>
      </c>
      <c r="B1983" s="9" t="s">
        <v>1173</v>
      </c>
      <c r="C1983" s="9" t="n">
        <v>1</v>
      </c>
      <c r="D1983" s="10" t="n">
        <v>3.75</v>
      </c>
      <c r="E1983" s="10" t="n">
        <f aca="false">C1983*D1983</f>
        <v>3.75</v>
      </c>
    </row>
    <row r="1984" customFormat="false" ht="15" hidden="false" customHeight="false" outlineLevel="0" collapsed="false">
      <c r="A1984" s="9" t="s">
        <v>1166</v>
      </c>
      <c r="B1984" s="9" t="s">
        <v>1174</v>
      </c>
      <c r="C1984" s="9" t="n">
        <v>1</v>
      </c>
      <c r="D1984" s="10" t="n">
        <v>16.95</v>
      </c>
      <c r="E1984" s="10" t="n">
        <f aca="false">C1984*D1984</f>
        <v>16.95</v>
      </c>
    </row>
    <row r="1985" customFormat="false" ht="15" hidden="false" customHeight="false" outlineLevel="0" collapsed="false">
      <c r="A1985" s="9" t="s">
        <v>1166</v>
      </c>
      <c r="B1985" s="9" t="s">
        <v>196</v>
      </c>
      <c r="C1985" s="9" t="n">
        <v>24</v>
      </c>
      <c r="D1985" s="10" t="n">
        <v>4.25</v>
      </c>
      <c r="E1985" s="10" t="n">
        <f aca="false">C1985*D1985</f>
        <v>102</v>
      </c>
    </row>
    <row r="1986" customFormat="false" ht="15" hidden="false" customHeight="false" outlineLevel="0" collapsed="false">
      <c r="A1986" s="9" t="s">
        <v>1166</v>
      </c>
      <c r="B1986" s="9" t="s">
        <v>507</v>
      </c>
      <c r="C1986" s="9" t="n">
        <v>2</v>
      </c>
      <c r="D1986" s="10" t="n">
        <v>2.1</v>
      </c>
      <c r="E1986" s="10" t="n">
        <f aca="false">C1986*D1986</f>
        <v>4.2</v>
      </c>
    </row>
    <row r="1987" customFormat="false" ht="15" hidden="false" customHeight="false" outlineLevel="0" collapsed="false">
      <c r="A1987" s="9" t="s">
        <v>1166</v>
      </c>
      <c r="B1987" s="9" t="s">
        <v>696</v>
      </c>
      <c r="C1987" s="9" t="n">
        <v>2</v>
      </c>
      <c r="D1987" s="10" t="n">
        <v>1.25</v>
      </c>
      <c r="E1987" s="10" t="n">
        <f aca="false">C1987*D1987</f>
        <v>2.5</v>
      </c>
    </row>
    <row r="1988" customFormat="false" ht="15" hidden="false" customHeight="false" outlineLevel="0" collapsed="false">
      <c r="A1988" s="9" t="s">
        <v>1166</v>
      </c>
      <c r="B1988" s="9" t="s">
        <v>1175</v>
      </c>
      <c r="C1988" s="9" t="n">
        <v>2</v>
      </c>
      <c r="D1988" s="10" t="n">
        <v>6.75</v>
      </c>
      <c r="E1988" s="10" t="n">
        <f aca="false">C1988*D1988</f>
        <v>13.5</v>
      </c>
    </row>
    <row r="1989" customFormat="false" ht="15" hidden="false" customHeight="false" outlineLevel="0" collapsed="false">
      <c r="A1989" s="9" t="s">
        <v>1166</v>
      </c>
      <c r="B1989" s="9" t="s">
        <v>291</v>
      </c>
      <c r="C1989" s="9" t="n">
        <v>1</v>
      </c>
      <c r="D1989" s="10" t="n">
        <v>1.25</v>
      </c>
      <c r="E1989" s="10" t="n">
        <f aca="false">C1989*D1989</f>
        <v>1.25</v>
      </c>
    </row>
    <row r="1990" customFormat="false" ht="15" hidden="false" customHeight="false" outlineLevel="0" collapsed="false">
      <c r="A1990" s="9" t="s">
        <v>1166</v>
      </c>
      <c r="B1990" s="9" t="s">
        <v>894</v>
      </c>
      <c r="C1990" s="9" t="n">
        <v>1</v>
      </c>
      <c r="D1990" s="10" t="n">
        <v>4.95</v>
      </c>
      <c r="E1990" s="10" t="n">
        <f aca="false">C1990*D1990</f>
        <v>4.95</v>
      </c>
    </row>
    <row r="1991" customFormat="false" ht="15" hidden="false" customHeight="false" outlineLevel="0" collapsed="false">
      <c r="A1991" s="9" t="s">
        <v>1166</v>
      </c>
      <c r="B1991" s="9" t="s">
        <v>1125</v>
      </c>
      <c r="C1991" s="9" t="n">
        <v>11</v>
      </c>
      <c r="D1991" s="10" t="n">
        <v>0.85</v>
      </c>
      <c r="E1991" s="10" t="n">
        <f aca="false">C1991*D1991</f>
        <v>9.35</v>
      </c>
    </row>
    <row r="1992" customFormat="false" ht="15" hidden="false" customHeight="false" outlineLevel="0" collapsed="false">
      <c r="A1992" s="9" t="s">
        <v>1166</v>
      </c>
      <c r="B1992" s="9" t="s">
        <v>277</v>
      </c>
      <c r="C1992" s="9" t="n">
        <v>1</v>
      </c>
      <c r="D1992" s="10" t="n">
        <v>6.75</v>
      </c>
      <c r="E1992" s="10" t="n">
        <f aca="false">C1992*D1992</f>
        <v>6.75</v>
      </c>
    </row>
    <row r="1993" customFormat="false" ht="15" hidden="false" customHeight="false" outlineLevel="0" collapsed="false">
      <c r="A1993" s="9" t="s">
        <v>1166</v>
      </c>
      <c r="B1993" s="9" t="s">
        <v>208</v>
      </c>
      <c r="C1993" s="9" t="n">
        <v>1</v>
      </c>
      <c r="D1993" s="10" t="n">
        <v>4.95</v>
      </c>
      <c r="E1993" s="10" t="n">
        <f aca="false">C1993*D1993</f>
        <v>4.95</v>
      </c>
    </row>
    <row r="1994" customFormat="false" ht="15" hidden="false" customHeight="false" outlineLevel="0" collapsed="false">
      <c r="A1994" s="9" t="s">
        <v>1166</v>
      </c>
      <c r="B1994" s="9" t="s">
        <v>1176</v>
      </c>
      <c r="C1994" s="9" t="n">
        <v>3</v>
      </c>
      <c r="D1994" s="10" t="n">
        <v>1.25</v>
      </c>
      <c r="E1994" s="10" t="n">
        <f aca="false">C1994*D1994</f>
        <v>3.75</v>
      </c>
    </row>
    <row r="1995" customFormat="false" ht="15" hidden="false" customHeight="false" outlineLevel="0" collapsed="false">
      <c r="A1995" s="9" t="s">
        <v>1166</v>
      </c>
      <c r="B1995" s="9" t="s">
        <v>1177</v>
      </c>
      <c r="C1995" s="9" t="n">
        <v>1</v>
      </c>
      <c r="D1995" s="10" t="n">
        <v>1.25</v>
      </c>
      <c r="E1995" s="10" t="n">
        <f aca="false">C1995*D1995</f>
        <v>1.25</v>
      </c>
    </row>
    <row r="1996" customFormat="false" ht="15" hidden="false" customHeight="false" outlineLevel="0" collapsed="false">
      <c r="A1996" s="9" t="s">
        <v>1166</v>
      </c>
      <c r="B1996" s="9" t="s">
        <v>1178</v>
      </c>
      <c r="C1996" s="9" t="n">
        <v>25</v>
      </c>
      <c r="D1996" s="10" t="n">
        <v>0.42</v>
      </c>
      <c r="E1996" s="10" t="n">
        <f aca="false">C1996*D1996</f>
        <v>10.5</v>
      </c>
    </row>
    <row r="1997" customFormat="false" ht="15" hidden="false" customHeight="false" outlineLevel="0" collapsed="false">
      <c r="A1997" s="9" t="s">
        <v>1166</v>
      </c>
      <c r="B1997" s="9" t="s">
        <v>1179</v>
      </c>
      <c r="C1997" s="9" t="n">
        <v>2</v>
      </c>
      <c r="D1997" s="10" t="n">
        <v>1.45</v>
      </c>
      <c r="E1997" s="10" t="n">
        <f aca="false">C1997*D1997</f>
        <v>2.9</v>
      </c>
    </row>
    <row r="1998" customFormat="false" ht="15" hidden="false" customHeight="false" outlineLevel="0" collapsed="false">
      <c r="A1998" s="9" t="s">
        <v>1166</v>
      </c>
      <c r="B1998" s="9" t="s">
        <v>1180</v>
      </c>
      <c r="C1998" s="9" t="n">
        <v>1</v>
      </c>
      <c r="D1998" s="10" t="n">
        <v>1.45</v>
      </c>
      <c r="E1998" s="10" t="n">
        <f aca="false">C1998*D1998</f>
        <v>1.45</v>
      </c>
    </row>
    <row r="1999" customFormat="false" ht="15" hidden="false" customHeight="false" outlineLevel="0" collapsed="false">
      <c r="A1999" s="9" t="s">
        <v>1166</v>
      </c>
      <c r="B1999" s="9" t="s">
        <v>570</v>
      </c>
      <c r="C1999" s="9" t="n">
        <v>1</v>
      </c>
      <c r="D1999" s="10" t="n">
        <v>1.25</v>
      </c>
      <c r="E1999" s="10" t="n">
        <f aca="false">C1999*D1999</f>
        <v>1.25</v>
      </c>
    </row>
    <row r="2000" customFormat="false" ht="15" hidden="false" customHeight="false" outlineLevel="0" collapsed="false">
      <c r="A2000" s="9" t="s">
        <v>1166</v>
      </c>
      <c r="B2000" s="9" t="s">
        <v>101</v>
      </c>
      <c r="C2000" s="9" t="n">
        <v>1</v>
      </c>
      <c r="D2000" s="10" t="n">
        <v>12.75</v>
      </c>
      <c r="E2000" s="10" t="n">
        <f aca="false">C2000*D2000</f>
        <v>12.75</v>
      </c>
    </row>
    <row r="2001" customFormat="false" ht="15" hidden="false" customHeight="false" outlineLevel="0" collapsed="false">
      <c r="A2001" s="9" t="s">
        <v>1166</v>
      </c>
      <c r="B2001" s="9" t="s">
        <v>708</v>
      </c>
      <c r="C2001" s="9" t="n">
        <v>1</v>
      </c>
      <c r="D2001" s="10" t="n">
        <v>2.95</v>
      </c>
      <c r="E2001" s="10" t="n">
        <f aca="false">C2001*D2001</f>
        <v>2.95</v>
      </c>
    </row>
    <row r="2002" customFormat="false" ht="15" hidden="false" customHeight="false" outlineLevel="0" collapsed="false">
      <c r="A2002" s="9" t="s">
        <v>1166</v>
      </c>
      <c r="B2002" s="9" t="s">
        <v>1181</v>
      </c>
      <c r="C2002" s="9" t="n">
        <v>1</v>
      </c>
      <c r="D2002" s="10" t="n">
        <v>3.75</v>
      </c>
      <c r="E2002" s="10" t="n">
        <f aca="false">C2002*D2002</f>
        <v>3.75</v>
      </c>
    </row>
    <row r="2003" customFormat="false" ht="15" hidden="false" customHeight="false" outlineLevel="0" collapsed="false">
      <c r="A2003" s="9" t="s">
        <v>1166</v>
      </c>
      <c r="B2003" s="9" t="s">
        <v>735</v>
      </c>
      <c r="C2003" s="9" t="n">
        <v>1</v>
      </c>
      <c r="D2003" s="10" t="n">
        <v>2.95</v>
      </c>
      <c r="E2003" s="10" t="n">
        <f aca="false">C2003*D2003</f>
        <v>2.95</v>
      </c>
    </row>
    <row r="2004" customFormat="false" ht="15" hidden="false" customHeight="false" outlineLevel="0" collapsed="false">
      <c r="A2004" s="9" t="s">
        <v>1166</v>
      </c>
      <c r="B2004" s="9" t="s">
        <v>1182</v>
      </c>
      <c r="C2004" s="9" t="n">
        <v>1</v>
      </c>
      <c r="D2004" s="10" t="n">
        <v>1.25</v>
      </c>
      <c r="E2004" s="10" t="n">
        <f aca="false">C2004*D2004</f>
        <v>1.25</v>
      </c>
    </row>
    <row r="2005" customFormat="false" ht="15" hidden="false" customHeight="false" outlineLevel="0" collapsed="false">
      <c r="A2005" s="9" t="s">
        <v>1166</v>
      </c>
      <c r="B2005" s="9" t="s">
        <v>1183</v>
      </c>
      <c r="C2005" s="9" t="n">
        <v>1</v>
      </c>
      <c r="D2005" s="10" t="n">
        <v>2.55</v>
      </c>
      <c r="E2005" s="10" t="n">
        <f aca="false">C2005*D2005</f>
        <v>2.55</v>
      </c>
    </row>
    <row r="2006" customFormat="false" ht="15" hidden="false" customHeight="false" outlineLevel="0" collapsed="false">
      <c r="A2006" s="9" t="s">
        <v>1166</v>
      </c>
      <c r="B2006" s="9" t="s">
        <v>1149</v>
      </c>
      <c r="C2006" s="9" t="n">
        <v>1</v>
      </c>
      <c r="D2006" s="10" t="n">
        <v>4.95</v>
      </c>
      <c r="E2006" s="10" t="n">
        <f aca="false">C2006*D2006</f>
        <v>4.95</v>
      </c>
    </row>
    <row r="2007" customFormat="false" ht="15" hidden="false" customHeight="false" outlineLevel="0" collapsed="false">
      <c r="A2007" s="9" t="s">
        <v>1166</v>
      </c>
      <c r="B2007" s="9" t="s">
        <v>1118</v>
      </c>
      <c r="C2007" s="9" t="n">
        <v>4</v>
      </c>
      <c r="D2007" s="10" t="n">
        <v>1.65</v>
      </c>
      <c r="E2007" s="10" t="n">
        <f aca="false">C2007*D2007</f>
        <v>6.6</v>
      </c>
    </row>
    <row r="2008" customFormat="false" ht="15" hidden="false" customHeight="false" outlineLevel="0" collapsed="false">
      <c r="A2008" s="9" t="s">
        <v>1166</v>
      </c>
      <c r="B2008" s="9" t="s">
        <v>1184</v>
      </c>
      <c r="C2008" s="9" t="n">
        <v>6</v>
      </c>
      <c r="D2008" s="10" t="n">
        <v>1.25</v>
      </c>
      <c r="E2008" s="10" t="n">
        <f aca="false">C2008*D2008</f>
        <v>7.5</v>
      </c>
    </row>
    <row r="2009" customFormat="false" ht="15" hidden="false" customHeight="false" outlineLevel="0" collapsed="false">
      <c r="A2009" s="9" t="s">
        <v>1166</v>
      </c>
      <c r="B2009" s="9" t="s">
        <v>152</v>
      </c>
      <c r="C2009" s="9" t="n">
        <v>1</v>
      </c>
      <c r="D2009" s="10" t="n">
        <v>1.25</v>
      </c>
      <c r="E2009" s="10" t="n">
        <f aca="false">C2009*D2009</f>
        <v>1.25</v>
      </c>
    </row>
    <row r="2010" customFormat="false" ht="15" hidden="false" customHeight="false" outlineLevel="0" collapsed="false">
      <c r="A2010" s="9" t="s">
        <v>1166</v>
      </c>
      <c r="B2010" s="9" t="s">
        <v>232</v>
      </c>
      <c r="C2010" s="9" t="n">
        <v>24</v>
      </c>
      <c r="D2010" s="10" t="n">
        <v>0.12</v>
      </c>
      <c r="E2010" s="10" t="n">
        <f aca="false">C2010*D2010</f>
        <v>2.88</v>
      </c>
    </row>
    <row r="2011" customFormat="false" ht="15" hidden="false" customHeight="false" outlineLevel="0" collapsed="false">
      <c r="A2011" s="9" t="s">
        <v>1166</v>
      </c>
      <c r="B2011" s="9" t="s">
        <v>913</v>
      </c>
      <c r="C2011" s="9" t="n">
        <v>2</v>
      </c>
      <c r="D2011" s="10" t="n">
        <v>5.45</v>
      </c>
      <c r="E2011" s="10" t="n">
        <f aca="false">C2011*D2011</f>
        <v>10.9</v>
      </c>
    </row>
    <row r="2012" customFormat="false" ht="15" hidden="false" customHeight="false" outlineLevel="0" collapsed="false">
      <c r="A2012" s="9" t="s">
        <v>1166</v>
      </c>
      <c r="B2012" s="9" t="s">
        <v>618</v>
      </c>
      <c r="C2012" s="9" t="n">
        <v>4</v>
      </c>
      <c r="D2012" s="10" t="n">
        <v>2.55</v>
      </c>
      <c r="E2012" s="10" t="n">
        <f aca="false">C2012*D2012</f>
        <v>10.2</v>
      </c>
    </row>
    <row r="2013" customFormat="false" ht="15" hidden="false" customHeight="false" outlineLevel="0" collapsed="false">
      <c r="A2013" s="9" t="s">
        <v>1166</v>
      </c>
      <c r="B2013" s="9" t="s">
        <v>707</v>
      </c>
      <c r="C2013" s="9" t="n">
        <v>2</v>
      </c>
      <c r="D2013" s="10" t="n">
        <v>1.25</v>
      </c>
      <c r="E2013" s="10" t="n">
        <f aca="false">C2013*D2013</f>
        <v>2.5</v>
      </c>
    </row>
    <row r="2014" customFormat="false" ht="15" hidden="false" customHeight="false" outlineLevel="0" collapsed="false">
      <c r="A2014" s="9" t="s">
        <v>1166</v>
      </c>
      <c r="B2014" s="9" t="s">
        <v>416</v>
      </c>
      <c r="C2014" s="9" t="n">
        <v>1</v>
      </c>
      <c r="D2014" s="10" t="n">
        <v>3.75</v>
      </c>
      <c r="E2014" s="10" t="n">
        <f aca="false">C2014*D2014</f>
        <v>3.75</v>
      </c>
    </row>
    <row r="2015" customFormat="false" ht="15" hidden="false" customHeight="false" outlineLevel="0" collapsed="false">
      <c r="A2015" s="9" t="s">
        <v>1166</v>
      </c>
      <c r="B2015" s="9" t="s">
        <v>451</v>
      </c>
      <c r="C2015" s="9" t="n">
        <v>1</v>
      </c>
      <c r="D2015" s="10" t="n">
        <v>3.75</v>
      </c>
      <c r="E2015" s="10" t="n">
        <f aca="false">C2015*D2015</f>
        <v>3.75</v>
      </c>
    </row>
    <row r="2016" customFormat="false" ht="15" hidden="false" customHeight="false" outlineLevel="0" collapsed="false">
      <c r="A2016" s="9" t="s">
        <v>1166</v>
      </c>
      <c r="B2016" s="9" t="s">
        <v>260</v>
      </c>
      <c r="C2016" s="9" t="n">
        <v>1</v>
      </c>
      <c r="D2016" s="10" t="n">
        <v>3.75</v>
      </c>
      <c r="E2016" s="10" t="n">
        <f aca="false">C2016*D2016</f>
        <v>3.75</v>
      </c>
    </row>
    <row r="2017" customFormat="false" ht="15" hidden="false" customHeight="false" outlineLevel="0" collapsed="false">
      <c r="A2017" s="9" t="s">
        <v>1166</v>
      </c>
      <c r="B2017" s="9" t="s">
        <v>305</v>
      </c>
      <c r="C2017" s="9" t="n">
        <v>1</v>
      </c>
      <c r="D2017" s="10" t="n">
        <v>7.95</v>
      </c>
      <c r="E2017" s="10" t="n">
        <f aca="false">C2017*D2017</f>
        <v>7.95</v>
      </c>
    </row>
    <row r="2018" customFormat="false" ht="15" hidden="false" customHeight="false" outlineLevel="0" collapsed="false">
      <c r="A2018" s="9" t="s">
        <v>1166</v>
      </c>
      <c r="B2018" s="9" t="s">
        <v>414</v>
      </c>
      <c r="C2018" s="9" t="n">
        <v>1</v>
      </c>
      <c r="D2018" s="10" t="n">
        <v>6.75</v>
      </c>
      <c r="E2018" s="10" t="n">
        <f aca="false">C2018*D2018</f>
        <v>6.75</v>
      </c>
    </row>
    <row r="2019" customFormat="false" ht="15" hidden="false" customHeight="false" outlineLevel="0" collapsed="false">
      <c r="A2019" s="9" t="s">
        <v>1166</v>
      </c>
      <c r="B2019" s="9" t="s">
        <v>1185</v>
      </c>
      <c r="C2019" s="9" t="n">
        <v>2</v>
      </c>
      <c r="D2019" s="10" t="n">
        <v>5.95</v>
      </c>
      <c r="E2019" s="10" t="n">
        <f aca="false">C2019*D2019</f>
        <v>11.9</v>
      </c>
    </row>
    <row r="2020" customFormat="false" ht="15" hidden="false" customHeight="false" outlineLevel="0" collapsed="false">
      <c r="A2020" s="9" t="s">
        <v>1166</v>
      </c>
      <c r="B2020" s="9" t="s">
        <v>379</v>
      </c>
      <c r="C2020" s="9" t="n">
        <v>1</v>
      </c>
      <c r="D2020" s="10" t="n">
        <v>1.65</v>
      </c>
      <c r="E2020" s="10" t="n">
        <f aca="false">C2020*D2020</f>
        <v>1.65</v>
      </c>
    </row>
    <row r="2021" customFormat="false" ht="15" hidden="false" customHeight="false" outlineLevel="0" collapsed="false">
      <c r="A2021" s="9" t="s">
        <v>1166</v>
      </c>
      <c r="B2021" s="9" t="s">
        <v>1186</v>
      </c>
      <c r="C2021" s="9" t="n">
        <v>1</v>
      </c>
      <c r="D2021" s="10" t="n">
        <v>2.1</v>
      </c>
      <c r="E2021" s="10" t="n">
        <f aca="false">C2021*D2021</f>
        <v>2.1</v>
      </c>
    </row>
    <row r="2022" customFormat="false" ht="15" hidden="false" customHeight="false" outlineLevel="0" collapsed="false">
      <c r="A2022" s="9" t="s">
        <v>1166</v>
      </c>
      <c r="B2022" s="9" t="s">
        <v>673</v>
      </c>
      <c r="C2022" s="9" t="n">
        <v>2</v>
      </c>
      <c r="D2022" s="10" t="n">
        <v>3.75</v>
      </c>
      <c r="E2022" s="10" t="n">
        <f aca="false">C2022*D2022</f>
        <v>7.5</v>
      </c>
    </row>
    <row r="2023" customFormat="false" ht="15" hidden="false" customHeight="false" outlineLevel="0" collapsed="false">
      <c r="A2023" s="9" t="s">
        <v>1166</v>
      </c>
      <c r="B2023" s="9" t="s">
        <v>105</v>
      </c>
      <c r="C2023" s="9" t="n">
        <v>2</v>
      </c>
      <c r="D2023" s="10" t="n">
        <v>3.95</v>
      </c>
      <c r="E2023" s="10" t="n">
        <f aca="false">C2023*D2023</f>
        <v>7.9</v>
      </c>
    </row>
    <row r="2024" customFormat="false" ht="15" hidden="false" customHeight="false" outlineLevel="0" collapsed="false">
      <c r="A2024" s="9" t="s">
        <v>1166</v>
      </c>
      <c r="B2024" s="9" t="s">
        <v>225</v>
      </c>
      <c r="C2024" s="9" t="n">
        <v>1</v>
      </c>
      <c r="D2024" s="10" t="n">
        <v>4.95</v>
      </c>
      <c r="E2024" s="10" t="n">
        <f aca="false">C2024*D2024</f>
        <v>4.95</v>
      </c>
    </row>
    <row r="2025" customFormat="false" ht="15" hidden="false" customHeight="false" outlineLevel="0" collapsed="false">
      <c r="A2025" s="9" t="s">
        <v>1166</v>
      </c>
      <c r="B2025" s="9" t="s">
        <v>41</v>
      </c>
      <c r="C2025" s="9" t="n">
        <v>1</v>
      </c>
      <c r="D2025" s="10" t="n">
        <v>3.75</v>
      </c>
      <c r="E2025" s="10" t="n">
        <f aca="false">C2025*D2025</f>
        <v>3.75</v>
      </c>
    </row>
    <row r="2026" customFormat="false" ht="15" hidden="false" customHeight="false" outlineLevel="0" collapsed="false">
      <c r="A2026" s="9" t="s">
        <v>1187</v>
      </c>
      <c r="B2026" s="9" t="s">
        <v>1188</v>
      </c>
      <c r="C2026" s="9" t="n">
        <v>5</v>
      </c>
      <c r="D2026" s="10" t="n">
        <v>19.95</v>
      </c>
      <c r="E2026" s="10" t="n">
        <f aca="false">C2026*D2026</f>
        <v>99.75</v>
      </c>
    </row>
    <row r="2027" customFormat="false" ht="15" hidden="false" customHeight="false" outlineLevel="0" collapsed="false">
      <c r="A2027" s="9" t="s">
        <v>1189</v>
      </c>
      <c r="B2027" s="9" t="s">
        <v>1134</v>
      </c>
      <c r="C2027" s="9" t="n">
        <v>1</v>
      </c>
      <c r="D2027" s="10" t="n">
        <v>1.95</v>
      </c>
      <c r="E2027" s="10" t="n">
        <f aca="false">C2027*D2027</f>
        <v>1.95</v>
      </c>
    </row>
    <row r="2028" customFormat="false" ht="15" hidden="false" customHeight="false" outlineLevel="0" collapsed="false">
      <c r="A2028" s="9" t="s">
        <v>1189</v>
      </c>
      <c r="B2028" s="9" t="s">
        <v>1182</v>
      </c>
      <c r="C2028" s="9" t="n">
        <v>36</v>
      </c>
      <c r="D2028" s="10" t="n">
        <v>1.25</v>
      </c>
      <c r="E2028" s="10" t="n">
        <f aca="false">C2028*D2028</f>
        <v>45</v>
      </c>
    </row>
    <row r="2029" customFormat="false" ht="15" hidden="false" customHeight="false" outlineLevel="0" collapsed="false">
      <c r="A2029" s="9" t="s">
        <v>1189</v>
      </c>
      <c r="B2029" s="9" t="s">
        <v>1190</v>
      </c>
      <c r="C2029" s="9" t="n">
        <v>12</v>
      </c>
      <c r="D2029" s="10" t="n">
        <v>0.85</v>
      </c>
      <c r="E2029" s="10" t="n">
        <f aca="false">C2029*D2029</f>
        <v>10.2</v>
      </c>
    </row>
    <row r="2030" customFormat="false" ht="15" hidden="false" customHeight="false" outlineLevel="0" collapsed="false">
      <c r="A2030" s="9" t="s">
        <v>1189</v>
      </c>
      <c r="B2030" s="9" t="s">
        <v>1191</v>
      </c>
      <c r="C2030" s="9" t="n">
        <v>10</v>
      </c>
      <c r="D2030" s="10" t="n">
        <v>6.75</v>
      </c>
      <c r="E2030" s="10" t="n">
        <f aca="false">C2030*D2030</f>
        <v>67.5</v>
      </c>
    </row>
    <row r="2031" customFormat="false" ht="15" hidden="false" customHeight="false" outlineLevel="0" collapsed="false">
      <c r="A2031" s="9" t="s">
        <v>1189</v>
      </c>
      <c r="B2031" s="9" t="s">
        <v>1192</v>
      </c>
      <c r="C2031" s="9" t="n">
        <v>12</v>
      </c>
      <c r="D2031" s="10" t="n">
        <v>0.85</v>
      </c>
      <c r="E2031" s="10" t="n">
        <f aca="false">C2031*D2031</f>
        <v>10.2</v>
      </c>
    </row>
    <row r="2032" customFormat="false" ht="15" hidden="false" customHeight="false" outlineLevel="0" collapsed="false">
      <c r="A2032" s="9" t="s">
        <v>1189</v>
      </c>
      <c r="B2032" s="9" t="s">
        <v>1193</v>
      </c>
      <c r="C2032" s="9" t="n">
        <v>12</v>
      </c>
      <c r="D2032" s="10" t="n">
        <v>0.85</v>
      </c>
      <c r="E2032" s="10" t="n">
        <f aca="false">C2032*D2032</f>
        <v>10.2</v>
      </c>
    </row>
    <row r="2033" customFormat="false" ht="15" hidden="false" customHeight="false" outlineLevel="0" collapsed="false">
      <c r="A2033" s="9" t="s">
        <v>1189</v>
      </c>
      <c r="B2033" s="9" t="s">
        <v>1193</v>
      </c>
      <c r="C2033" s="9" t="n">
        <v>24</v>
      </c>
      <c r="D2033" s="10" t="n">
        <v>0.85</v>
      </c>
      <c r="E2033" s="10" t="n">
        <f aca="false">C2033*D2033</f>
        <v>20.4</v>
      </c>
    </row>
    <row r="2034" customFormat="false" ht="15" hidden="false" customHeight="false" outlineLevel="0" collapsed="false">
      <c r="A2034" s="9" t="s">
        <v>1189</v>
      </c>
      <c r="B2034" s="9" t="s">
        <v>1194</v>
      </c>
      <c r="C2034" s="9" t="n">
        <v>10</v>
      </c>
      <c r="D2034" s="10" t="n">
        <v>3.95</v>
      </c>
      <c r="E2034" s="10" t="n">
        <f aca="false">C2034*D2034</f>
        <v>39.5</v>
      </c>
    </row>
    <row r="2035" customFormat="false" ht="15" hidden="false" customHeight="false" outlineLevel="0" collapsed="false">
      <c r="A2035" s="9" t="s">
        <v>1195</v>
      </c>
      <c r="B2035" s="9" t="s">
        <v>390</v>
      </c>
      <c r="C2035" s="9" t="n">
        <v>20</v>
      </c>
      <c r="D2035" s="10" t="n">
        <v>6.75</v>
      </c>
      <c r="E2035" s="10" t="n">
        <f aca="false">C2035*D2035</f>
        <v>135</v>
      </c>
    </row>
    <row r="2036" customFormat="false" ht="15" hidden="false" customHeight="false" outlineLevel="0" collapsed="false">
      <c r="A2036" s="9" t="s">
        <v>1195</v>
      </c>
      <c r="B2036" s="9" t="s">
        <v>1196</v>
      </c>
      <c r="C2036" s="9" t="n">
        <v>12</v>
      </c>
      <c r="D2036" s="10" t="n">
        <v>1.25</v>
      </c>
      <c r="E2036" s="10" t="n">
        <f aca="false">C2036*D2036</f>
        <v>15</v>
      </c>
    </row>
    <row r="2037" customFormat="false" ht="15" hidden="false" customHeight="false" outlineLevel="0" collapsed="false">
      <c r="A2037" s="9" t="s">
        <v>1195</v>
      </c>
      <c r="B2037" s="9" t="s">
        <v>1197</v>
      </c>
      <c r="C2037" s="9" t="n">
        <v>12</v>
      </c>
      <c r="D2037" s="10" t="n">
        <v>1.25</v>
      </c>
      <c r="E2037" s="10" t="n">
        <f aca="false">C2037*D2037</f>
        <v>15</v>
      </c>
    </row>
    <row r="2038" customFormat="false" ht="15" hidden="false" customHeight="false" outlineLevel="0" collapsed="false">
      <c r="A2038" s="9" t="s">
        <v>1195</v>
      </c>
      <c r="B2038" s="9" t="s">
        <v>1198</v>
      </c>
      <c r="C2038" s="9" t="n">
        <v>12</v>
      </c>
      <c r="D2038" s="10" t="n">
        <v>1.25</v>
      </c>
      <c r="E2038" s="10" t="n">
        <f aca="false">C2038*D2038</f>
        <v>15</v>
      </c>
    </row>
    <row r="2039" customFormat="false" ht="15" hidden="false" customHeight="false" outlineLevel="0" collapsed="false">
      <c r="A2039" s="9" t="s">
        <v>1195</v>
      </c>
      <c r="B2039" s="9" t="s">
        <v>396</v>
      </c>
      <c r="C2039" s="9" t="n">
        <v>96</v>
      </c>
      <c r="D2039" s="10" t="n">
        <v>0.85</v>
      </c>
      <c r="E2039" s="10" t="n">
        <f aca="false">C2039*D2039</f>
        <v>81.6</v>
      </c>
    </row>
    <row r="2040" customFormat="false" ht="15" hidden="false" customHeight="false" outlineLevel="0" collapsed="false">
      <c r="A2040" s="9" t="s">
        <v>1195</v>
      </c>
      <c r="B2040" s="9" t="s">
        <v>801</v>
      </c>
      <c r="C2040" s="9" t="n">
        <v>6</v>
      </c>
      <c r="D2040" s="10" t="n">
        <v>2.95</v>
      </c>
      <c r="E2040" s="10" t="n">
        <f aca="false">C2040*D2040</f>
        <v>17.7</v>
      </c>
    </row>
    <row r="2041" customFormat="false" ht="15" hidden="false" customHeight="false" outlineLevel="0" collapsed="false">
      <c r="A2041" s="9" t="s">
        <v>1195</v>
      </c>
      <c r="B2041" s="9" t="s">
        <v>251</v>
      </c>
      <c r="C2041" s="9" t="n">
        <v>10</v>
      </c>
      <c r="D2041" s="10" t="n">
        <v>1.65</v>
      </c>
      <c r="E2041" s="10" t="n">
        <f aca="false">C2041*D2041</f>
        <v>16.5</v>
      </c>
    </row>
    <row r="2042" customFormat="false" ht="15" hidden="false" customHeight="false" outlineLevel="0" collapsed="false">
      <c r="A2042" s="9" t="s">
        <v>1195</v>
      </c>
      <c r="B2042" s="9" t="s">
        <v>1135</v>
      </c>
      <c r="C2042" s="9" t="n">
        <v>4</v>
      </c>
      <c r="D2042" s="10" t="n">
        <v>14.95</v>
      </c>
      <c r="E2042" s="10" t="n">
        <f aca="false">C2042*D2042</f>
        <v>59.8</v>
      </c>
    </row>
    <row r="2043" customFormat="false" ht="15" hidden="false" customHeight="false" outlineLevel="0" collapsed="false">
      <c r="A2043" s="9" t="s">
        <v>1195</v>
      </c>
      <c r="B2043" s="9" t="s">
        <v>63</v>
      </c>
      <c r="C2043" s="9" t="n">
        <v>12</v>
      </c>
      <c r="D2043" s="10" t="n">
        <v>3.75</v>
      </c>
      <c r="E2043" s="10" t="n">
        <f aca="false">C2043*D2043</f>
        <v>45</v>
      </c>
    </row>
    <row r="2044" customFormat="false" ht="15" hidden="false" customHeight="false" outlineLevel="0" collapsed="false">
      <c r="A2044" s="9" t="s">
        <v>1195</v>
      </c>
      <c r="B2044" s="9" t="s">
        <v>1199</v>
      </c>
      <c r="C2044" s="9" t="n">
        <v>10</v>
      </c>
      <c r="D2044" s="10" t="n">
        <v>6.75</v>
      </c>
      <c r="E2044" s="10" t="n">
        <f aca="false">C2044*D2044</f>
        <v>67.5</v>
      </c>
    </row>
    <row r="2045" customFormat="false" ht="15" hidden="false" customHeight="false" outlineLevel="0" collapsed="false">
      <c r="A2045" s="9" t="s">
        <v>1195</v>
      </c>
      <c r="B2045" s="9" t="s">
        <v>328</v>
      </c>
      <c r="C2045" s="9" t="n">
        <v>10</v>
      </c>
      <c r="D2045" s="10" t="n">
        <v>6.75</v>
      </c>
      <c r="E2045" s="10" t="n">
        <f aca="false">C2045*D2045</f>
        <v>67.5</v>
      </c>
    </row>
    <row r="2046" customFormat="false" ht="15" hidden="false" customHeight="false" outlineLevel="0" collapsed="false">
      <c r="A2046" s="9" t="s">
        <v>1195</v>
      </c>
      <c r="B2046" s="9" t="s">
        <v>196</v>
      </c>
      <c r="C2046" s="9" t="n">
        <v>48</v>
      </c>
      <c r="D2046" s="10" t="n">
        <v>4.25</v>
      </c>
      <c r="E2046" s="10" t="n">
        <f aca="false">C2046*D2046</f>
        <v>204</v>
      </c>
    </row>
    <row r="2047" customFormat="false" ht="15" hidden="false" customHeight="false" outlineLevel="0" collapsed="false">
      <c r="A2047" s="9" t="s">
        <v>1195</v>
      </c>
      <c r="B2047" s="9" t="s">
        <v>1200</v>
      </c>
      <c r="C2047" s="9" t="n">
        <v>4</v>
      </c>
      <c r="D2047" s="10" t="n">
        <v>14.95</v>
      </c>
      <c r="E2047" s="10" t="n">
        <f aca="false">C2047*D2047</f>
        <v>59.8</v>
      </c>
    </row>
    <row r="2048" customFormat="false" ht="15" hidden="false" customHeight="false" outlineLevel="0" collapsed="false">
      <c r="A2048" s="9" t="s">
        <v>1201</v>
      </c>
      <c r="B2048" s="9" t="s">
        <v>197</v>
      </c>
      <c r="C2048" s="9" t="n">
        <v>8</v>
      </c>
      <c r="D2048" s="10" t="n">
        <v>4.25</v>
      </c>
      <c r="E2048" s="10" t="n">
        <f aca="false">C2048*D2048</f>
        <v>34</v>
      </c>
    </row>
    <row r="2049" customFormat="false" ht="15" hidden="false" customHeight="false" outlineLevel="0" collapsed="false">
      <c r="A2049" s="9" t="s">
        <v>1201</v>
      </c>
      <c r="B2049" s="9" t="s">
        <v>255</v>
      </c>
      <c r="C2049" s="9" t="n">
        <v>12</v>
      </c>
      <c r="D2049" s="10" t="n">
        <v>2.1</v>
      </c>
      <c r="E2049" s="10" t="n">
        <f aca="false">C2049*D2049</f>
        <v>25.2</v>
      </c>
    </row>
    <row r="2050" customFormat="false" ht="15" hidden="false" customHeight="false" outlineLevel="0" collapsed="false">
      <c r="A2050" s="9" t="s">
        <v>1201</v>
      </c>
      <c r="B2050" s="9" t="s">
        <v>258</v>
      </c>
      <c r="C2050" s="9" t="n">
        <v>12</v>
      </c>
      <c r="D2050" s="10" t="n">
        <v>2.1</v>
      </c>
      <c r="E2050" s="10" t="n">
        <f aca="false">C2050*D2050</f>
        <v>25.2</v>
      </c>
    </row>
    <row r="2051" customFormat="false" ht="15" hidden="false" customHeight="false" outlineLevel="0" collapsed="false">
      <c r="A2051" s="9" t="s">
        <v>1201</v>
      </c>
      <c r="B2051" s="9" t="s">
        <v>254</v>
      </c>
      <c r="C2051" s="9" t="n">
        <v>12</v>
      </c>
      <c r="D2051" s="10" t="n">
        <v>2.1</v>
      </c>
      <c r="E2051" s="10" t="n">
        <f aca="false">C2051*D2051</f>
        <v>25.2</v>
      </c>
    </row>
    <row r="2052" customFormat="false" ht="15" hidden="false" customHeight="false" outlineLevel="0" collapsed="false">
      <c r="A2052" s="9" t="s">
        <v>1201</v>
      </c>
      <c r="B2052" s="9" t="s">
        <v>46</v>
      </c>
      <c r="C2052" s="9" t="n">
        <v>12</v>
      </c>
      <c r="D2052" s="10" t="n">
        <v>2.1</v>
      </c>
      <c r="E2052" s="10" t="n">
        <f aca="false">C2052*D2052</f>
        <v>25.2</v>
      </c>
    </row>
    <row r="2053" customFormat="false" ht="15" hidden="false" customHeight="false" outlineLevel="0" collapsed="false">
      <c r="A2053" s="9" t="s">
        <v>1201</v>
      </c>
      <c r="B2053" s="9" t="s">
        <v>195</v>
      </c>
      <c r="C2053" s="9" t="n">
        <v>8</v>
      </c>
      <c r="D2053" s="10" t="n">
        <v>4.25</v>
      </c>
      <c r="E2053" s="10" t="n">
        <f aca="false">C2053*D2053</f>
        <v>34</v>
      </c>
    </row>
    <row r="2054" customFormat="false" ht="15" hidden="false" customHeight="false" outlineLevel="0" collapsed="false">
      <c r="A2054" s="9" t="s">
        <v>1201</v>
      </c>
      <c r="B2054" s="9" t="s">
        <v>499</v>
      </c>
      <c r="C2054" s="9" t="n">
        <v>4</v>
      </c>
      <c r="D2054" s="10" t="n">
        <v>3.75</v>
      </c>
      <c r="E2054" s="10" t="n">
        <f aca="false">C2054*D2054</f>
        <v>15</v>
      </c>
    </row>
    <row r="2055" customFormat="false" ht="15" hidden="false" customHeight="false" outlineLevel="0" collapsed="false">
      <c r="A2055" s="9" t="s">
        <v>1201</v>
      </c>
      <c r="B2055" s="9" t="s">
        <v>58</v>
      </c>
      <c r="C2055" s="9" t="n">
        <v>6</v>
      </c>
      <c r="D2055" s="10" t="n">
        <v>2.1</v>
      </c>
      <c r="E2055" s="10" t="n">
        <f aca="false">C2055*D2055</f>
        <v>12.6</v>
      </c>
    </row>
    <row r="2056" customFormat="false" ht="15" hidden="false" customHeight="false" outlineLevel="0" collapsed="false">
      <c r="A2056" s="9" t="s">
        <v>1201</v>
      </c>
      <c r="B2056" s="9" t="s">
        <v>707</v>
      </c>
      <c r="C2056" s="9" t="n">
        <v>12</v>
      </c>
      <c r="D2056" s="10" t="n">
        <v>1.25</v>
      </c>
      <c r="E2056" s="10" t="n">
        <f aca="false">C2056*D2056</f>
        <v>15</v>
      </c>
    </row>
    <row r="2057" customFormat="false" ht="15" hidden="false" customHeight="false" outlineLevel="0" collapsed="false">
      <c r="A2057" s="9" t="s">
        <v>1201</v>
      </c>
      <c r="B2057" s="9" t="s">
        <v>198</v>
      </c>
      <c r="C2057" s="9" t="n">
        <v>12</v>
      </c>
      <c r="D2057" s="10" t="n">
        <v>1.95</v>
      </c>
      <c r="E2057" s="10" t="n">
        <f aca="false">C2057*D2057</f>
        <v>23.4</v>
      </c>
    </row>
    <row r="2058" customFormat="false" ht="15" hidden="false" customHeight="false" outlineLevel="0" collapsed="false">
      <c r="A2058" s="9" t="s">
        <v>1201</v>
      </c>
      <c r="B2058" s="9" t="s">
        <v>73</v>
      </c>
      <c r="C2058" s="9" t="n">
        <v>12</v>
      </c>
      <c r="D2058" s="10" t="n">
        <v>1.65</v>
      </c>
      <c r="E2058" s="10" t="n">
        <f aca="false">C2058*D2058</f>
        <v>19.8</v>
      </c>
    </row>
    <row r="2059" customFormat="false" ht="15" hidden="false" customHeight="false" outlineLevel="0" collapsed="false">
      <c r="A2059" s="9" t="s">
        <v>1201</v>
      </c>
      <c r="B2059" s="9" t="s">
        <v>57</v>
      </c>
      <c r="C2059" s="9" t="n">
        <v>6</v>
      </c>
      <c r="D2059" s="10" t="n">
        <v>2.1</v>
      </c>
      <c r="E2059" s="10" t="n">
        <f aca="false">C2059*D2059</f>
        <v>12.6</v>
      </c>
    </row>
    <row r="2060" customFormat="false" ht="15" hidden="false" customHeight="false" outlineLevel="0" collapsed="false">
      <c r="A2060" s="9" t="s">
        <v>1201</v>
      </c>
      <c r="B2060" s="9" t="s">
        <v>476</v>
      </c>
      <c r="C2060" s="9" t="n">
        <v>12</v>
      </c>
      <c r="D2060" s="10" t="n">
        <v>1.65</v>
      </c>
      <c r="E2060" s="10" t="n">
        <f aca="false">C2060*D2060</f>
        <v>19.8</v>
      </c>
    </row>
    <row r="2061" customFormat="false" ht="15" hidden="false" customHeight="false" outlineLevel="0" collapsed="false">
      <c r="A2061" s="9" t="s">
        <v>1201</v>
      </c>
      <c r="B2061" s="9" t="s">
        <v>207</v>
      </c>
      <c r="C2061" s="9" t="n">
        <v>6</v>
      </c>
      <c r="D2061" s="10" t="n">
        <v>2.95</v>
      </c>
      <c r="E2061" s="10" t="n">
        <f aca="false">C2061*D2061</f>
        <v>17.7</v>
      </c>
    </row>
    <row r="2062" customFormat="false" ht="15" hidden="false" customHeight="false" outlineLevel="0" collapsed="false">
      <c r="A2062" s="9" t="s">
        <v>1201</v>
      </c>
      <c r="B2062" s="9" t="s">
        <v>437</v>
      </c>
      <c r="C2062" s="9" t="n">
        <v>6</v>
      </c>
      <c r="D2062" s="10" t="n">
        <v>2.95</v>
      </c>
      <c r="E2062" s="10" t="n">
        <f aca="false">C2062*D2062</f>
        <v>17.7</v>
      </c>
    </row>
    <row r="2063" customFormat="false" ht="15" hidden="false" customHeight="false" outlineLevel="0" collapsed="false">
      <c r="A2063" s="9" t="s">
        <v>1202</v>
      </c>
      <c r="B2063" s="9" t="s">
        <v>987</v>
      </c>
      <c r="C2063" s="9" t="n">
        <v>12</v>
      </c>
      <c r="D2063" s="10" t="n">
        <v>1.25</v>
      </c>
      <c r="E2063" s="10" t="n">
        <f aca="false">C2063*D2063</f>
        <v>15</v>
      </c>
    </row>
    <row r="2064" customFormat="false" ht="15" hidden="false" customHeight="false" outlineLevel="0" collapsed="false">
      <c r="A2064" s="9" t="s">
        <v>1202</v>
      </c>
      <c r="B2064" s="9" t="s">
        <v>766</v>
      </c>
      <c r="C2064" s="9" t="n">
        <v>4</v>
      </c>
      <c r="D2064" s="10" t="n">
        <v>4.25</v>
      </c>
      <c r="E2064" s="10" t="n">
        <f aca="false">C2064*D2064</f>
        <v>17</v>
      </c>
    </row>
    <row r="2065" customFormat="false" ht="15" hidden="false" customHeight="false" outlineLevel="0" collapsed="false">
      <c r="A2065" s="9" t="s">
        <v>1202</v>
      </c>
      <c r="B2065" s="9" t="s">
        <v>870</v>
      </c>
      <c r="C2065" s="9" t="n">
        <v>9</v>
      </c>
      <c r="D2065" s="10" t="n">
        <v>1.45</v>
      </c>
      <c r="E2065" s="10" t="n">
        <f aca="false">C2065*D2065</f>
        <v>13.05</v>
      </c>
    </row>
    <row r="2066" customFormat="false" ht="15" hidden="false" customHeight="false" outlineLevel="0" collapsed="false">
      <c r="A2066" s="9" t="s">
        <v>1202</v>
      </c>
      <c r="B2066" s="9" t="s">
        <v>1203</v>
      </c>
      <c r="C2066" s="9" t="n">
        <v>12</v>
      </c>
      <c r="D2066" s="10" t="n">
        <v>2.1</v>
      </c>
      <c r="E2066" s="10" t="n">
        <f aca="false">C2066*D2066</f>
        <v>25.2</v>
      </c>
    </row>
    <row r="2067" customFormat="false" ht="15" hidden="false" customHeight="false" outlineLevel="0" collapsed="false">
      <c r="A2067" s="9" t="s">
        <v>1202</v>
      </c>
      <c r="B2067" s="9" t="s">
        <v>1081</v>
      </c>
      <c r="C2067" s="9" t="n">
        <v>6</v>
      </c>
      <c r="D2067" s="10" t="n">
        <v>2.95</v>
      </c>
      <c r="E2067" s="10" t="n">
        <f aca="false">C2067*D2067</f>
        <v>17.7</v>
      </c>
    </row>
    <row r="2068" customFormat="false" ht="15" hidden="false" customHeight="false" outlineLevel="0" collapsed="false">
      <c r="A2068" s="9" t="s">
        <v>1202</v>
      </c>
      <c r="B2068" s="9" t="s">
        <v>1204</v>
      </c>
      <c r="C2068" s="9" t="n">
        <v>6</v>
      </c>
      <c r="D2068" s="10" t="n">
        <v>2.95</v>
      </c>
      <c r="E2068" s="10" t="n">
        <f aca="false">C2068*D2068</f>
        <v>17.7</v>
      </c>
    </row>
    <row r="2069" customFormat="false" ht="15" hidden="false" customHeight="false" outlineLevel="0" collapsed="false">
      <c r="A2069" s="9" t="s">
        <v>1202</v>
      </c>
      <c r="B2069" s="9" t="s">
        <v>1205</v>
      </c>
      <c r="C2069" s="9" t="n">
        <v>4</v>
      </c>
      <c r="D2069" s="10" t="n">
        <v>3.75</v>
      </c>
      <c r="E2069" s="10" t="n">
        <f aca="false">C2069*D2069</f>
        <v>15</v>
      </c>
    </row>
    <row r="2070" customFormat="false" ht="15" hidden="false" customHeight="false" outlineLevel="0" collapsed="false">
      <c r="A2070" s="9" t="s">
        <v>1202</v>
      </c>
      <c r="B2070" s="9" t="s">
        <v>275</v>
      </c>
      <c r="C2070" s="9" t="n">
        <v>12</v>
      </c>
      <c r="D2070" s="10" t="n">
        <v>1.25</v>
      </c>
      <c r="E2070" s="10" t="n">
        <f aca="false">C2070*D2070</f>
        <v>15</v>
      </c>
    </row>
    <row r="2071" customFormat="false" ht="15" hidden="false" customHeight="false" outlineLevel="0" collapsed="false">
      <c r="A2071" s="9" t="s">
        <v>1202</v>
      </c>
      <c r="B2071" s="9" t="s">
        <v>949</v>
      </c>
      <c r="C2071" s="9" t="n">
        <v>2</v>
      </c>
      <c r="D2071" s="10" t="n">
        <v>9.95</v>
      </c>
      <c r="E2071" s="10" t="n">
        <f aca="false">C2071*D2071</f>
        <v>19.9</v>
      </c>
    </row>
    <row r="2072" customFormat="false" ht="15" hidden="false" customHeight="false" outlineLevel="0" collapsed="false">
      <c r="A2072" s="9" t="s">
        <v>1202</v>
      </c>
      <c r="B2072" s="9" t="s">
        <v>419</v>
      </c>
      <c r="C2072" s="9" t="n">
        <v>6</v>
      </c>
      <c r="D2072" s="10" t="n">
        <v>2.95</v>
      </c>
      <c r="E2072" s="10" t="n">
        <f aca="false">C2072*D2072</f>
        <v>17.7</v>
      </c>
    </row>
    <row r="2073" customFormat="false" ht="15" hidden="false" customHeight="false" outlineLevel="0" collapsed="false">
      <c r="A2073" s="9" t="s">
        <v>1202</v>
      </c>
      <c r="B2073" s="9" t="s">
        <v>613</v>
      </c>
      <c r="C2073" s="9" t="n">
        <v>2</v>
      </c>
      <c r="D2073" s="10" t="n">
        <v>12.75</v>
      </c>
      <c r="E2073" s="10" t="n">
        <f aca="false">C2073*D2073</f>
        <v>25.5</v>
      </c>
    </row>
    <row r="2074" customFormat="false" ht="15" hidden="false" customHeight="false" outlineLevel="0" collapsed="false">
      <c r="A2074" s="9" t="s">
        <v>1202</v>
      </c>
      <c r="B2074" s="9" t="s">
        <v>389</v>
      </c>
      <c r="C2074" s="9" t="n">
        <v>2</v>
      </c>
      <c r="D2074" s="10" t="n">
        <v>7.95</v>
      </c>
      <c r="E2074" s="10" t="n">
        <f aca="false">C2074*D2074</f>
        <v>15.9</v>
      </c>
    </row>
    <row r="2075" customFormat="false" ht="15" hidden="false" customHeight="false" outlineLevel="0" collapsed="false">
      <c r="A2075" s="9" t="s">
        <v>1202</v>
      </c>
      <c r="B2075" s="9" t="s">
        <v>276</v>
      </c>
      <c r="C2075" s="9" t="n">
        <v>2</v>
      </c>
      <c r="D2075" s="10" t="n">
        <v>7.95</v>
      </c>
      <c r="E2075" s="10" t="n">
        <f aca="false">C2075*D2075</f>
        <v>15.9</v>
      </c>
    </row>
    <row r="2076" customFormat="false" ht="15" hidden="false" customHeight="false" outlineLevel="0" collapsed="false">
      <c r="A2076" s="9" t="s">
        <v>1202</v>
      </c>
      <c r="B2076" s="9" t="s">
        <v>390</v>
      </c>
      <c r="C2076" s="9" t="n">
        <v>2</v>
      </c>
      <c r="D2076" s="10" t="n">
        <v>7.95</v>
      </c>
      <c r="E2076" s="10" t="n">
        <f aca="false">C2076*D2076</f>
        <v>15.9</v>
      </c>
    </row>
    <row r="2077" customFormat="false" ht="15" hidden="false" customHeight="false" outlineLevel="0" collapsed="false">
      <c r="A2077" s="9" t="s">
        <v>1202</v>
      </c>
      <c r="B2077" s="9" t="s">
        <v>1206</v>
      </c>
      <c r="C2077" s="9" t="n">
        <v>8</v>
      </c>
      <c r="D2077" s="10" t="n">
        <v>1.45</v>
      </c>
      <c r="E2077" s="10" t="n">
        <f aca="false">C2077*D2077</f>
        <v>11.6</v>
      </c>
    </row>
    <row r="2078" customFormat="false" ht="15" hidden="false" customHeight="false" outlineLevel="0" collapsed="false">
      <c r="A2078" s="9" t="s">
        <v>1202</v>
      </c>
      <c r="B2078" s="9" t="s">
        <v>42</v>
      </c>
      <c r="C2078" s="9" t="n">
        <v>2</v>
      </c>
      <c r="D2078" s="10" t="n">
        <v>8.5</v>
      </c>
      <c r="E2078" s="10" t="n">
        <f aca="false">C2078*D2078</f>
        <v>17</v>
      </c>
    </row>
    <row r="2079" customFormat="false" ht="15" hidden="false" customHeight="false" outlineLevel="0" collapsed="false">
      <c r="A2079" s="9" t="s">
        <v>1202</v>
      </c>
      <c r="B2079" s="9" t="s">
        <v>1207</v>
      </c>
      <c r="C2079" s="9" t="n">
        <v>6</v>
      </c>
      <c r="D2079" s="10" t="n">
        <v>2.95</v>
      </c>
      <c r="E2079" s="10" t="n">
        <f aca="false">C2079*D2079</f>
        <v>17.7</v>
      </c>
    </row>
    <row r="2080" customFormat="false" ht="15" hidden="false" customHeight="false" outlineLevel="0" collapsed="false">
      <c r="A2080" s="9" t="s">
        <v>1202</v>
      </c>
      <c r="B2080" s="9" t="s">
        <v>49</v>
      </c>
      <c r="C2080" s="9" t="n">
        <v>2</v>
      </c>
      <c r="D2080" s="10" t="n">
        <v>7.95</v>
      </c>
      <c r="E2080" s="10" t="n">
        <f aca="false">C2080*D2080</f>
        <v>15.9</v>
      </c>
    </row>
    <row r="2081" customFormat="false" ht="15" hidden="false" customHeight="false" outlineLevel="0" collapsed="false">
      <c r="A2081" s="9" t="s">
        <v>1208</v>
      </c>
      <c r="B2081" s="9" t="s">
        <v>215</v>
      </c>
      <c r="C2081" s="9" t="n">
        <v>1</v>
      </c>
      <c r="D2081" s="10" t="n">
        <v>8.5</v>
      </c>
      <c r="E2081" s="10" t="n">
        <f aca="false">C2081*D2081</f>
        <v>8.5</v>
      </c>
    </row>
    <row r="2082" customFormat="false" ht="15" hidden="false" customHeight="false" outlineLevel="0" collapsed="false">
      <c r="A2082" s="9" t="s">
        <v>1208</v>
      </c>
      <c r="B2082" s="9" t="s">
        <v>348</v>
      </c>
      <c r="C2082" s="9" t="n">
        <v>4</v>
      </c>
      <c r="D2082" s="10" t="n">
        <v>2.1</v>
      </c>
      <c r="E2082" s="10" t="n">
        <f aca="false">C2082*D2082</f>
        <v>8.4</v>
      </c>
    </row>
    <row r="2083" customFormat="false" ht="15" hidden="false" customHeight="false" outlineLevel="0" collapsed="false">
      <c r="A2083" s="9" t="s">
        <v>1208</v>
      </c>
      <c r="B2083" s="9" t="s">
        <v>959</v>
      </c>
      <c r="C2083" s="9" t="n">
        <v>24</v>
      </c>
      <c r="D2083" s="10" t="n">
        <v>1.25</v>
      </c>
      <c r="E2083" s="10" t="n">
        <f aca="false">C2083*D2083</f>
        <v>30</v>
      </c>
    </row>
    <row r="2084" customFormat="false" ht="15" hidden="false" customHeight="false" outlineLevel="0" collapsed="false">
      <c r="A2084" s="9" t="s">
        <v>1208</v>
      </c>
      <c r="B2084" s="9" t="s">
        <v>1209</v>
      </c>
      <c r="C2084" s="9" t="n">
        <v>36</v>
      </c>
      <c r="D2084" s="10" t="n">
        <v>0.85</v>
      </c>
      <c r="E2084" s="10" t="n">
        <f aca="false">C2084*D2084</f>
        <v>30.6</v>
      </c>
    </row>
    <row r="2085" customFormat="false" ht="15" hidden="false" customHeight="false" outlineLevel="0" collapsed="false">
      <c r="A2085" s="9" t="s">
        <v>1208</v>
      </c>
      <c r="B2085" s="9" t="s">
        <v>749</v>
      </c>
      <c r="C2085" s="9" t="n">
        <v>10</v>
      </c>
      <c r="D2085" s="10" t="n">
        <v>2.95</v>
      </c>
      <c r="E2085" s="10" t="n">
        <f aca="false">C2085*D2085</f>
        <v>29.5</v>
      </c>
    </row>
    <row r="2086" customFormat="false" ht="15" hidden="false" customHeight="false" outlineLevel="0" collapsed="false">
      <c r="A2086" s="9" t="s">
        <v>1208</v>
      </c>
      <c r="B2086" s="9" t="s">
        <v>163</v>
      </c>
      <c r="C2086" s="9" t="n">
        <v>4</v>
      </c>
      <c r="D2086" s="10" t="n">
        <v>2.95</v>
      </c>
      <c r="E2086" s="10" t="n">
        <f aca="false">C2086*D2086</f>
        <v>11.8</v>
      </c>
    </row>
    <row r="2087" customFormat="false" ht="15" hidden="false" customHeight="false" outlineLevel="0" collapsed="false">
      <c r="A2087" s="9" t="s">
        <v>1208</v>
      </c>
      <c r="B2087" s="9" t="s">
        <v>490</v>
      </c>
      <c r="C2087" s="9" t="n">
        <v>10</v>
      </c>
      <c r="D2087" s="10" t="n">
        <v>0.85</v>
      </c>
      <c r="E2087" s="10" t="n">
        <f aca="false">C2087*D2087</f>
        <v>8.5</v>
      </c>
    </row>
    <row r="2088" customFormat="false" ht="15" hidden="false" customHeight="false" outlineLevel="0" collapsed="false">
      <c r="A2088" s="9" t="s">
        <v>1208</v>
      </c>
      <c r="B2088" s="9" t="s">
        <v>848</v>
      </c>
      <c r="C2088" s="9" t="n">
        <v>72</v>
      </c>
      <c r="D2088" s="10" t="n">
        <v>0.42</v>
      </c>
      <c r="E2088" s="10" t="n">
        <f aca="false">C2088*D2088</f>
        <v>30.24</v>
      </c>
    </row>
    <row r="2089" customFormat="false" ht="15" hidden="false" customHeight="false" outlineLevel="0" collapsed="false">
      <c r="A2089" s="9" t="s">
        <v>1208</v>
      </c>
      <c r="B2089" s="9" t="s">
        <v>842</v>
      </c>
      <c r="C2089" s="9" t="n">
        <v>4</v>
      </c>
      <c r="D2089" s="10" t="n">
        <v>3.75</v>
      </c>
      <c r="E2089" s="10" t="n">
        <f aca="false">C2089*D2089</f>
        <v>15</v>
      </c>
    </row>
    <row r="2090" customFormat="false" ht="15" hidden="false" customHeight="false" outlineLevel="0" collapsed="false">
      <c r="A2090" s="9" t="s">
        <v>1210</v>
      </c>
      <c r="B2090" s="9" t="s">
        <v>1206</v>
      </c>
      <c r="C2090" s="9" t="n">
        <v>8</v>
      </c>
      <c r="D2090" s="10" t="n">
        <v>1.45</v>
      </c>
      <c r="E2090" s="10" t="n">
        <f aca="false">C2090*D2090</f>
        <v>11.6</v>
      </c>
    </row>
    <row r="2091" customFormat="false" ht="15" hidden="false" customHeight="false" outlineLevel="0" collapsed="false">
      <c r="A2091" s="9" t="s">
        <v>1210</v>
      </c>
      <c r="B2091" s="9" t="s">
        <v>949</v>
      </c>
      <c r="C2091" s="9" t="n">
        <v>4</v>
      </c>
      <c r="D2091" s="10" t="n">
        <v>9.95</v>
      </c>
      <c r="E2091" s="10" t="n">
        <f aca="false">C2091*D2091</f>
        <v>39.8</v>
      </c>
    </row>
    <row r="2092" customFormat="false" ht="15" hidden="false" customHeight="false" outlineLevel="0" collapsed="false">
      <c r="A2092" s="9" t="s">
        <v>1211</v>
      </c>
      <c r="B2092" s="9" t="s">
        <v>1016</v>
      </c>
      <c r="C2092" s="9" t="n">
        <v>1</v>
      </c>
      <c r="D2092" s="10" t="n">
        <v>2.95</v>
      </c>
      <c r="E2092" s="10" t="n">
        <f aca="false">C2092*D2092</f>
        <v>2.95</v>
      </c>
    </row>
    <row r="2093" customFormat="false" ht="15" hidden="false" customHeight="false" outlineLevel="0" collapsed="false">
      <c r="A2093" s="9" t="s">
        <v>1211</v>
      </c>
      <c r="B2093" s="9" t="s">
        <v>1001</v>
      </c>
      <c r="C2093" s="9" t="n">
        <v>1</v>
      </c>
      <c r="D2093" s="10" t="n">
        <v>3.75</v>
      </c>
      <c r="E2093" s="10" t="n">
        <f aca="false">C2093*D2093</f>
        <v>3.75</v>
      </c>
    </row>
    <row r="2094" customFormat="false" ht="15" hidden="false" customHeight="false" outlineLevel="0" collapsed="false">
      <c r="A2094" s="9" t="s">
        <v>1212</v>
      </c>
      <c r="B2094" s="9" t="s">
        <v>355</v>
      </c>
      <c r="C2094" s="9" t="n">
        <v>12</v>
      </c>
      <c r="D2094" s="10" t="n">
        <v>1.25</v>
      </c>
      <c r="E2094" s="10" t="n">
        <f aca="false">C2094*D2094</f>
        <v>15</v>
      </c>
    </row>
    <row r="2095" customFormat="false" ht="15" hidden="false" customHeight="false" outlineLevel="0" collapsed="false">
      <c r="A2095" s="9" t="s">
        <v>1212</v>
      </c>
      <c r="B2095" s="9" t="s">
        <v>154</v>
      </c>
      <c r="C2095" s="9" t="n">
        <v>36</v>
      </c>
      <c r="D2095" s="10" t="n">
        <v>1.25</v>
      </c>
      <c r="E2095" s="10" t="n">
        <f aca="false">C2095*D2095</f>
        <v>45</v>
      </c>
    </row>
    <row r="2096" customFormat="false" ht="15" hidden="false" customHeight="false" outlineLevel="0" collapsed="false">
      <c r="A2096" s="9" t="s">
        <v>1212</v>
      </c>
      <c r="B2096" s="9" t="s">
        <v>357</v>
      </c>
      <c r="C2096" s="9" t="n">
        <v>20</v>
      </c>
      <c r="D2096" s="10" t="n">
        <v>1.25</v>
      </c>
      <c r="E2096" s="10" t="n">
        <f aca="false">C2096*D2096</f>
        <v>25</v>
      </c>
    </row>
    <row r="2097" customFormat="false" ht="15" hidden="false" customHeight="false" outlineLevel="0" collapsed="false">
      <c r="A2097" s="9" t="s">
        <v>1212</v>
      </c>
      <c r="B2097" s="9" t="s">
        <v>1213</v>
      </c>
      <c r="C2097" s="9" t="n">
        <v>6</v>
      </c>
      <c r="D2097" s="10" t="n">
        <v>1.25</v>
      </c>
      <c r="E2097" s="10" t="n">
        <f aca="false">C2097*D2097</f>
        <v>7.5</v>
      </c>
    </row>
    <row r="2098" customFormat="false" ht="15" hidden="false" customHeight="false" outlineLevel="0" collapsed="false">
      <c r="A2098" s="9" t="s">
        <v>1212</v>
      </c>
      <c r="B2098" s="9" t="s">
        <v>153</v>
      </c>
      <c r="C2098" s="9" t="n">
        <v>10</v>
      </c>
      <c r="D2098" s="10" t="n">
        <v>1.25</v>
      </c>
      <c r="E2098" s="10" t="n">
        <f aca="false">C2098*D2098</f>
        <v>12.5</v>
      </c>
    </row>
    <row r="2099" customFormat="false" ht="15" hidden="false" customHeight="false" outlineLevel="0" collapsed="false">
      <c r="A2099" s="9" t="s">
        <v>1212</v>
      </c>
      <c r="B2099" s="9" t="s">
        <v>356</v>
      </c>
      <c r="C2099" s="9" t="n">
        <v>9</v>
      </c>
      <c r="D2099" s="10" t="n">
        <v>1.25</v>
      </c>
      <c r="E2099" s="10" t="n">
        <f aca="false">C2099*D2099</f>
        <v>11.25</v>
      </c>
    </row>
    <row r="2100" customFormat="false" ht="15" hidden="false" customHeight="false" outlineLevel="0" collapsed="false">
      <c r="A2100" s="9" t="s">
        <v>1214</v>
      </c>
      <c r="B2100" s="9" t="s">
        <v>529</v>
      </c>
      <c r="C2100" s="9" t="n">
        <v>12</v>
      </c>
      <c r="D2100" s="10" t="n">
        <v>1.45</v>
      </c>
      <c r="E2100" s="10" t="n">
        <f aca="false">C2100*D2100</f>
        <v>17.4</v>
      </c>
    </row>
    <row r="2101" customFormat="false" ht="15" hidden="false" customHeight="false" outlineLevel="0" collapsed="false">
      <c r="A2101" s="9" t="s">
        <v>1214</v>
      </c>
      <c r="B2101" s="9" t="s">
        <v>46</v>
      </c>
      <c r="C2101" s="9" t="n">
        <v>24</v>
      </c>
      <c r="D2101" s="10" t="n">
        <v>2.1</v>
      </c>
      <c r="E2101" s="10" t="n">
        <f aca="false">C2101*D2101</f>
        <v>50.4</v>
      </c>
    </row>
    <row r="2102" customFormat="false" ht="15" hidden="false" customHeight="false" outlineLevel="0" collapsed="false">
      <c r="A2102" s="9" t="s">
        <v>1214</v>
      </c>
      <c r="B2102" s="9" t="s">
        <v>987</v>
      </c>
      <c r="C2102" s="9" t="n">
        <v>12</v>
      </c>
      <c r="D2102" s="10" t="n">
        <v>1.25</v>
      </c>
      <c r="E2102" s="10" t="n">
        <f aca="false">C2102*D2102</f>
        <v>15</v>
      </c>
    </row>
    <row r="2103" customFormat="false" ht="15" hidden="false" customHeight="false" outlineLevel="0" collapsed="false">
      <c r="A2103" s="9" t="s">
        <v>1214</v>
      </c>
      <c r="B2103" s="9" t="s">
        <v>137</v>
      </c>
      <c r="C2103" s="9" t="n">
        <v>12</v>
      </c>
      <c r="D2103" s="10" t="n">
        <v>1.45</v>
      </c>
      <c r="E2103" s="10" t="n">
        <f aca="false">C2103*D2103</f>
        <v>17.4</v>
      </c>
    </row>
    <row r="2104" customFormat="false" ht="15" hidden="false" customHeight="false" outlineLevel="0" collapsed="false">
      <c r="A2104" s="9" t="s">
        <v>1214</v>
      </c>
      <c r="B2104" s="9" t="s">
        <v>254</v>
      </c>
      <c r="C2104" s="9" t="n">
        <v>24</v>
      </c>
      <c r="D2104" s="10" t="n">
        <v>2.1</v>
      </c>
      <c r="E2104" s="10" t="n">
        <f aca="false">C2104*D2104</f>
        <v>50.4</v>
      </c>
    </row>
    <row r="2105" customFormat="false" ht="15" hidden="false" customHeight="false" outlineLevel="0" collapsed="false">
      <c r="A2105" s="9" t="s">
        <v>1214</v>
      </c>
      <c r="B2105" s="9" t="s">
        <v>255</v>
      </c>
      <c r="C2105" s="9" t="n">
        <v>24</v>
      </c>
      <c r="D2105" s="10" t="n">
        <v>2.1</v>
      </c>
      <c r="E2105" s="10" t="n">
        <f aca="false">C2105*D2105</f>
        <v>50.4</v>
      </c>
    </row>
    <row r="2106" customFormat="false" ht="15" hidden="false" customHeight="false" outlineLevel="0" collapsed="false">
      <c r="A2106" s="9" t="s">
        <v>1214</v>
      </c>
      <c r="B2106" s="9" t="s">
        <v>258</v>
      </c>
      <c r="C2106" s="9" t="n">
        <v>24</v>
      </c>
      <c r="D2106" s="10" t="n">
        <v>2.1</v>
      </c>
      <c r="E2106" s="10" t="n">
        <f aca="false">C2106*D2106</f>
        <v>50.4</v>
      </c>
    </row>
    <row r="2107" customFormat="false" ht="15" hidden="false" customHeight="false" outlineLevel="0" collapsed="false">
      <c r="A2107" s="9" t="s">
        <v>1215</v>
      </c>
      <c r="B2107" s="9" t="s">
        <v>205</v>
      </c>
      <c r="C2107" s="9" t="n">
        <v>12</v>
      </c>
      <c r="D2107" s="10" t="n">
        <v>0.42</v>
      </c>
      <c r="E2107" s="10" t="n">
        <f aca="false">C2107*D2107</f>
        <v>5.04</v>
      </c>
    </row>
    <row r="2108" customFormat="false" ht="15" hidden="false" customHeight="false" outlineLevel="0" collapsed="false">
      <c r="A2108" s="9" t="s">
        <v>1216</v>
      </c>
      <c r="B2108" s="9" t="s">
        <v>1217</v>
      </c>
      <c r="C2108" s="9" t="n">
        <v>3</v>
      </c>
      <c r="D2108" s="10" t="n">
        <v>0.85</v>
      </c>
      <c r="E2108" s="10" t="n">
        <f aca="false">C2108*D2108</f>
        <v>2.55</v>
      </c>
    </row>
    <row r="2109" customFormat="false" ht="15" hidden="false" customHeight="false" outlineLevel="0" collapsed="false">
      <c r="A2109" s="9" t="s">
        <v>1216</v>
      </c>
      <c r="B2109" s="9" t="s">
        <v>590</v>
      </c>
      <c r="C2109" s="9" t="n">
        <v>1</v>
      </c>
      <c r="D2109" s="10" t="n">
        <v>0.85</v>
      </c>
      <c r="E2109" s="10" t="n">
        <f aca="false">C2109*D2109</f>
        <v>0.85</v>
      </c>
    </row>
    <row r="2110" customFormat="false" ht="15" hidden="false" customHeight="false" outlineLevel="0" collapsed="false">
      <c r="A2110" s="9" t="s">
        <v>1216</v>
      </c>
      <c r="B2110" s="9" t="s">
        <v>1218</v>
      </c>
      <c r="C2110" s="9" t="n">
        <v>1</v>
      </c>
      <c r="D2110" s="10" t="n">
        <v>0.85</v>
      </c>
      <c r="E2110" s="10" t="n">
        <f aca="false">C2110*D2110</f>
        <v>0.85</v>
      </c>
    </row>
    <row r="2111" customFormat="false" ht="15" hidden="false" customHeight="false" outlineLevel="0" collapsed="false">
      <c r="A2111" s="9" t="s">
        <v>1216</v>
      </c>
      <c r="B2111" s="9" t="s">
        <v>1219</v>
      </c>
      <c r="C2111" s="9" t="n">
        <v>1</v>
      </c>
      <c r="D2111" s="10" t="n">
        <v>4.95</v>
      </c>
      <c r="E2111" s="10" t="n">
        <f aca="false">C2111*D2111</f>
        <v>4.95</v>
      </c>
    </row>
    <row r="2112" customFormat="false" ht="15" hidden="false" customHeight="false" outlineLevel="0" collapsed="false">
      <c r="A2112" s="9" t="s">
        <v>1216</v>
      </c>
      <c r="B2112" s="9" t="s">
        <v>1220</v>
      </c>
      <c r="C2112" s="9" t="n">
        <v>1</v>
      </c>
      <c r="D2112" s="10" t="n">
        <v>3.75</v>
      </c>
      <c r="E2112" s="10" t="n">
        <f aca="false">C2112*D2112</f>
        <v>3.75</v>
      </c>
    </row>
    <row r="2113" customFormat="false" ht="15" hidden="false" customHeight="false" outlineLevel="0" collapsed="false">
      <c r="A2113" s="9" t="s">
        <v>1216</v>
      </c>
      <c r="B2113" s="9" t="s">
        <v>570</v>
      </c>
      <c r="C2113" s="9" t="n">
        <v>2</v>
      </c>
      <c r="D2113" s="10" t="n">
        <v>1.25</v>
      </c>
      <c r="E2113" s="10" t="n">
        <f aca="false">C2113*D2113</f>
        <v>2.5</v>
      </c>
    </row>
    <row r="2114" customFormat="false" ht="15" hidden="false" customHeight="false" outlineLevel="0" collapsed="false">
      <c r="A2114" s="9" t="s">
        <v>1216</v>
      </c>
      <c r="B2114" s="9" t="s">
        <v>1221</v>
      </c>
      <c r="C2114" s="9" t="n">
        <v>2</v>
      </c>
      <c r="D2114" s="10" t="n">
        <v>0.85</v>
      </c>
      <c r="E2114" s="10" t="n">
        <f aca="false">C2114*D2114</f>
        <v>1.7</v>
      </c>
    </row>
    <row r="2115" customFormat="false" ht="15" hidden="false" customHeight="false" outlineLevel="0" collapsed="false">
      <c r="A2115" s="9" t="s">
        <v>1216</v>
      </c>
      <c r="B2115" s="9" t="s">
        <v>408</v>
      </c>
      <c r="C2115" s="9" t="n">
        <v>4</v>
      </c>
      <c r="D2115" s="10" t="n">
        <v>1.45</v>
      </c>
      <c r="E2115" s="10" t="n">
        <f aca="false">C2115*D2115</f>
        <v>5.8</v>
      </c>
    </row>
    <row r="2116" customFormat="false" ht="15" hidden="false" customHeight="false" outlineLevel="0" collapsed="false">
      <c r="A2116" s="9" t="s">
        <v>1216</v>
      </c>
      <c r="B2116" s="9" t="s">
        <v>88</v>
      </c>
      <c r="C2116" s="9" t="n">
        <v>1</v>
      </c>
      <c r="D2116" s="10" t="n">
        <v>2.95</v>
      </c>
      <c r="E2116" s="10" t="n">
        <f aca="false">C2116*D2116</f>
        <v>2.95</v>
      </c>
    </row>
    <row r="2117" customFormat="false" ht="15" hidden="false" customHeight="false" outlineLevel="0" collapsed="false">
      <c r="A2117" s="9" t="s">
        <v>1216</v>
      </c>
      <c r="B2117" s="9" t="s">
        <v>1222</v>
      </c>
      <c r="C2117" s="9" t="n">
        <v>2</v>
      </c>
      <c r="D2117" s="10" t="n">
        <v>0.85</v>
      </c>
      <c r="E2117" s="10" t="n">
        <f aca="false">C2117*D2117</f>
        <v>1.7</v>
      </c>
    </row>
    <row r="2118" customFormat="false" ht="15" hidden="false" customHeight="false" outlineLevel="0" collapsed="false">
      <c r="A2118" s="9" t="s">
        <v>1216</v>
      </c>
      <c r="B2118" s="9" t="s">
        <v>488</v>
      </c>
      <c r="C2118" s="9" t="n">
        <v>1</v>
      </c>
      <c r="D2118" s="10" t="n">
        <v>1.65</v>
      </c>
      <c r="E2118" s="10" t="n">
        <f aca="false">C2118*D2118</f>
        <v>1.65</v>
      </c>
    </row>
    <row r="2119" customFormat="false" ht="15" hidden="false" customHeight="false" outlineLevel="0" collapsed="false">
      <c r="A2119" s="9" t="s">
        <v>1216</v>
      </c>
      <c r="B2119" s="9" t="s">
        <v>489</v>
      </c>
      <c r="C2119" s="9" t="n">
        <v>1</v>
      </c>
      <c r="D2119" s="10" t="n">
        <v>1.65</v>
      </c>
      <c r="E2119" s="10" t="n">
        <f aca="false">C2119*D2119</f>
        <v>1.65</v>
      </c>
    </row>
    <row r="2120" customFormat="false" ht="15" hidden="false" customHeight="false" outlineLevel="0" collapsed="false">
      <c r="A2120" s="9" t="s">
        <v>1216</v>
      </c>
      <c r="B2120" s="9" t="s">
        <v>754</v>
      </c>
      <c r="C2120" s="9" t="n">
        <v>1</v>
      </c>
      <c r="D2120" s="10" t="n">
        <v>9.95</v>
      </c>
      <c r="E2120" s="10" t="n">
        <f aca="false">C2120*D2120</f>
        <v>9.95</v>
      </c>
    </row>
    <row r="2121" customFormat="false" ht="15" hidden="false" customHeight="false" outlineLevel="0" collapsed="false">
      <c r="A2121" s="9" t="s">
        <v>1216</v>
      </c>
      <c r="B2121" s="9" t="s">
        <v>669</v>
      </c>
      <c r="C2121" s="9" t="n">
        <v>1</v>
      </c>
      <c r="D2121" s="10" t="n">
        <v>3.75</v>
      </c>
      <c r="E2121" s="10" t="n">
        <f aca="false">C2121*D2121</f>
        <v>3.75</v>
      </c>
    </row>
    <row r="2122" customFormat="false" ht="15" hidden="false" customHeight="false" outlineLevel="0" collapsed="false">
      <c r="A2122" s="9" t="s">
        <v>1216</v>
      </c>
      <c r="B2122" s="9" t="s">
        <v>1223</v>
      </c>
      <c r="C2122" s="9" t="n">
        <v>1</v>
      </c>
      <c r="D2122" s="10" t="n">
        <v>16.95</v>
      </c>
      <c r="E2122" s="10" t="n">
        <f aca="false">C2122*D2122</f>
        <v>16.95</v>
      </c>
    </row>
    <row r="2123" customFormat="false" ht="15" hidden="false" customHeight="false" outlineLevel="0" collapsed="false">
      <c r="A2123" s="9" t="s">
        <v>1216</v>
      </c>
      <c r="B2123" s="9" t="s">
        <v>830</v>
      </c>
      <c r="C2123" s="9" t="n">
        <v>1</v>
      </c>
      <c r="D2123" s="10" t="n">
        <v>7.95</v>
      </c>
      <c r="E2123" s="10" t="n">
        <f aca="false">C2123*D2123</f>
        <v>7.95</v>
      </c>
    </row>
    <row r="2124" customFormat="false" ht="15" hidden="false" customHeight="false" outlineLevel="0" collapsed="false">
      <c r="A2124" s="9" t="s">
        <v>1216</v>
      </c>
      <c r="B2124" s="9" t="s">
        <v>96</v>
      </c>
      <c r="C2124" s="9" t="n">
        <v>1</v>
      </c>
      <c r="D2124" s="10" t="n">
        <v>1.25</v>
      </c>
      <c r="E2124" s="10" t="n">
        <f aca="false">C2124*D2124</f>
        <v>1.25</v>
      </c>
    </row>
    <row r="2125" customFormat="false" ht="15" hidden="false" customHeight="false" outlineLevel="0" collapsed="false">
      <c r="A2125" s="9" t="s">
        <v>1216</v>
      </c>
      <c r="B2125" s="9" t="s">
        <v>95</v>
      </c>
      <c r="C2125" s="9" t="n">
        <v>1</v>
      </c>
      <c r="D2125" s="10" t="n">
        <v>1.25</v>
      </c>
      <c r="E2125" s="10" t="n">
        <f aca="false">C2125*D2125</f>
        <v>1.25</v>
      </c>
    </row>
    <row r="2126" customFormat="false" ht="15" hidden="false" customHeight="false" outlineLevel="0" collapsed="false">
      <c r="A2126" s="9" t="s">
        <v>1216</v>
      </c>
      <c r="B2126" s="9" t="s">
        <v>177</v>
      </c>
      <c r="C2126" s="9" t="n">
        <v>1</v>
      </c>
      <c r="D2126" s="10" t="n">
        <v>12.75</v>
      </c>
      <c r="E2126" s="10" t="n">
        <f aca="false">C2126*D2126</f>
        <v>12.75</v>
      </c>
    </row>
    <row r="2127" customFormat="false" ht="15" hidden="false" customHeight="false" outlineLevel="0" collapsed="false">
      <c r="A2127" s="9" t="s">
        <v>1216</v>
      </c>
      <c r="B2127" s="9" t="s">
        <v>1128</v>
      </c>
      <c r="C2127" s="9" t="n">
        <v>12</v>
      </c>
      <c r="D2127" s="10" t="n">
        <v>0.42</v>
      </c>
      <c r="E2127" s="10" t="n">
        <f aca="false">C2127*D2127</f>
        <v>5.04</v>
      </c>
    </row>
    <row r="2128" customFormat="false" ht="15" hidden="false" customHeight="false" outlineLevel="0" collapsed="false">
      <c r="A2128" s="9" t="s">
        <v>1216</v>
      </c>
      <c r="B2128" s="9" t="s">
        <v>1224</v>
      </c>
      <c r="C2128" s="9" t="n">
        <v>1</v>
      </c>
      <c r="D2128" s="10" t="n">
        <v>29.95</v>
      </c>
      <c r="E2128" s="10" t="n">
        <f aca="false">C2128*D2128</f>
        <v>29.95</v>
      </c>
    </row>
    <row r="2129" customFormat="false" ht="15" hidden="false" customHeight="false" outlineLevel="0" collapsed="false">
      <c r="A2129" s="9" t="s">
        <v>1216</v>
      </c>
      <c r="B2129" s="9" t="s">
        <v>548</v>
      </c>
      <c r="C2129" s="9" t="n">
        <v>2</v>
      </c>
      <c r="D2129" s="10" t="n">
        <v>1.25</v>
      </c>
      <c r="E2129" s="10" t="n">
        <f aca="false">C2129*D2129</f>
        <v>2.5</v>
      </c>
    </row>
    <row r="2130" customFormat="false" ht="15" hidden="false" customHeight="false" outlineLevel="0" collapsed="false">
      <c r="A2130" s="9" t="s">
        <v>1216</v>
      </c>
      <c r="B2130" s="9" t="s">
        <v>284</v>
      </c>
      <c r="C2130" s="9" t="n">
        <v>3</v>
      </c>
      <c r="D2130" s="10" t="n">
        <v>2.55</v>
      </c>
      <c r="E2130" s="10" t="n">
        <f aca="false">C2130*D2130</f>
        <v>7.65</v>
      </c>
    </row>
    <row r="2131" customFormat="false" ht="15" hidden="false" customHeight="false" outlineLevel="0" collapsed="false">
      <c r="A2131" s="9" t="s">
        <v>1216</v>
      </c>
      <c r="B2131" s="9" t="s">
        <v>499</v>
      </c>
      <c r="C2131" s="9" t="n">
        <v>1</v>
      </c>
      <c r="D2131" s="10" t="n">
        <v>3.75</v>
      </c>
      <c r="E2131" s="10" t="n">
        <f aca="false">C2131*D2131</f>
        <v>3.75</v>
      </c>
    </row>
    <row r="2132" customFormat="false" ht="15" hidden="false" customHeight="false" outlineLevel="0" collapsed="false">
      <c r="A2132" s="9" t="s">
        <v>1216</v>
      </c>
      <c r="B2132" s="9" t="s">
        <v>321</v>
      </c>
      <c r="C2132" s="9" t="n">
        <v>1</v>
      </c>
      <c r="D2132" s="10" t="n">
        <v>9.95</v>
      </c>
      <c r="E2132" s="10" t="n">
        <f aca="false">C2132*D2132</f>
        <v>9.95</v>
      </c>
    </row>
    <row r="2133" customFormat="false" ht="15" hidden="false" customHeight="false" outlineLevel="0" collapsed="false">
      <c r="A2133" s="9" t="s">
        <v>1216</v>
      </c>
      <c r="B2133" s="9" t="s">
        <v>1225</v>
      </c>
      <c r="C2133" s="9" t="n">
        <v>1</v>
      </c>
      <c r="D2133" s="10" t="n">
        <v>7.95</v>
      </c>
      <c r="E2133" s="10" t="n">
        <f aca="false">C2133*D2133</f>
        <v>7.95</v>
      </c>
    </row>
    <row r="2134" customFormat="false" ht="15" hidden="false" customHeight="false" outlineLevel="0" collapsed="false">
      <c r="A2134" s="9" t="s">
        <v>1216</v>
      </c>
      <c r="B2134" s="9" t="s">
        <v>894</v>
      </c>
      <c r="C2134" s="9" t="n">
        <v>1</v>
      </c>
      <c r="D2134" s="10" t="n">
        <v>4.95</v>
      </c>
      <c r="E2134" s="10" t="n">
        <f aca="false">C2134*D2134</f>
        <v>4.95</v>
      </c>
    </row>
    <row r="2135" customFormat="false" ht="15" hidden="false" customHeight="false" outlineLevel="0" collapsed="false">
      <c r="A2135" s="9" t="s">
        <v>1216</v>
      </c>
      <c r="B2135" s="9" t="s">
        <v>215</v>
      </c>
      <c r="C2135" s="9" t="n">
        <v>1</v>
      </c>
      <c r="D2135" s="10" t="n">
        <v>8.5</v>
      </c>
      <c r="E2135" s="10" t="n">
        <f aca="false">C2135*D2135</f>
        <v>8.5</v>
      </c>
    </row>
    <row r="2136" customFormat="false" ht="15" hidden="false" customHeight="false" outlineLevel="0" collapsed="false">
      <c r="A2136" s="9" t="s">
        <v>1216</v>
      </c>
      <c r="B2136" s="9" t="s">
        <v>602</v>
      </c>
      <c r="C2136" s="9" t="n">
        <v>1</v>
      </c>
      <c r="D2136" s="10" t="n">
        <v>0.85</v>
      </c>
      <c r="E2136" s="10" t="n">
        <f aca="false">C2136*D2136</f>
        <v>0.85</v>
      </c>
    </row>
    <row r="2137" customFormat="false" ht="15" hidden="false" customHeight="false" outlineLevel="0" collapsed="false">
      <c r="A2137" s="9" t="s">
        <v>1216</v>
      </c>
      <c r="B2137" s="9" t="s">
        <v>174</v>
      </c>
      <c r="C2137" s="9" t="n">
        <v>1</v>
      </c>
      <c r="D2137" s="10" t="n">
        <v>6.95</v>
      </c>
      <c r="E2137" s="10" t="n">
        <f aca="false">C2137*D2137</f>
        <v>6.95</v>
      </c>
    </row>
    <row r="2138" customFormat="false" ht="15" hidden="false" customHeight="false" outlineLevel="0" collapsed="false">
      <c r="A2138" s="9" t="s">
        <v>1216</v>
      </c>
      <c r="B2138" s="9" t="s">
        <v>1226</v>
      </c>
      <c r="C2138" s="9" t="n">
        <v>1</v>
      </c>
      <c r="D2138" s="10" t="n">
        <v>2.55</v>
      </c>
      <c r="E2138" s="10" t="n">
        <f aca="false">C2138*D2138</f>
        <v>2.55</v>
      </c>
    </row>
    <row r="2139" customFormat="false" ht="15" hidden="false" customHeight="false" outlineLevel="0" collapsed="false">
      <c r="A2139" s="9" t="s">
        <v>1216</v>
      </c>
      <c r="B2139" s="9" t="s">
        <v>1130</v>
      </c>
      <c r="C2139" s="9" t="n">
        <v>12</v>
      </c>
      <c r="D2139" s="10" t="n">
        <v>0.42</v>
      </c>
      <c r="E2139" s="10" t="n">
        <f aca="false">C2139*D2139</f>
        <v>5.04</v>
      </c>
    </row>
    <row r="2140" customFormat="false" ht="15" hidden="false" customHeight="false" outlineLevel="0" collapsed="false">
      <c r="A2140" s="9" t="s">
        <v>1216</v>
      </c>
      <c r="B2140" s="9" t="s">
        <v>1227</v>
      </c>
      <c r="C2140" s="9" t="n">
        <v>1</v>
      </c>
      <c r="D2140" s="10" t="n">
        <v>2.55</v>
      </c>
      <c r="E2140" s="10" t="n">
        <f aca="false">C2140*D2140</f>
        <v>2.55</v>
      </c>
    </row>
    <row r="2141" customFormat="false" ht="15" hidden="false" customHeight="false" outlineLevel="0" collapsed="false">
      <c r="A2141" s="9" t="s">
        <v>1216</v>
      </c>
      <c r="B2141" s="9" t="s">
        <v>871</v>
      </c>
      <c r="C2141" s="9" t="n">
        <v>1</v>
      </c>
      <c r="D2141" s="10" t="n">
        <v>8.5</v>
      </c>
      <c r="E2141" s="10" t="n">
        <f aca="false">C2141*D2141</f>
        <v>8.5</v>
      </c>
    </row>
    <row r="2142" customFormat="false" ht="15" hidden="false" customHeight="false" outlineLevel="0" collapsed="false">
      <c r="A2142" s="9" t="s">
        <v>1216</v>
      </c>
      <c r="B2142" s="9" t="s">
        <v>1228</v>
      </c>
      <c r="C2142" s="9" t="n">
        <v>1</v>
      </c>
      <c r="D2142" s="10" t="n">
        <v>6.75</v>
      </c>
      <c r="E2142" s="10" t="n">
        <f aca="false">C2142*D2142</f>
        <v>6.75</v>
      </c>
    </row>
    <row r="2143" customFormat="false" ht="15" hidden="false" customHeight="false" outlineLevel="0" collapsed="false">
      <c r="A2143" s="9" t="s">
        <v>1216</v>
      </c>
      <c r="B2143" s="9" t="s">
        <v>51</v>
      </c>
      <c r="C2143" s="9" t="n">
        <v>1</v>
      </c>
      <c r="D2143" s="10" t="n">
        <v>9.95</v>
      </c>
      <c r="E2143" s="10" t="n">
        <f aca="false">C2143*D2143</f>
        <v>9.95</v>
      </c>
    </row>
    <row r="2144" customFormat="false" ht="15" hidden="false" customHeight="false" outlineLevel="0" collapsed="false">
      <c r="A2144" s="9" t="s">
        <v>1216</v>
      </c>
      <c r="B2144" s="9" t="s">
        <v>498</v>
      </c>
      <c r="C2144" s="9" t="n">
        <v>12</v>
      </c>
      <c r="D2144" s="10" t="n">
        <v>0.29</v>
      </c>
      <c r="E2144" s="10" t="n">
        <f aca="false">C2144*D2144</f>
        <v>3.48</v>
      </c>
    </row>
    <row r="2145" customFormat="false" ht="15" hidden="false" customHeight="false" outlineLevel="0" collapsed="false">
      <c r="A2145" s="9" t="s">
        <v>1216</v>
      </c>
      <c r="B2145" s="9" t="s">
        <v>633</v>
      </c>
      <c r="C2145" s="9" t="n">
        <v>12</v>
      </c>
      <c r="D2145" s="10" t="n">
        <v>0.42</v>
      </c>
      <c r="E2145" s="10" t="n">
        <f aca="false">C2145*D2145</f>
        <v>5.04</v>
      </c>
    </row>
    <row r="2146" customFormat="false" ht="15" hidden="false" customHeight="false" outlineLevel="0" collapsed="false">
      <c r="A2146" s="9" t="s">
        <v>1216</v>
      </c>
      <c r="B2146" s="9" t="s">
        <v>272</v>
      </c>
      <c r="C2146" s="9" t="n">
        <v>1</v>
      </c>
      <c r="D2146" s="10" t="n">
        <v>4.95</v>
      </c>
      <c r="E2146" s="10" t="n">
        <f aca="false">C2146*D2146</f>
        <v>4.95</v>
      </c>
    </row>
    <row r="2147" customFormat="false" ht="15" hidden="false" customHeight="false" outlineLevel="0" collapsed="false">
      <c r="A2147" s="9" t="s">
        <v>1216</v>
      </c>
      <c r="B2147" s="9" t="s">
        <v>1229</v>
      </c>
      <c r="C2147" s="9" t="n">
        <v>1</v>
      </c>
      <c r="D2147" s="10" t="n">
        <v>2.95</v>
      </c>
      <c r="E2147" s="10" t="n">
        <f aca="false">C2147*D2147</f>
        <v>2.95</v>
      </c>
    </row>
    <row r="2148" customFormat="false" ht="15" hidden="false" customHeight="false" outlineLevel="0" collapsed="false">
      <c r="A2148" s="9" t="s">
        <v>1216</v>
      </c>
      <c r="B2148" s="9" t="s">
        <v>1230</v>
      </c>
      <c r="C2148" s="9" t="n">
        <v>1</v>
      </c>
      <c r="D2148" s="10" t="n">
        <v>3.75</v>
      </c>
      <c r="E2148" s="10" t="n">
        <f aca="false">C2148*D2148</f>
        <v>3.75</v>
      </c>
    </row>
    <row r="2149" customFormat="false" ht="15" hidden="false" customHeight="false" outlineLevel="0" collapsed="false">
      <c r="A2149" s="9" t="s">
        <v>1216</v>
      </c>
      <c r="B2149" s="9" t="s">
        <v>68</v>
      </c>
      <c r="C2149" s="9" t="n">
        <v>1</v>
      </c>
      <c r="D2149" s="10" t="n">
        <v>1.95</v>
      </c>
      <c r="E2149" s="10" t="n">
        <f aca="false">C2149*D2149</f>
        <v>1.95</v>
      </c>
    </row>
    <row r="2150" customFormat="false" ht="15" hidden="false" customHeight="false" outlineLevel="0" collapsed="false">
      <c r="A2150" s="9" t="s">
        <v>1216</v>
      </c>
      <c r="B2150" s="9" t="s">
        <v>806</v>
      </c>
      <c r="C2150" s="9" t="n">
        <v>1</v>
      </c>
      <c r="D2150" s="10" t="n">
        <v>1.25</v>
      </c>
      <c r="E2150" s="10" t="n">
        <f aca="false">C2150*D2150</f>
        <v>1.25</v>
      </c>
    </row>
    <row r="2151" customFormat="false" ht="15" hidden="false" customHeight="false" outlineLevel="0" collapsed="false">
      <c r="A2151" s="9" t="s">
        <v>1216</v>
      </c>
      <c r="B2151" s="9" t="s">
        <v>515</v>
      </c>
      <c r="C2151" s="9" t="n">
        <v>1</v>
      </c>
      <c r="D2151" s="10" t="n">
        <v>3.75</v>
      </c>
      <c r="E2151" s="10" t="n">
        <f aca="false">C2151*D2151</f>
        <v>3.75</v>
      </c>
    </row>
    <row r="2152" customFormat="false" ht="15" hidden="false" customHeight="false" outlineLevel="0" collapsed="false">
      <c r="A2152" s="9" t="s">
        <v>1216</v>
      </c>
      <c r="B2152" s="9" t="s">
        <v>1231</v>
      </c>
      <c r="C2152" s="9" t="n">
        <v>1</v>
      </c>
      <c r="D2152" s="10" t="n">
        <v>3.75</v>
      </c>
      <c r="E2152" s="10" t="n">
        <f aca="false">C2152*D2152</f>
        <v>3.75</v>
      </c>
    </row>
    <row r="2153" customFormat="false" ht="15" hidden="false" customHeight="false" outlineLevel="0" collapsed="false">
      <c r="A2153" s="9" t="s">
        <v>1216</v>
      </c>
      <c r="B2153" s="9" t="s">
        <v>834</v>
      </c>
      <c r="C2153" s="9" t="n">
        <v>1</v>
      </c>
      <c r="D2153" s="10" t="n">
        <v>6.95</v>
      </c>
      <c r="E2153" s="10" t="n">
        <f aca="false">C2153*D2153</f>
        <v>6.95</v>
      </c>
    </row>
    <row r="2154" customFormat="false" ht="15" hidden="false" customHeight="false" outlineLevel="0" collapsed="false">
      <c r="A2154" s="9" t="s">
        <v>1216</v>
      </c>
      <c r="B2154" s="9" t="s">
        <v>835</v>
      </c>
      <c r="C2154" s="9" t="n">
        <v>1</v>
      </c>
      <c r="D2154" s="10" t="n">
        <v>5.95</v>
      </c>
      <c r="E2154" s="10" t="n">
        <f aca="false">C2154*D2154</f>
        <v>5.95</v>
      </c>
    </row>
    <row r="2155" customFormat="false" ht="15" hidden="false" customHeight="false" outlineLevel="0" collapsed="false">
      <c r="A2155" s="9" t="s">
        <v>1216</v>
      </c>
      <c r="B2155" s="9" t="s">
        <v>1232</v>
      </c>
      <c r="C2155" s="9" t="n">
        <v>2</v>
      </c>
      <c r="D2155" s="10" t="n">
        <v>2.55</v>
      </c>
      <c r="E2155" s="10" t="n">
        <f aca="false">C2155*D2155</f>
        <v>5.1</v>
      </c>
    </row>
    <row r="2156" customFormat="false" ht="15" hidden="false" customHeight="false" outlineLevel="0" collapsed="false">
      <c r="A2156" s="9" t="s">
        <v>1216</v>
      </c>
      <c r="B2156" s="9" t="s">
        <v>1233</v>
      </c>
      <c r="C2156" s="9" t="n">
        <v>2</v>
      </c>
      <c r="D2156" s="10" t="n">
        <v>6.75</v>
      </c>
      <c r="E2156" s="10" t="n">
        <f aca="false">C2156*D2156</f>
        <v>13.5</v>
      </c>
    </row>
    <row r="2157" customFormat="false" ht="15" hidden="false" customHeight="false" outlineLevel="0" collapsed="false">
      <c r="A2157" s="9" t="s">
        <v>1216</v>
      </c>
      <c r="B2157" s="9" t="s">
        <v>1234</v>
      </c>
      <c r="C2157" s="9" t="n">
        <v>1</v>
      </c>
      <c r="D2157" s="10" t="n">
        <v>14.95</v>
      </c>
      <c r="E2157" s="10" t="n">
        <f aca="false">C2157*D2157</f>
        <v>14.95</v>
      </c>
    </row>
    <row r="2158" customFormat="false" ht="15" hidden="false" customHeight="false" outlineLevel="0" collapsed="false">
      <c r="A2158" s="9" t="s">
        <v>1216</v>
      </c>
      <c r="B2158" s="9" t="s">
        <v>999</v>
      </c>
      <c r="C2158" s="9" t="n">
        <v>2</v>
      </c>
      <c r="D2158" s="10" t="n">
        <v>2.1</v>
      </c>
      <c r="E2158" s="10" t="n">
        <f aca="false">C2158*D2158</f>
        <v>4.2</v>
      </c>
    </row>
    <row r="2159" customFormat="false" ht="15" hidden="false" customHeight="false" outlineLevel="0" collapsed="false">
      <c r="A2159" s="9" t="s">
        <v>1216</v>
      </c>
      <c r="B2159" s="9" t="s">
        <v>695</v>
      </c>
      <c r="C2159" s="9" t="n">
        <v>2</v>
      </c>
      <c r="D2159" s="10" t="n">
        <v>1.25</v>
      </c>
      <c r="E2159" s="10" t="n">
        <f aca="false">C2159*D2159</f>
        <v>2.5</v>
      </c>
    </row>
    <row r="2160" customFormat="false" ht="15" hidden="false" customHeight="false" outlineLevel="0" collapsed="false">
      <c r="A2160" s="9" t="s">
        <v>1216</v>
      </c>
      <c r="B2160" s="9" t="s">
        <v>614</v>
      </c>
      <c r="C2160" s="9" t="n">
        <v>4</v>
      </c>
      <c r="D2160" s="10" t="n">
        <v>0.85</v>
      </c>
      <c r="E2160" s="10" t="n">
        <f aca="false">C2160*D2160</f>
        <v>3.4</v>
      </c>
    </row>
    <row r="2161" customFormat="false" ht="15" hidden="false" customHeight="false" outlineLevel="0" collapsed="false">
      <c r="A2161" s="9" t="s">
        <v>1216</v>
      </c>
      <c r="B2161" s="9" t="s">
        <v>1209</v>
      </c>
      <c r="C2161" s="9" t="n">
        <v>1</v>
      </c>
      <c r="D2161" s="10" t="n">
        <v>0.85</v>
      </c>
      <c r="E2161" s="10" t="n">
        <f aca="false">C2161*D2161</f>
        <v>0.85</v>
      </c>
    </row>
    <row r="2162" customFormat="false" ht="15" hidden="false" customHeight="false" outlineLevel="0" collapsed="false">
      <c r="A2162" s="9" t="s">
        <v>1216</v>
      </c>
      <c r="B2162" s="9" t="s">
        <v>1094</v>
      </c>
      <c r="C2162" s="9" t="n">
        <v>1</v>
      </c>
      <c r="D2162" s="10" t="n">
        <v>1.25</v>
      </c>
      <c r="E2162" s="10" t="n">
        <f aca="false">C2162*D2162</f>
        <v>1.25</v>
      </c>
    </row>
    <row r="2163" customFormat="false" ht="15" hidden="false" customHeight="false" outlineLevel="0" collapsed="false">
      <c r="A2163" s="9" t="s">
        <v>1216</v>
      </c>
      <c r="B2163" s="9" t="s">
        <v>428</v>
      </c>
      <c r="C2163" s="9" t="n">
        <v>2</v>
      </c>
      <c r="D2163" s="10" t="n">
        <v>1.25</v>
      </c>
      <c r="E2163" s="10" t="n">
        <f aca="false">C2163*D2163</f>
        <v>2.5</v>
      </c>
    </row>
    <row r="2164" customFormat="false" ht="15" hidden="false" customHeight="false" outlineLevel="0" collapsed="false">
      <c r="A2164" s="9" t="s">
        <v>1216</v>
      </c>
      <c r="B2164" s="9" t="s">
        <v>1235</v>
      </c>
      <c r="C2164" s="9" t="n">
        <v>1</v>
      </c>
      <c r="D2164" s="10" t="n">
        <v>0.85</v>
      </c>
      <c r="E2164" s="10" t="n">
        <f aca="false">C2164*D2164</f>
        <v>0.85</v>
      </c>
    </row>
    <row r="2165" customFormat="false" ht="15" hidden="false" customHeight="false" outlineLevel="0" collapsed="false">
      <c r="A2165" s="9" t="s">
        <v>1216</v>
      </c>
      <c r="B2165" s="9" t="s">
        <v>1154</v>
      </c>
      <c r="C2165" s="9" t="n">
        <v>1</v>
      </c>
      <c r="D2165" s="10" t="n">
        <v>2.55</v>
      </c>
      <c r="E2165" s="10" t="n">
        <f aca="false">C2165*D2165</f>
        <v>2.55</v>
      </c>
    </row>
    <row r="2166" customFormat="false" ht="15" hidden="false" customHeight="false" outlineLevel="0" collapsed="false">
      <c r="A2166" s="9" t="s">
        <v>1216</v>
      </c>
      <c r="B2166" s="9" t="s">
        <v>1236</v>
      </c>
      <c r="C2166" s="9" t="n">
        <v>3</v>
      </c>
      <c r="D2166" s="10" t="n">
        <v>0.85</v>
      </c>
      <c r="E2166" s="10" t="n">
        <f aca="false">C2166*D2166</f>
        <v>2.55</v>
      </c>
    </row>
    <row r="2167" customFormat="false" ht="15" hidden="false" customHeight="false" outlineLevel="0" collapsed="false">
      <c r="A2167" s="9" t="s">
        <v>1216</v>
      </c>
      <c r="B2167" s="9" t="s">
        <v>606</v>
      </c>
      <c r="C2167" s="9" t="n">
        <v>12</v>
      </c>
      <c r="D2167" s="10" t="n">
        <v>0.85</v>
      </c>
      <c r="E2167" s="10" t="n">
        <f aca="false">C2167*D2167</f>
        <v>10.2</v>
      </c>
    </row>
    <row r="2168" customFormat="false" ht="15" hidden="false" customHeight="false" outlineLevel="0" collapsed="false">
      <c r="A2168" s="9" t="s">
        <v>1216</v>
      </c>
      <c r="B2168" s="9" t="s">
        <v>993</v>
      </c>
      <c r="C2168" s="9" t="n">
        <v>2</v>
      </c>
      <c r="D2168" s="10" t="n">
        <v>2.1</v>
      </c>
      <c r="E2168" s="10" t="n">
        <f aca="false">C2168*D2168</f>
        <v>4.2</v>
      </c>
    </row>
    <row r="2169" customFormat="false" ht="15" hidden="false" customHeight="false" outlineLevel="0" collapsed="false">
      <c r="A2169" s="9" t="s">
        <v>1216</v>
      </c>
      <c r="B2169" s="9" t="s">
        <v>497</v>
      </c>
      <c r="C2169" s="9" t="n">
        <v>12</v>
      </c>
      <c r="D2169" s="10" t="n">
        <v>0.85</v>
      </c>
      <c r="E2169" s="10" t="n">
        <f aca="false">C2169*D2169</f>
        <v>10.2</v>
      </c>
    </row>
    <row r="2170" customFormat="false" ht="15" hidden="false" customHeight="false" outlineLevel="0" collapsed="false">
      <c r="A2170" s="9" t="s">
        <v>1216</v>
      </c>
      <c r="B2170" s="9" t="s">
        <v>1237</v>
      </c>
      <c r="C2170" s="9" t="n">
        <v>1</v>
      </c>
      <c r="D2170" s="10" t="n">
        <v>0.85</v>
      </c>
      <c r="E2170" s="10" t="n">
        <f aca="false">C2170*D2170</f>
        <v>0.85</v>
      </c>
    </row>
    <row r="2171" customFormat="false" ht="15" hidden="false" customHeight="false" outlineLevel="0" collapsed="false">
      <c r="A2171" s="9" t="s">
        <v>1238</v>
      </c>
      <c r="B2171" s="9" t="s">
        <v>271</v>
      </c>
      <c r="C2171" s="9" t="n">
        <v>24</v>
      </c>
      <c r="D2171" s="10" t="n">
        <v>4.25</v>
      </c>
      <c r="E2171" s="10" t="n">
        <f aca="false">C2171*D2171</f>
        <v>102</v>
      </c>
    </row>
    <row r="2172" customFormat="false" ht="15" hidden="false" customHeight="false" outlineLevel="0" collapsed="false">
      <c r="A2172" s="9" t="s">
        <v>1238</v>
      </c>
      <c r="B2172" s="9" t="s">
        <v>515</v>
      </c>
      <c r="C2172" s="9" t="n">
        <v>36</v>
      </c>
      <c r="D2172" s="10" t="n">
        <v>3.39</v>
      </c>
      <c r="E2172" s="10" t="n">
        <f aca="false">C2172*D2172</f>
        <v>122.04</v>
      </c>
    </row>
    <row r="2173" customFormat="false" ht="15" hidden="false" customHeight="false" outlineLevel="0" collapsed="false">
      <c r="A2173" s="9" t="s">
        <v>1238</v>
      </c>
      <c r="B2173" s="9" t="s">
        <v>180</v>
      </c>
      <c r="C2173" s="9" t="n">
        <v>12</v>
      </c>
      <c r="D2173" s="10" t="n">
        <v>2.95</v>
      </c>
      <c r="E2173" s="10" t="n">
        <f aca="false">C2173*D2173</f>
        <v>35.4</v>
      </c>
    </row>
    <row r="2174" customFormat="false" ht="15" hidden="false" customHeight="false" outlineLevel="0" collapsed="false">
      <c r="A2174" s="9" t="s">
        <v>1238</v>
      </c>
      <c r="B2174" s="9" t="s">
        <v>553</v>
      </c>
      <c r="C2174" s="9" t="n">
        <v>12</v>
      </c>
      <c r="D2174" s="10" t="n">
        <v>1.25</v>
      </c>
      <c r="E2174" s="10" t="n">
        <f aca="false">C2174*D2174</f>
        <v>15</v>
      </c>
    </row>
    <row r="2175" customFormat="false" ht="15" hidden="false" customHeight="false" outlineLevel="0" collapsed="false">
      <c r="A2175" s="9" t="s">
        <v>1238</v>
      </c>
      <c r="B2175" s="9" t="s">
        <v>1239</v>
      </c>
      <c r="C2175" s="9" t="n">
        <v>2</v>
      </c>
      <c r="D2175" s="10" t="n">
        <v>14.95</v>
      </c>
      <c r="E2175" s="10" t="n">
        <f aca="false">C2175*D2175</f>
        <v>29.9</v>
      </c>
    </row>
    <row r="2176" customFormat="false" ht="15" hidden="false" customHeight="false" outlineLevel="0" collapsed="false">
      <c r="A2176" s="9" t="s">
        <v>1240</v>
      </c>
      <c r="B2176" s="9" t="s">
        <v>955</v>
      </c>
      <c r="C2176" s="9" t="n">
        <v>24</v>
      </c>
      <c r="D2176" s="10" t="n">
        <v>0.65</v>
      </c>
      <c r="E2176" s="10" t="n">
        <f aca="false">C2176*D2176</f>
        <v>15.6</v>
      </c>
    </row>
    <row r="2177" customFormat="false" ht="15" hidden="false" customHeight="false" outlineLevel="0" collapsed="false">
      <c r="A2177" s="9" t="s">
        <v>1240</v>
      </c>
      <c r="B2177" s="9" t="s">
        <v>938</v>
      </c>
      <c r="C2177" s="9" t="n">
        <v>2</v>
      </c>
      <c r="D2177" s="10" t="n">
        <v>7.95</v>
      </c>
      <c r="E2177" s="10" t="n">
        <f aca="false">C2177*D2177</f>
        <v>15.9</v>
      </c>
    </row>
    <row r="2178" customFormat="false" ht="15" hidden="false" customHeight="false" outlineLevel="0" collapsed="false">
      <c r="A2178" s="9" t="s">
        <v>1240</v>
      </c>
      <c r="B2178" s="9" t="s">
        <v>487</v>
      </c>
      <c r="C2178" s="9" t="n">
        <v>24</v>
      </c>
      <c r="D2178" s="10" t="n">
        <v>0.55</v>
      </c>
      <c r="E2178" s="10" t="n">
        <f aca="false">C2178*D2178</f>
        <v>13.2</v>
      </c>
    </row>
    <row r="2179" customFormat="false" ht="15" hidden="false" customHeight="false" outlineLevel="0" collapsed="false">
      <c r="A2179" s="9" t="s">
        <v>1240</v>
      </c>
      <c r="B2179" s="9" t="s">
        <v>125</v>
      </c>
      <c r="C2179" s="9" t="n">
        <v>10</v>
      </c>
      <c r="D2179" s="10" t="n">
        <v>1.95</v>
      </c>
      <c r="E2179" s="10" t="n">
        <f aca="false">C2179*D2179</f>
        <v>19.5</v>
      </c>
    </row>
    <row r="2180" customFormat="false" ht="15" hidden="false" customHeight="false" outlineLevel="0" collapsed="false">
      <c r="A2180" s="9" t="s">
        <v>1240</v>
      </c>
      <c r="B2180" s="9" t="s">
        <v>1241</v>
      </c>
      <c r="C2180" s="9" t="n">
        <v>24</v>
      </c>
      <c r="D2180" s="10" t="n">
        <v>0.65</v>
      </c>
      <c r="E2180" s="10" t="n">
        <f aca="false">C2180*D2180</f>
        <v>15.6</v>
      </c>
    </row>
    <row r="2181" customFormat="false" ht="15" hidden="false" customHeight="false" outlineLevel="0" collapsed="false">
      <c r="A2181" s="9" t="s">
        <v>1240</v>
      </c>
      <c r="B2181" s="9" t="s">
        <v>1119</v>
      </c>
      <c r="C2181" s="9" t="n">
        <v>12</v>
      </c>
      <c r="D2181" s="10" t="n">
        <v>1.45</v>
      </c>
      <c r="E2181" s="10" t="n">
        <f aca="false">C2181*D2181</f>
        <v>17.4</v>
      </c>
    </row>
    <row r="2182" customFormat="false" ht="15" hidden="false" customHeight="false" outlineLevel="0" collapsed="false">
      <c r="A2182" s="9" t="s">
        <v>1240</v>
      </c>
      <c r="B2182" s="9" t="s">
        <v>981</v>
      </c>
      <c r="C2182" s="9" t="n">
        <v>2</v>
      </c>
      <c r="D2182" s="10" t="n">
        <v>6.75</v>
      </c>
      <c r="E2182" s="10" t="n">
        <f aca="false">C2182*D2182</f>
        <v>13.5</v>
      </c>
    </row>
    <row r="2183" customFormat="false" ht="15" hidden="false" customHeight="false" outlineLevel="0" collapsed="false">
      <c r="A2183" s="9" t="s">
        <v>1240</v>
      </c>
      <c r="B2183" s="9" t="s">
        <v>812</v>
      </c>
      <c r="C2183" s="9" t="n">
        <v>24</v>
      </c>
      <c r="D2183" s="10" t="n">
        <v>1.25</v>
      </c>
      <c r="E2183" s="10" t="n">
        <f aca="false">C2183*D2183</f>
        <v>30</v>
      </c>
    </row>
    <row r="2184" customFormat="false" ht="15" hidden="false" customHeight="false" outlineLevel="0" collapsed="false">
      <c r="A2184" s="9" t="s">
        <v>1240</v>
      </c>
      <c r="B2184" s="9" t="s">
        <v>1242</v>
      </c>
      <c r="C2184" s="9" t="n">
        <v>4</v>
      </c>
      <c r="D2184" s="10" t="n">
        <v>4.95</v>
      </c>
      <c r="E2184" s="10" t="n">
        <f aca="false">C2184*D2184</f>
        <v>19.8</v>
      </c>
    </row>
    <row r="2185" customFormat="false" ht="15" hidden="false" customHeight="false" outlineLevel="0" collapsed="false">
      <c r="A2185" s="9" t="s">
        <v>1240</v>
      </c>
      <c r="B2185" s="9" t="s">
        <v>962</v>
      </c>
      <c r="C2185" s="9" t="n">
        <v>12</v>
      </c>
      <c r="D2185" s="10" t="n">
        <v>1.25</v>
      </c>
      <c r="E2185" s="10" t="n">
        <f aca="false">C2185*D2185</f>
        <v>15</v>
      </c>
    </row>
    <row r="2186" customFormat="false" ht="15" hidden="false" customHeight="false" outlineLevel="0" collapsed="false">
      <c r="A2186" s="9" t="s">
        <v>1240</v>
      </c>
      <c r="B2186" s="9" t="s">
        <v>1243</v>
      </c>
      <c r="C2186" s="9" t="n">
        <v>12</v>
      </c>
      <c r="D2186" s="10" t="n">
        <v>1.45</v>
      </c>
      <c r="E2186" s="10" t="n">
        <f aca="false">C2186*D2186</f>
        <v>17.4</v>
      </c>
    </row>
    <row r="2187" customFormat="false" ht="15" hidden="false" customHeight="false" outlineLevel="0" collapsed="false">
      <c r="A2187" s="9" t="s">
        <v>1240</v>
      </c>
      <c r="B2187" s="9" t="s">
        <v>952</v>
      </c>
      <c r="C2187" s="9" t="n">
        <v>48</v>
      </c>
      <c r="D2187" s="10" t="n">
        <v>0.42</v>
      </c>
      <c r="E2187" s="10" t="n">
        <f aca="false">C2187*D2187</f>
        <v>20.16</v>
      </c>
    </row>
    <row r="2188" customFormat="false" ht="15" hidden="false" customHeight="false" outlineLevel="0" collapsed="false">
      <c r="A2188" s="9" t="s">
        <v>1240</v>
      </c>
      <c r="B2188" s="9" t="s">
        <v>1244</v>
      </c>
      <c r="C2188" s="9" t="n">
        <v>48</v>
      </c>
      <c r="D2188" s="10" t="n">
        <v>0.42</v>
      </c>
      <c r="E2188" s="10" t="n">
        <f aca="false">C2188*D2188</f>
        <v>20.16</v>
      </c>
    </row>
    <row r="2189" customFormat="false" ht="15" hidden="false" customHeight="false" outlineLevel="0" collapsed="false">
      <c r="A2189" s="9" t="s">
        <v>1240</v>
      </c>
      <c r="B2189" s="9" t="s">
        <v>1245</v>
      </c>
      <c r="C2189" s="9" t="n">
        <v>2</v>
      </c>
      <c r="D2189" s="10" t="n">
        <v>5.95</v>
      </c>
      <c r="E2189" s="10" t="n">
        <f aca="false">C2189*D2189</f>
        <v>11.9</v>
      </c>
    </row>
    <row r="2190" customFormat="false" ht="15" hidden="false" customHeight="false" outlineLevel="0" collapsed="false">
      <c r="A2190" s="9" t="s">
        <v>1240</v>
      </c>
      <c r="B2190" s="9" t="s">
        <v>506</v>
      </c>
      <c r="C2190" s="9" t="n">
        <v>12</v>
      </c>
      <c r="D2190" s="10" t="n">
        <v>0.85</v>
      </c>
      <c r="E2190" s="10" t="n">
        <f aca="false">C2190*D2190</f>
        <v>10.2</v>
      </c>
    </row>
    <row r="2191" customFormat="false" ht="15" hidden="false" customHeight="false" outlineLevel="0" collapsed="false">
      <c r="A2191" s="9" t="s">
        <v>1240</v>
      </c>
      <c r="B2191" s="9" t="s">
        <v>1246</v>
      </c>
      <c r="C2191" s="9" t="n">
        <v>6</v>
      </c>
      <c r="D2191" s="10" t="n">
        <v>1.95</v>
      </c>
      <c r="E2191" s="10" t="n">
        <f aca="false">C2191*D2191</f>
        <v>11.7</v>
      </c>
    </row>
    <row r="2192" customFormat="false" ht="15" hidden="false" customHeight="false" outlineLevel="0" collapsed="false">
      <c r="A2192" s="9" t="s">
        <v>1240</v>
      </c>
      <c r="B2192" s="9" t="s">
        <v>964</v>
      </c>
      <c r="C2192" s="9" t="n">
        <v>6</v>
      </c>
      <c r="D2192" s="10" t="n">
        <v>2.1</v>
      </c>
      <c r="E2192" s="10" t="n">
        <f aca="false">C2192*D2192</f>
        <v>12.6</v>
      </c>
    </row>
    <row r="2193" customFormat="false" ht="15" hidden="false" customHeight="false" outlineLevel="0" collapsed="false">
      <c r="A2193" s="9" t="s">
        <v>1240</v>
      </c>
      <c r="B2193" s="9" t="s">
        <v>539</v>
      </c>
      <c r="C2193" s="9" t="n">
        <v>12</v>
      </c>
      <c r="D2193" s="10" t="n">
        <v>1.25</v>
      </c>
      <c r="E2193" s="10" t="n">
        <f aca="false">C2193*D2193</f>
        <v>15</v>
      </c>
    </row>
    <row r="2194" customFormat="false" ht="15" hidden="false" customHeight="false" outlineLevel="0" collapsed="false">
      <c r="A2194" s="9" t="s">
        <v>1247</v>
      </c>
      <c r="B2194" s="9" t="s">
        <v>428</v>
      </c>
      <c r="C2194" s="9" t="n">
        <v>12</v>
      </c>
      <c r="D2194" s="10" t="n">
        <v>1.25</v>
      </c>
      <c r="E2194" s="10" t="n">
        <f aca="false">C2194*D2194</f>
        <v>15</v>
      </c>
    </row>
    <row r="2195" customFormat="false" ht="15" hidden="false" customHeight="false" outlineLevel="0" collapsed="false">
      <c r="A2195" s="9" t="s">
        <v>1247</v>
      </c>
      <c r="B2195" s="9" t="s">
        <v>1218</v>
      </c>
      <c r="C2195" s="9" t="n">
        <v>12</v>
      </c>
      <c r="D2195" s="10" t="n">
        <v>0.85</v>
      </c>
      <c r="E2195" s="10" t="n">
        <f aca="false">C2195*D2195</f>
        <v>10.2</v>
      </c>
    </row>
    <row r="2196" customFormat="false" ht="15" hidden="false" customHeight="false" outlineLevel="0" collapsed="false">
      <c r="A2196" s="9" t="s">
        <v>1247</v>
      </c>
      <c r="B2196" s="9" t="s">
        <v>493</v>
      </c>
      <c r="C2196" s="9" t="n">
        <v>12</v>
      </c>
      <c r="D2196" s="10" t="n">
        <v>1.45</v>
      </c>
      <c r="E2196" s="10" t="n">
        <f aca="false">C2196*D2196</f>
        <v>17.4</v>
      </c>
    </row>
    <row r="2197" customFormat="false" ht="15" hidden="false" customHeight="false" outlineLevel="0" collapsed="false">
      <c r="A2197" s="9" t="s">
        <v>1247</v>
      </c>
      <c r="B2197" s="9" t="s">
        <v>1246</v>
      </c>
      <c r="C2197" s="9" t="n">
        <v>6</v>
      </c>
      <c r="D2197" s="10" t="n">
        <v>1.95</v>
      </c>
      <c r="E2197" s="10" t="n">
        <f aca="false">C2197*D2197</f>
        <v>11.7</v>
      </c>
    </row>
    <row r="2198" customFormat="false" ht="15" hidden="false" customHeight="false" outlineLevel="0" collapsed="false">
      <c r="A2198" s="9" t="s">
        <v>1247</v>
      </c>
      <c r="B2198" s="9" t="s">
        <v>53</v>
      </c>
      <c r="C2198" s="9" t="n">
        <v>6</v>
      </c>
      <c r="D2198" s="10" t="n">
        <v>5.95</v>
      </c>
      <c r="E2198" s="10" t="n">
        <f aca="false">C2198*D2198</f>
        <v>35.7</v>
      </c>
    </row>
    <row r="2199" customFormat="false" ht="15" hidden="false" customHeight="false" outlineLevel="0" collapsed="false">
      <c r="A2199" s="9" t="s">
        <v>1247</v>
      </c>
      <c r="B2199" s="9" t="s">
        <v>1248</v>
      </c>
      <c r="C2199" s="9" t="n">
        <v>12</v>
      </c>
      <c r="D2199" s="10" t="n">
        <v>1.25</v>
      </c>
      <c r="E2199" s="10" t="n">
        <f aca="false">C2199*D2199</f>
        <v>15</v>
      </c>
    </row>
    <row r="2200" customFormat="false" ht="15" hidden="false" customHeight="false" outlineLevel="0" collapsed="false">
      <c r="A2200" s="9" t="s">
        <v>1247</v>
      </c>
      <c r="B2200" s="9" t="s">
        <v>695</v>
      </c>
      <c r="C2200" s="9" t="n">
        <v>12</v>
      </c>
      <c r="D2200" s="10" t="n">
        <v>1.25</v>
      </c>
      <c r="E2200" s="10" t="n">
        <f aca="false">C2200*D2200</f>
        <v>15</v>
      </c>
    </row>
    <row r="2201" customFormat="false" ht="15" hidden="false" customHeight="false" outlineLevel="0" collapsed="false">
      <c r="A2201" s="9" t="s">
        <v>1247</v>
      </c>
      <c r="B2201" s="9" t="s">
        <v>66</v>
      </c>
      <c r="C2201" s="9" t="n">
        <v>3</v>
      </c>
      <c r="D2201" s="10" t="n">
        <v>5.95</v>
      </c>
      <c r="E2201" s="10" t="n">
        <f aca="false">C2201*D2201</f>
        <v>17.85</v>
      </c>
    </row>
    <row r="2202" customFormat="false" ht="15" hidden="false" customHeight="false" outlineLevel="0" collapsed="false">
      <c r="A2202" s="9" t="s">
        <v>1247</v>
      </c>
      <c r="B2202" s="9" t="s">
        <v>179</v>
      </c>
      <c r="C2202" s="9" t="n">
        <v>12</v>
      </c>
      <c r="D2202" s="10" t="n">
        <v>1.65</v>
      </c>
      <c r="E2202" s="10" t="n">
        <f aca="false">C2202*D2202</f>
        <v>19.8</v>
      </c>
    </row>
    <row r="2203" customFormat="false" ht="15" hidden="false" customHeight="false" outlineLevel="0" collapsed="false">
      <c r="A2203" s="9" t="s">
        <v>1247</v>
      </c>
      <c r="B2203" s="9" t="s">
        <v>501</v>
      </c>
      <c r="C2203" s="9" t="n">
        <v>24</v>
      </c>
      <c r="D2203" s="10" t="n">
        <v>0.85</v>
      </c>
      <c r="E2203" s="10" t="n">
        <f aca="false">C2203*D2203</f>
        <v>20.4</v>
      </c>
    </row>
    <row r="2204" customFormat="false" ht="15" hidden="false" customHeight="false" outlineLevel="0" collapsed="false">
      <c r="A2204" s="9" t="s">
        <v>1247</v>
      </c>
      <c r="B2204" s="9" t="s">
        <v>142</v>
      </c>
      <c r="C2204" s="9" t="n">
        <v>10</v>
      </c>
      <c r="D2204" s="10" t="n">
        <v>6.75</v>
      </c>
      <c r="E2204" s="10" t="n">
        <f aca="false">C2204*D2204</f>
        <v>67.5</v>
      </c>
    </row>
    <row r="2205" customFormat="false" ht="15" hidden="false" customHeight="false" outlineLevel="0" collapsed="false">
      <c r="A2205" s="9" t="s">
        <v>1247</v>
      </c>
      <c r="B2205" s="9" t="s">
        <v>502</v>
      </c>
      <c r="C2205" s="9" t="n">
        <v>24</v>
      </c>
      <c r="D2205" s="10" t="n">
        <v>0.85</v>
      </c>
      <c r="E2205" s="10" t="n">
        <f aca="false">C2205*D2205</f>
        <v>20.4</v>
      </c>
    </row>
    <row r="2206" customFormat="false" ht="15" hidden="false" customHeight="false" outlineLevel="0" collapsed="false">
      <c r="A2206" s="9" t="s">
        <v>1247</v>
      </c>
      <c r="B2206" s="9" t="s">
        <v>508</v>
      </c>
      <c r="C2206" s="9" t="n">
        <v>24</v>
      </c>
      <c r="D2206" s="10" t="n">
        <v>0.85</v>
      </c>
      <c r="E2206" s="10" t="n">
        <f aca="false">C2206*D2206</f>
        <v>20.4</v>
      </c>
    </row>
    <row r="2207" customFormat="false" ht="15" hidden="false" customHeight="false" outlineLevel="0" collapsed="false">
      <c r="A2207" s="9" t="s">
        <v>1247</v>
      </c>
      <c r="B2207" s="9" t="s">
        <v>1155</v>
      </c>
      <c r="C2207" s="9" t="n">
        <v>6</v>
      </c>
      <c r="D2207" s="10" t="n">
        <v>2.55</v>
      </c>
      <c r="E2207" s="10" t="n">
        <f aca="false">C2207*D2207</f>
        <v>15.3</v>
      </c>
    </row>
    <row r="2208" customFormat="false" ht="15" hidden="false" customHeight="false" outlineLevel="0" collapsed="false">
      <c r="A2208" s="9" t="s">
        <v>1247</v>
      </c>
      <c r="B2208" s="9" t="s">
        <v>834</v>
      </c>
      <c r="C2208" s="9" t="n">
        <v>3</v>
      </c>
      <c r="D2208" s="10" t="n">
        <v>6.95</v>
      </c>
      <c r="E2208" s="10" t="n">
        <f aca="false">C2208*D2208</f>
        <v>20.85</v>
      </c>
    </row>
    <row r="2209" customFormat="false" ht="15" hidden="false" customHeight="false" outlineLevel="0" collapsed="false">
      <c r="A2209" s="9" t="s">
        <v>1247</v>
      </c>
      <c r="B2209" s="9" t="s">
        <v>602</v>
      </c>
      <c r="C2209" s="9" t="n">
        <v>24</v>
      </c>
      <c r="D2209" s="10" t="n">
        <v>0.85</v>
      </c>
      <c r="E2209" s="10" t="n">
        <f aca="false">C2209*D2209</f>
        <v>20.4</v>
      </c>
    </row>
    <row r="2210" customFormat="false" ht="15" hidden="false" customHeight="false" outlineLevel="0" collapsed="false">
      <c r="A2210" s="9" t="s">
        <v>1247</v>
      </c>
      <c r="B2210" s="9" t="s">
        <v>835</v>
      </c>
      <c r="C2210" s="9" t="n">
        <v>3</v>
      </c>
      <c r="D2210" s="10" t="n">
        <v>5.95</v>
      </c>
      <c r="E2210" s="10" t="n">
        <f aca="false">C2210*D2210</f>
        <v>17.85</v>
      </c>
    </row>
    <row r="2211" customFormat="false" ht="15" hidden="false" customHeight="false" outlineLevel="0" collapsed="false">
      <c r="A2211" s="9" t="s">
        <v>1247</v>
      </c>
      <c r="B2211" s="9" t="s">
        <v>589</v>
      </c>
      <c r="C2211" s="9" t="n">
        <v>24</v>
      </c>
      <c r="D2211" s="10" t="n">
        <v>0.85</v>
      </c>
      <c r="E2211" s="10" t="n">
        <f aca="false">C2211*D2211</f>
        <v>20.4</v>
      </c>
    </row>
    <row r="2212" customFormat="false" ht="15" hidden="false" customHeight="false" outlineLevel="0" collapsed="false">
      <c r="A2212" s="9" t="s">
        <v>1247</v>
      </c>
      <c r="B2212" s="9" t="s">
        <v>1249</v>
      </c>
      <c r="C2212" s="9" t="n">
        <v>24</v>
      </c>
      <c r="D2212" s="10" t="n">
        <v>0.85</v>
      </c>
      <c r="E2212" s="10" t="n">
        <f aca="false">C2212*D2212</f>
        <v>20.4</v>
      </c>
    </row>
    <row r="2213" customFormat="false" ht="15" hidden="false" customHeight="false" outlineLevel="0" collapsed="false">
      <c r="A2213" s="9" t="s">
        <v>1247</v>
      </c>
      <c r="B2213" s="9" t="s">
        <v>1235</v>
      </c>
      <c r="C2213" s="9" t="n">
        <v>24</v>
      </c>
      <c r="D2213" s="10" t="n">
        <v>0.85</v>
      </c>
      <c r="E2213" s="10" t="n">
        <f aca="false">C2213*D2213</f>
        <v>20.4</v>
      </c>
    </row>
    <row r="2214" customFormat="false" ht="15" hidden="false" customHeight="false" outlineLevel="0" collapsed="false">
      <c r="A2214" s="9" t="s">
        <v>1247</v>
      </c>
      <c r="B2214" s="9" t="s">
        <v>852</v>
      </c>
      <c r="C2214" s="9" t="n">
        <v>24</v>
      </c>
      <c r="D2214" s="10" t="n">
        <v>0.85</v>
      </c>
      <c r="E2214" s="10" t="n">
        <f aca="false">C2214*D2214</f>
        <v>20.4</v>
      </c>
    </row>
    <row r="2215" customFormat="false" ht="15" hidden="false" customHeight="false" outlineLevel="0" collapsed="false">
      <c r="A2215" s="9" t="s">
        <v>1250</v>
      </c>
      <c r="B2215" s="9" t="s">
        <v>183</v>
      </c>
      <c r="C2215" s="9" t="n">
        <v>16</v>
      </c>
      <c r="D2215" s="10" t="n">
        <v>0.65</v>
      </c>
      <c r="E2215" s="10" t="n">
        <f aca="false">C2215*D2215</f>
        <v>10.4</v>
      </c>
    </row>
    <row r="2216" customFormat="false" ht="15" hidden="false" customHeight="false" outlineLevel="0" collapsed="false">
      <c r="A2216" s="9" t="s">
        <v>1250</v>
      </c>
      <c r="B2216" s="9" t="s">
        <v>394</v>
      </c>
      <c r="C2216" s="9" t="n">
        <v>12</v>
      </c>
      <c r="D2216" s="10" t="n">
        <v>0.95</v>
      </c>
      <c r="E2216" s="10" t="n">
        <f aca="false">C2216*D2216</f>
        <v>11.4</v>
      </c>
    </row>
    <row r="2217" customFormat="false" ht="15" hidden="false" customHeight="false" outlineLevel="0" collapsed="false">
      <c r="A2217" s="9" t="s">
        <v>1250</v>
      </c>
      <c r="B2217" s="9" t="s">
        <v>395</v>
      </c>
      <c r="C2217" s="9" t="n">
        <v>36</v>
      </c>
      <c r="D2217" s="10" t="n">
        <v>1.25</v>
      </c>
      <c r="E2217" s="10" t="n">
        <f aca="false">C2217*D2217</f>
        <v>45</v>
      </c>
    </row>
    <row r="2218" customFormat="false" ht="15" hidden="false" customHeight="false" outlineLevel="0" collapsed="false">
      <c r="A2218" s="9" t="s">
        <v>1250</v>
      </c>
      <c r="B2218" s="9" t="s">
        <v>861</v>
      </c>
      <c r="C2218" s="9" t="n">
        <v>72</v>
      </c>
      <c r="D2218" s="10" t="n">
        <v>1.06</v>
      </c>
      <c r="E2218" s="10" t="n">
        <f aca="false">C2218*D2218</f>
        <v>76.32</v>
      </c>
    </row>
    <row r="2219" customFormat="false" ht="15" hidden="false" customHeight="false" outlineLevel="0" collapsed="false">
      <c r="A2219" s="9" t="s">
        <v>1251</v>
      </c>
      <c r="B2219" s="9" t="s">
        <v>66</v>
      </c>
      <c r="C2219" s="9" t="n">
        <v>3</v>
      </c>
      <c r="D2219" s="10" t="n">
        <v>5.95</v>
      </c>
      <c r="E2219" s="10" t="n">
        <f aca="false">C2219*D2219</f>
        <v>17.85</v>
      </c>
    </row>
    <row r="2220" customFormat="false" ht="15" hidden="false" customHeight="false" outlineLevel="0" collapsed="false">
      <c r="A2220" s="9" t="s">
        <v>1252</v>
      </c>
      <c r="B2220" s="9" t="s">
        <v>814</v>
      </c>
      <c r="C2220" s="9" t="n">
        <v>252</v>
      </c>
      <c r="D2220" s="10" t="n">
        <v>1.25</v>
      </c>
      <c r="E2220" s="10" t="n">
        <f aca="false">C2220*D2220</f>
        <v>315</v>
      </c>
    </row>
    <row r="2221" customFormat="false" ht="15" hidden="false" customHeight="false" outlineLevel="0" collapsed="false">
      <c r="A2221" s="9" t="s">
        <v>1252</v>
      </c>
      <c r="B2221" s="9" t="s">
        <v>1253</v>
      </c>
      <c r="C2221" s="9" t="n">
        <v>48</v>
      </c>
      <c r="D2221" s="10" t="n">
        <v>4.6</v>
      </c>
      <c r="E2221" s="10" t="n">
        <f aca="false">C2221*D2221</f>
        <v>220.8</v>
      </c>
    </row>
    <row r="2222" customFormat="false" ht="15" hidden="false" customHeight="false" outlineLevel="0" collapsed="false">
      <c r="A2222" s="9" t="s">
        <v>1252</v>
      </c>
      <c r="B2222" s="9" t="s">
        <v>37</v>
      </c>
      <c r="C2222" s="9" t="n">
        <v>128</v>
      </c>
      <c r="D2222" s="10" t="n">
        <v>2.55</v>
      </c>
      <c r="E2222" s="10" t="n">
        <f aca="false">C2222*D2222</f>
        <v>326.4</v>
      </c>
    </row>
    <row r="2223" customFormat="false" ht="15" hidden="false" customHeight="false" outlineLevel="0" collapsed="false">
      <c r="A2223" s="9" t="s">
        <v>1252</v>
      </c>
      <c r="B2223" s="9" t="s">
        <v>193</v>
      </c>
      <c r="C2223" s="9" t="n">
        <v>70</v>
      </c>
      <c r="D2223" s="10" t="n">
        <v>1.65</v>
      </c>
      <c r="E2223" s="10" t="n">
        <f aca="false">C2223*D2223</f>
        <v>115.5</v>
      </c>
    </row>
    <row r="2224" customFormat="false" ht="15" hidden="false" customHeight="false" outlineLevel="0" collapsed="false">
      <c r="A2224" s="9" t="s">
        <v>1252</v>
      </c>
      <c r="B2224" s="9" t="s">
        <v>793</v>
      </c>
      <c r="C2224" s="9" t="n">
        <v>72</v>
      </c>
      <c r="D2224" s="10" t="n">
        <v>1.25</v>
      </c>
      <c r="E2224" s="10" t="n">
        <f aca="false">C2224*D2224</f>
        <v>90</v>
      </c>
    </row>
    <row r="2225" customFormat="false" ht="15" hidden="false" customHeight="false" outlineLevel="0" collapsed="false">
      <c r="A2225" s="9" t="s">
        <v>1252</v>
      </c>
      <c r="B2225" s="9" t="s">
        <v>721</v>
      </c>
      <c r="C2225" s="9" t="n">
        <v>72</v>
      </c>
      <c r="D2225" s="10" t="n">
        <v>2.55</v>
      </c>
      <c r="E2225" s="10" t="n">
        <f aca="false">C2225*D2225</f>
        <v>183.6</v>
      </c>
    </row>
    <row r="2226" customFormat="false" ht="15" hidden="false" customHeight="false" outlineLevel="0" collapsed="false">
      <c r="A2226" s="9" t="s">
        <v>1252</v>
      </c>
      <c r="B2226" s="9" t="s">
        <v>275</v>
      </c>
      <c r="C2226" s="9" t="n">
        <v>144</v>
      </c>
      <c r="D2226" s="10" t="n">
        <v>1.25</v>
      </c>
      <c r="E2226" s="10" t="n">
        <f aca="false">C2226*D2226</f>
        <v>180</v>
      </c>
    </row>
    <row r="2227" customFormat="false" ht="15" hidden="false" customHeight="false" outlineLevel="0" collapsed="false">
      <c r="A2227" s="9" t="s">
        <v>1252</v>
      </c>
      <c r="B2227" s="9" t="s">
        <v>1254</v>
      </c>
      <c r="C2227" s="9" t="n">
        <v>72</v>
      </c>
      <c r="D2227" s="10" t="n">
        <v>1.69</v>
      </c>
      <c r="E2227" s="10" t="n">
        <f aca="false">C2227*D2227</f>
        <v>121.68</v>
      </c>
    </row>
    <row r="2228" customFormat="false" ht="15" hidden="false" customHeight="false" outlineLevel="0" collapsed="false">
      <c r="A2228" s="9" t="s">
        <v>1255</v>
      </c>
      <c r="B2228" s="9" t="s">
        <v>193</v>
      </c>
      <c r="C2228" s="9" t="n">
        <v>30</v>
      </c>
      <c r="D2228" s="10" t="n">
        <v>1.65</v>
      </c>
      <c r="E2228" s="10" t="n">
        <f aca="false">C2228*D2228</f>
        <v>49.5</v>
      </c>
    </row>
    <row r="2229" customFormat="false" ht="15" hidden="false" customHeight="false" outlineLevel="0" collapsed="false">
      <c r="A2229" s="9" t="s">
        <v>1255</v>
      </c>
      <c r="B2229" s="9" t="s">
        <v>721</v>
      </c>
      <c r="C2229" s="9" t="n">
        <v>48</v>
      </c>
      <c r="D2229" s="10" t="n">
        <v>2.55</v>
      </c>
      <c r="E2229" s="10" t="n">
        <f aca="false">C2229*D2229</f>
        <v>122.4</v>
      </c>
    </row>
    <row r="2230" customFormat="false" ht="15" hidden="false" customHeight="false" outlineLevel="0" collapsed="false">
      <c r="A2230" s="9" t="s">
        <v>1255</v>
      </c>
      <c r="B2230" s="9" t="s">
        <v>998</v>
      </c>
      <c r="C2230" s="9" t="n">
        <v>12</v>
      </c>
      <c r="D2230" s="10" t="n">
        <v>1.05</v>
      </c>
      <c r="E2230" s="10" t="n">
        <f aca="false">C2230*D2230</f>
        <v>12.6</v>
      </c>
    </row>
    <row r="2231" customFormat="false" ht="15" hidden="false" customHeight="false" outlineLevel="0" collapsed="false">
      <c r="A2231" s="9" t="s">
        <v>1255</v>
      </c>
      <c r="B2231" s="9" t="s">
        <v>1051</v>
      </c>
      <c r="C2231" s="9" t="n">
        <v>144</v>
      </c>
      <c r="D2231" s="10" t="n">
        <v>1.06</v>
      </c>
      <c r="E2231" s="10" t="n">
        <f aca="false">C2231*D2231</f>
        <v>152.64</v>
      </c>
    </row>
    <row r="2232" customFormat="false" ht="15" hidden="false" customHeight="false" outlineLevel="0" collapsed="false">
      <c r="A2232" s="9" t="s">
        <v>1255</v>
      </c>
      <c r="B2232" s="9" t="s">
        <v>144</v>
      </c>
      <c r="C2232" s="9" t="n">
        <v>36</v>
      </c>
      <c r="D2232" s="10" t="n">
        <v>4.25</v>
      </c>
      <c r="E2232" s="10" t="n">
        <f aca="false">C2232*D2232</f>
        <v>153</v>
      </c>
    </row>
    <row r="2233" customFormat="false" ht="15" hidden="false" customHeight="false" outlineLevel="0" collapsed="false">
      <c r="A2233" s="9" t="s">
        <v>1255</v>
      </c>
      <c r="B2233" s="9" t="s">
        <v>1256</v>
      </c>
      <c r="C2233" s="9" t="n">
        <v>72</v>
      </c>
      <c r="D2233" s="10" t="n">
        <v>1.69</v>
      </c>
      <c r="E2233" s="10" t="n">
        <f aca="false">C2233*D2233</f>
        <v>121.68</v>
      </c>
    </row>
    <row r="2234" customFormat="false" ht="15" hidden="false" customHeight="false" outlineLevel="0" collapsed="false">
      <c r="A2234" s="9" t="s">
        <v>1255</v>
      </c>
      <c r="B2234" s="9" t="s">
        <v>814</v>
      </c>
      <c r="C2234" s="9" t="n">
        <v>72</v>
      </c>
      <c r="D2234" s="10" t="n">
        <v>1.25</v>
      </c>
      <c r="E2234" s="10" t="n">
        <f aca="false">C2234*D2234</f>
        <v>90</v>
      </c>
    </row>
    <row r="2235" customFormat="false" ht="15" hidden="false" customHeight="false" outlineLevel="0" collapsed="false">
      <c r="A2235" s="9" t="s">
        <v>1255</v>
      </c>
      <c r="B2235" s="9" t="s">
        <v>37</v>
      </c>
      <c r="C2235" s="9" t="n">
        <v>128</v>
      </c>
      <c r="D2235" s="10" t="n">
        <v>2.55</v>
      </c>
      <c r="E2235" s="10" t="n">
        <f aca="false">C2235*D2235</f>
        <v>326.4</v>
      </c>
    </row>
    <row r="2236" customFormat="false" ht="15" hidden="false" customHeight="false" outlineLevel="0" collapsed="false">
      <c r="A2236" s="9" t="s">
        <v>1255</v>
      </c>
      <c r="B2236" s="9" t="s">
        <v>218</v>
      </c>
      <c r="C2236" s="9" t="n">
        <v>120</v>
      </c>
      <c r="D2236" s="10" t="n">
        <v>4.65</v>
      </c>
      <c r="E2236" s="10" t="n">
        <f aca="false">C2236*D2236</f>
        <v>558</v>
      </c>
    </row>
    <row r="2237" customFormat="false" ht="15" hidden="false" customHeight="false" outlineLevel="0" collapsed="false">
      <c r="A2237" s="9" t="s">
        <v>1255</v>
      </c>
      <c r="B2237" s="9" t="s">
        <v>538</v>
      </c>
      <c r="C2237" s="9" t="n">
        <v>12</v>
      </c>
      <c r="D2237" s="10" t="n">
        <v>1.65</v>
      </c>
      <c r="E2237" s="10" t="n">
        <f aca="false">C2237*D2237</f>
        <v>19.8</v>
      </c>
    </row>
    <row r="2238" customFormat="false" ht="15" hidden="false" customHeight="false" outlineLevel="0" collapsed="false">
      <c r="A2238" s="9" t="s">
        <v>1255</v>
      </c>
      <c r="B2238" s="9" t="s">
        <v>1257</v>
      </c>
      <c r="C2238" s="9" t="n">
        <v>36</v>
      </c>
      <c r="D2238" s="10" t="n">
        <v>2.55</v>
      </c>
      <c r="E2238" s="10" t="n">
        <f aca="false">C2238*D2238</f>
        <v>91.8</v>
      </c>
    </row>
    <row r="2239" customFormat="false" ht="15" hidden="false" customHeight="false" outlineLevel="0" collapsed="false">
      <c r="A2239" s="9" t="s">
        <v>1255</v>
      </c>
      <c r="B2239" s="9" t="s">
        <v>41</v>
      </c>
      <c r="C2239" s="9" t="n">
        <v>96</v>
      </c>
      <c r="D2239" s="10" t="n">
        <v>2.95</v>
      </c>
      <c r="E2239" s="10" t="n">
        <f aca="false">C2239*D2239</f>
        <v>283.2</v>
      </c>
    </row>
    <row r="2240" customFormat="false" ht="15" hidden="false" customHeight="false" outlineLevel="0" collapsed="false">
      <c r="A2240" s="9" t="s">
        <v>1255</v>
      </c>
      <c r="B2240" s="9" t="s">
        <v>793</v>
      </c>
      <c r="C2240" s="9" t="n">
        <v>96</v>
      </c>
      <c r="D2240" s="10" t="n">
        <v>1.25</v>
      </c>
      <c r="E2240" s="10" t="n">
        <f aca="false">C2240*D2240</f>
        <v>120</v>
      </c>
    </row>
    <row r="2241" customFormat="false" ht="15" hidden="false" customHeight="false" outlineLevel="0" collapsed="false">
      <c r="A2241" s="9" t="s">
        <v>1255</v>
      </c>
      <c r="B2241" s="9" t="s">
        <v>1258</v>
      </c>
      <c r="C2241" s="9" t="n">
        <v>16</v>
      </c>
      <c r="D2241" s="10" t="n">
        <v>4.25</v>
      </c>
      <c r="E2241" s="10" t="n">
        <f aca="false">C2241*D2241</f>
        <v>68</v>
      </c>
    </row>
    <row r="2242" customFormat="false" ht="15" hidden="false" customHeight="false" outlineLevel="0" collapsed="false">
      <c r="A2242" s="9" t="s">
        <v>1255</v>
      </c>
      <c r="B2242" s="9" t="s">
        <v>618</v>
      </c>
      <c r="C2242" s="9" t="n">
        <v>144</v>
      </c>
      <c r="D2242" s="10" t="n">
        <v>2.1</v>
      </c>
      <c r="E2242" s="10" t="n">
        <f aca="false">C2242*D2242</f>
        <v>302.4</v>
      </c>
    </row>
    <row r="2243" customFormat="false" ht="15" hidden="false" customHeight="false" outlineLevel="0" collapsed="false">
      <c r="A2243" s="9" t="s">
        <v>1255</v>
      </c>
      <c r="B2243" s="9" t="s">
        <v>342</v>
      </c>
      <c r="C2243" s="9" t="n">
        <v>60</v>
      </c>
      <c r="D2243" s="10" t="n">
        <v>1.45</v>
      </c>
      <c r="E2243" s="10" t="n">
        <f aca="false">C2243*D2243</f>
        <v>87</v>
      </c>
    </row>
    <row r="2244" customFormat="false" ht="15" hidden="false" customHeight="false" outlineLevel="0" collapsed="false">
      <c r="A2244" s="9" t="s">
        <v>1259</v>
      </c>
      <c r="B2244" s="9" t="s">
        <v>119</v>
      </c>
      <c r="C2244" s="9" t="n">
        <v>60</v>
      </c>
      <c r="D2244" s="10" t="n">
        <v>1.45</v>
      </c>
      <c r="E2244" s="10" t="n">
        <f aca="false">C2244*D2244</f>
        <v>87</v>
      </c>
    </row>
    <row r="2245" customFormat="false" ht="15" hidden="false" customHeight="false" outlineLevel="0" collapsed="false">
      <c r="A2245" s="9" t="s">
        <v>1259</v>
      </c>
      <c r="B2245" s="9" t="s">
        <v>275</v>
      </c>
      <c r="C2245" s="9" t="n">
        <v>144</v>
      </c>
      <c r="D2245" s="10" t="n">
        <v>1.25</v>
      </c>
      <c r="E2245" s="10" t="n">
        <f aca="false">C2245*D2245</f>
        <v>180</v>
      </c>
    </row>
    <row r="2246" customFormat="false" ht="15" hidden="false" customHeight="false" outlineLevel="0" collapsed="false">
      <c r="A2246" s="9" t="s">
        <v>1259</v>
      </c>
      <c r="B2246" s="9" t="s">
        <v>137</v>
      </c>
      <c r="C2246" s="9" t="n">
        <v>144</v>
      </c>
      <c r="D2246" s="10" t="n">
        <v>1.25</v>
      </c>
      <c r="E2246" s="10" t="n">
        <f aca="false">C2246*D2246</f>
        <v>180</v>
      </c>
    </row>
    <row r="2247" customFormat="false" ht="15" hidden="false" customHeight="false" outlineLevel="0" collapsed="false">
      <c r="A2247" s="9" t="s">
        <v>1259</v>
      </c>
      <c r="B2247" s="9" t="s">
        <v>495</v>
      </c>
      <c r="C2247" s="9" t="n">
        <v>40</v>
      </c>
      <c r="D2247" s="10" t="n">
        <v>1.25</v>
      </c>
      <c r="E2247" s="10" t="n">
        <f aca="false">C2247*D2247</f>
        <v>50</v>
      </c>
    </row>
    <row r="2248" customFormat="false" ht="15" hidden="false" customHeight="false" outlineLevel="0" collapsed="false">
      <c r="A2248" s="9" t="s">
        <v>1260</v>
      </c>
      <c r="B2248" s="9" t="s">
        <v>259</v>
      </c>
      <c r="C2248" s="9" t="n">
        <v>4</v>
      </c>
      <c r="D2248" s="10" t="n">
        <v>3.75</v>
      </c>
      <c r="E2248" s="10" t="n">
        <f aca="false">C2248*D2248</f>
        <v>15</v>
      </c>
    </row>
    <row r="2249" customFormat="false" ht="15" hidden="false" customHeight="false" outlineLevel="0" collapsed="false">
      <c r="A2249" s="9" t="s">
        <v>1260</v>
      </c>
      <c r="B2249" s="9" t="s">
        <v>86</v>
      </c>
      <c r="C2249" s="9" t="n">
        <v>4</v>
      </c>
      <c r="D2249" s="10" t="n">
        <v>3.75</v>
      </c>
      <c r="E2249" s="10" t="n">
        <f aca="false">C2249*D2249</f>
        <v>15</v>
      </c>
    </row>
    <row r="2250" customFormat="false" ht="15" hidden="false" customHeight="false" outlineLevel="0" collapsed="false">
      <c r="A2250" s="9" t="s">
        <v>1260</v>
      </c>
      <c r="B2250" s="9" t="s">
        <v>84</v>
      </c>
      <c r="C2250" s="9" t="n">
        <v>4</v>
      </c>
      <c r="D2250" s="10" t="n">
        <v>3.75</v>
      </c>
      <c r="E2250" s="10" t="n">
        <f aca="false">C2250*D2250</f>
        <v>15</v>
      </c>
    </row>
    <row r="2251" customFormat="false" ht="15" hidden="false" customHeight="false" outlineLevel="0" collapsed="false">
      <c r="A2251" s="9" t="s">
        <v>1260</v>
      </c>
      <c r="B2251" s="9" t="s">
        <v>472</v>
      </c>
      <c r="C2251" s="9" t="n">
        <v>24</v>
      </c>
      <c r="D2251" s="10" t="n">
        <v>2.1</v>
      </c>
      <c r="E2251" s="10" t="n">
        <f aca="false">C2251*D2251</f>
        <v>50.4</v>
      </c>
    </row>
    <row r="2252" customFormat="false" ht="15" hidden="false" customHeight="false" outlineLevel="0" collapsed="false">
      <c r="A2252" s="9" t="s">
        <v>1260</v>
      </c>
      <c r="B2252" s="9" t="s">
        <v>337</v>
      </c>
      <c r="C2252" s="9" t="n">
        <v>12</v>
      </c>
      <c r="D2252" s="10" t="n">
        <v>4.65</v>
      </c>
      <c r="E2252" s="10" t="n">
        <f aca="false">C2252*D2252</f>
        <v>55.8</v>
      </c>
    </row>
    <row r="2253" customFormat="false" ht="15" hidden="false" customHeight="false" outlineLevel="0" collapsed="false">
      <c r="A2253" s="9" t="s">
        <v>1260</v>
      </c>
      <c r="B2253" s="9" t="s">
        <v>255</v>
      </c>
      <c r="C2253" s="9" t="n">
        <v>24</v>
      </c>
      <c r="D2253" s="10" t="n">
        <v>2.1</v>
      </c>
      <c r="E2253" s="10" t="n">
        <f aca="false">C2253*D2253</f>
        <v>50.4</v>
      </c>
    </row>
    <row r="2254" customFormat="false" ht="15" hidden="false" customHeight="false" outlineLevel="0" collapsed="false">
      <c r="A2254" s="9" t="s">
        <v>1260</v>
      </c>
      <c r="B2254" s="9" t="s">
        <v>262</v>
      </c>
      <c r="C2254" s="9" t="n">
        <v>8</v>
      </c>
      <c r="D2254" s="10" t="n">
        <v>3.45</v>
      </c>
      <c r="E2254" s="10" t="n">
        <f aca="false">C2254*D2254</f>
        <v>27.6</v>
      </c>
    </row>
    <row r="2255" customFormat="false" ht="15" hidden="false" customHeight="false" outlineLevel="0" collapsed="false">
      <c r="A2255" s="9" t="s">
        <v>1260</v>
      </c>
      <c r="B2255" s="9" t="s">
        <v>254</v>
      </c>
      <c r="C2255" s="9" t="n">
        <v>24</v>
      </c>
      <c r="D2255" s="10" t="n">
        <v>2.1</v>
      </c>
      <c r="E2255" s="10" t="n">
        <f aca="false">C2255*D2255</f>
        <v>50.4</v>
      </c>
    </row>
    <row r="2256" customFormat="false" ht="15" hidden="false" customHeight="false" outlineLevel="0" collapsed="false">
      <c r="A2256" s="9" t="s">
        <v>1261</v>
      </c>
      <c r="B2256" s="9" t="s">
        <v>275</v>
      </c>
      <c r="C2256" s="9" t="n">
        <v>216</v>
      </c>
      <c r="D2256" s="10" t="n">
        <v>1.06</v>
      </c>
      <c r="E2256" s="10" t="n">
        <f aca="false">C2256*D2256</f>
        <v>228.96</v>
      </c>
    </row>
    <row r="2257" customFormat="false" ht="15" hidden="false" customHeight="false" outlineLevel="0" collapsed="false">
      <c r="A2257" s="9" t="s">
        <v>1261</v>
      </c>
      <c r="B2257" s="9" t="s">
        <v>342</v>
      </c>
      <c r="C2257" s="9" t="n">
        <v>60</v>
      </c>
      <c r="D2257" s="10" t="n">
        <v>1.45</v>
      </c>
      <c r="E2257" s="10" t="n">
        <f aca="false">C2257*D2257</f>
        <v>87</v>
      </c>
    </row>
    <row r="2258" customFormat="false" ht="15" hidden="false" customHeight="false" outlineLevel="0" collapsed="false">
      <c r="A2258" s="9" t="s">
        <v>1262</v>
      </c>
      <c r="B2258" s="9" t="s">
        <v>421</v>
      </c>
      <c r="C2258" s="9" t="n">
        <v>12</v>
      </c>
      <c r="D2258" s="10" t="n">
        <v>1.65</v>
      </c>
      <c r="E2258" s="10" t="n">
        <f aca="false">C2258*D2258</f>
        <v>19.8</v>
      </c>
    </row>
    <row r="2259" customFormat="false" ht="15" hidden="false" customHeight="false" outlineLevel="0" collapsed="false">
      <c r="A2259" s="9" t="s">
        <v>1262</v>
      </c>
      <c r="B2259" s="9" t="s">
        <v>746</v>
      </c>
      <c r="C2259" s="9" t="n">
        <v>12</v>
      </c>
      <c r="D2259" s="10" t="n">
        <v>1.65</v>
      </c>
      <c r="E2259" s="10" t="n">
        <f aca="false">C2259*D2259</f>
        <v>19.8</v>
      </c>
    </row>
    <row r="2260" customFormat="false" ht="15" hidden="false" customHeight="false" outlineLevel="0" collapsed="false">
      <c r="A2260" s="9" t="s">
        <v>1262</v>
      </c>
      <c r="B2260" s="9" t="s">
        <v>447</v>
      </c>
      <c r="C2260" s="9" t="n">
        <v>12</v>
      </c>
      <c r="D2260" s="10" t="n">
        <v>1.25</v>
      </c>
      <c r="E2260" s="10" t="n">
        <f aca="false">C2260*D2260</f>
        <v>15</v>
      </c>
    </row>
    <row r="2261" customFormat="false" ht="15" hidden="false" customHeight="false" outlineLevel="0" collapsed="false">
      <c r="A2261" s="9" t="s">
        <v>1262</v>
      </c>
      <c r="B2261" s="9" t="s">
        <v>1263</v>
      </c>
      <c r="C2261" s="9" t="n">
        <v>6</v>
      </c>
      <c r="D2261" s="10" t="n">
        <v>2.1</v>
      </c>
      <c r="E2261" s="10" t="n">
        <f aca="false">C2261*D2261</f>
        <v>12.6</v>
      </c>
    </row>
    <row r="2262" customFormat="false" ht="15" hidden="false" customHeight="false" outlineLevel="0" collapsed="false">
      <c r="A2262" s="9" t="s">
        <v>1262</v>
      </c>
      <c r="B2262" s="9" t="s">
        <v>796</v>
      </c>
      <c r="C2262" s="9" t="n">
        <v>12</v>
      </c>
      <c r="D2262" s="10" t="n">
        <v>1.25</v>
      </c>
      <c r="E2262" s="10" t="n">
        <f aca="false">C2262*D2262</f>
        <v>15</v>
      </c>
    </row>
    <row r="2263" customFormat="false" ht="15" hidden="false" customHeight="false" outlineLevel="0" collapsed="false">
      <c r="A2263" s="9" t="s">
        <v>1262</v>
      </c>
      <c r="B2263" s="9" t="s">
        <v>415</v>
      </c>
      <c r="C2263" s="9" t="n">
        <v>12</v>
      </c>
      <c r="D2263" s="10" t="n">
        <v>1.25</v>
      </c>
      <c r="E2263" s="10" t="n">
        <f aca="false">C2263*D2263</f>
        <v>15</v>
      </c>
    </row>
    <row r="2264" customFormat="false" ht="15" hidden="false" customHeight="false" outlineLevel="0" collapsed="false">
      <c r="A2264" s="9" t="s">
        <v>1264</v>
      </c>
      <c r="B2264" s="9" t="s">
        <v>193</v>
      </c>
      <c r="C2264" s="9" t="n">
        <v>200</v>
      </c>
      <c r="D2264" s="10" t="n">
        <v>1.65</v>
      </c>
      <c r="E2264" s="10" t="n">
        <f aca="false">C2264*D2264</f>
        <v>330</v>
      </c>
    </row>
    <row r="2265" customFormat="false" ht="15" hidden="false" customHeight="false" outlineLevel="0" collapsed="false">
      <c r="A2265" s="9" t="s">
        <v>1265</v>
      </c>
      <c r="B2265" s="9" t="s">
        <v>754</v>
      </c>
      <c r="C2265" s="9" t="n">
        <v>2</v>
      </c>
      <c r="D2265" s="10" t="n">
        <v>9.95</v>
      </c>
      <c r="E2265" s="10" t="n">
        <f aca="false">C2265*D2265</f>
        <v>19.9</v>
      </c>
    </row>
    <row r="2266" customFormat="false" ht="15" hidden="false" customHeight="false" outlineLevel="0" collapsed="false">
      <c r="A2266" s="9" t="s">
        <v>1265</v>
      </c>
      <c r="B2266" s="9" t="s">
        <v>755</v>
      </c>
      <c r="C2266" s="9" t="n">
        <v>2</v>
      </c>
      <c r="D2266" s="10" t="n">
        <v>9.95</v>
      </c>
      <c r="E2266" s="10" t="n">
        <f aca="false">C2266*D2266</f>
        <v>19.9</v>
      </c>
    </row>
    <row r="2267" customFormat="false" ht="15" hidden="false" customHeight="false" outlineLevel="0" collapsed="false">
      <c r="A2267" s="9" t="s">
        <v>1265</v>
      </c>
      <c r="B2267" s="9" t="s">
        <v>155</v>
      </c>
      <c r="C2267" s="9" t="n">
        <v>12</v>
      </c>
      <c r="D2267" s="10" t="n">
        <v>2.55</v>
      </c>
      <c r="E2267" s="10" t="n">
        <f aca="false">C2267*D2267</f>
        <v>30.6</v>
      </c>
    </row>
    <row r="2268" customFormat="false" ht="15" hidden="false" customHeight="false" outlineLevel="0" collapsed="false">
      <c r="A2268" s="9" t="s">
        <v>1265</v>
      </c>
      <c r="B2268" s="9" t="s">
        <v>528</v>
      </c>
      <c r="C2268" s="9" t="n">
        <v>12</v>
      </c>
      <c r="D2268" s="10" t="n">
        <v>1.45</v>
      </c>
      <c r="E2268" s="10" t="n">
        <f aca="false">C2268*D2268</f>
        <v>17.4</v>
      </c>
    </row>
    <row r="2269" customFormat="false" ht="15" hidden="false" customHeight="false" outlineLevel="0" collapsed="false">
      <c r="A2269" s="9" t="s">
        <v>1265</v>
      </c>
      <c r="B2269" s="9" t="s">
        <v>1266</v>
      </c>
      <c r="C2269" s="9" t="n">
        <v>12</v>
      </c>
      <c r="D2269" s="10" t="n">
        <v>0.42</v>
      </c>
      <c r="E2269" s="10" t="n">
        <f aca="false">C2269*D2269</f>
        <v>5.04</v>
      </c>
    </row>
    <row r="2270" customFormat="false" ht="15" hidden="false" customHeight="false" outlineLevel="0" collapsed="false">
      <c r="A2270" s="9" t="s">
        <v>1265</v>
      </c>
      <c r="B2270" s="9" t="s">
        <v>1267</v>
      </c>
      <c r="C2270" s="9" t="n">
        <v>12</v>
      </c>
      <c r="D2270" s="10" t="n">
        <v>0.42</v>
      </c>
      <c r="E2270" s="10" t="n">
        <f aca="false">C2270*D2270</f>
        <v>5.04</v>
      </c>
    </row>
    <row r="2271" customFormat="false" ht="15" hidden="false" customHeight="false" outlineLevel="0" collapsed="false">
      <c r="A2271" s="9" t="s">
        <v>1265</v>
      </c>
      <c r="B2271" s="9" t="s">
        <v>973</v>
      </c>
      <c r="C2271" s="9" t="n">
        <v>6</v>
      </c>
      <c r="D2271" s="10" t="n">
        <v>4.65</v>
      </c>
      <c r="E2271" s="10" t="n">
        <f aca="false">C2271*D2271</f>
        <v>27.9</v>
      </c>
    </row>
    <row r="2272" customFormat="false" ht="15" hidden="false" customHeight="false" outlineLevel="0" collapsed="false">
      <c r="A2272" s="9" t="s">
        <v>1265</v>
      </c>
      <c r="B2272" s="9" t="s">
        <v>971</v>
      </c>
      <c r="C2272" s="9" t="n">
        <v>6</v>
      </c>
      <c r="D2272" s="10" t="n">
        <v>2.95</v>
      </c>
      <c r="E2272" s="10" t="n">
        <f aca="false">C2272*D2272</f>
        <v>17.7</v>
      </c>
    </row>
    <row r="2273" customFormat="false" ht="15" hidden="false" customHeight="false" outlineLevel="0" collapsed="false">
      <c r="A2273" s="9" t="s">
        <v>1265</v>
      </c>
      <c r="B2273" s="9" t="s">
        <v>269</v>
      </c>
      <c r="C2273" s="9" t="n">
        <v>8</v>
      </c>
      <c r="D2273" s="10" t="n">
        <v>3.75</v>
      </c>
      <c r="E2273" s="10" t="n">
        <f aca="false">C2273*D2273</f>
        <v>30</v>
      </c>
    </row>
    <row r="2274" customFormat="false" ht="15" hidden="false" customHeight="false" outlineLevel="0" collapsed="false">
      <c r="A2274" s="9" t="s">
        <v>1265</v>
      </c>
      <c r="B2274" s="9" t="s">
        <v>1000</v>
      </c>
      <c r="C2274" s="9" t="n">
        <v>6</v>
      </c>
      <c r="D2274" s="10" t="n">
        <v>2.95</v>
      </c>
      <c r="E2274" s="10" t="n">
        <f aca="false">C2274*D2274</f>
        <v>17.7</v>
      </c>
    </row>
    <row r="2275" customFormat="false" ht="15" hidden="false" customHeight="false" outlineLevel="0" collapsed="false">
      <c r="A2275" s="9" t="s">
        <v>1265</v>
      </c>
      <c r="B2275" s="9" t="s">
        <v>1268</v>
      </c>
      <c r="C2275" s="9" t="n">
        <v>4</v>
      </c>
      <c r="D2275" s="10" t="n">
        <v>3.75</v>
      </c>
      <c r="E2275" s="10" t="n">
        <f aca="false">C2275*D2275</f>
        <v>15</v>
      </c>
    </row>
    <row r="2276" customFormat="false" ht="15" hidden="false" customHeight="false" outlineLevel="0" collapsed="false">
      <c r="A2276" s="9" t="s">
        <v>1265</v>
      </c>
      <c r="B2276" s="9" t="s">
        <v>478</v>
      </c>
      <c r="C2276" s="9" t="n">
        <v>24</v>
      </c>
      <c r="D2276" s="10" t="n">
        <v>0.42</v>
      </c>
      <c r="E2276" s="10" t="n">
        <f aca="false">C2276*D2276</f>
        <v>10.08</v>
      </c>
    </row>
    <row r="2277" customFormat="false" ht="15" hidden="false" customHeight="false" outlineLevel="0" collapsed="false">
      <c r="A2277" s="9" t="s">
        <v>1265</v>
      </c>
      <c r="B2277" s="9" t="s">
        <v>480</v>
      </c>
      <c r="C2277" s="9" t="n">
        <v>24</v>
      </c>
      <c r="D2277" s="10" t="n">
        <v>0.42</v>
      </c>
      <c r="E2277" s="10" t="n">
        <f aca="false">C2277*D2277</f>
        <v>10.08</v>
      </c>
    </row>
    <row r="2278" customFormat="false" ht="15" hidden="false" customHeight="false" outlineLevel="0" collapsed="false">
      <c r="A2278" s="9" t="s">
        <v>1265</v>
      </c>
      <c r="B2278" s="9" t="s">
        <v>153</v>
      </c>
      <c r="C2278" s="9" t="n">
        <v>24</v>
      </c>
      <c r="D2278" s="10" t="n">
        <v>1.25</v>
      </c>
      <c r="E2278" s="10" t="n">
        <f aca="false">C2278*D2278</f>
        <v>30</v>
      </c>
    </row>
    <row r="2279" customFormat="false" ht="15" hidden="false" customHeight="false" outlineLevel="0" collapsed="false">
      <c r="A2279" s="9" t="s">
        <v>1265</v>
      </c>
      <c r="B2279" s="9" t="s">
        <v>152</v>
      </c>
      <c r="C2279" s="9" t="n">
        <v>12</v>
      </c>
      <c r="D2279" s="10" t="n">
        <v>1.25</v>
      </c>
      <c r="E2279" s="10" t="n">
        <f aca="false">C2279*D2279</f>
        <v>15</v>
      </c>
    </row>
    <row r="2280" customFormat="false" ht="15" hidden="false" customHeight="false" outlineLevel="0" collapsed="false">
      <c r="A2280" s="9" t="s">
        <v>1265</v>
      </c>
      <c r="B2280" s="9" t="s">
        <v>1213</v>
      </c>
      <c r="C2280" s="9" t="n">
        <v>12</v>
      </c>
      <c r="D2280" s="10" t="n">
        <v>1.25</v>
      </c>
      <c r="E2280" s="10" t="n">
        <f aca="false">C2280*D2280</f>
        <v>15</v>
      </c>
    </row>
    <row r="2281" customFormat="false" ht="15" hidden="false" customHeight="false" outlineLevel="0" collapsed="false">
      <c r="A2281" s="9" t="s">
        <v>1265</v>
      </c>
      <c r="B2281" s="9" t="s">
        <v>523</v>
      </c>
      <c r="C2281" s="9" t="n">
        <v>6</v>
      </c>
      <c r="D2281" s="10" t="n">
        <v>2.95</v>
      </c>
      <c r="E2281" s="10" t="n">
        <f aca="false">C2281*D2281</f>
        <v>17.7</v>
      </c>
    </row>
    <row r="2282" customFormat="false" ht="15" hidden="false" customHeight="false" outlineLevel="0" collapsed="false">
      <c r="A2282" s="9" t="s">
        <v>1269</v>
      </c>
      <c r="B2282" s="9" t="s">
        <v>538</v>
      </c>
      <c r="C2282" s="9" t="n">
        <v>120</v>
      </c>
      <c r="D2282" s="10" t="n">
        <v>1.65</v>
      </c>
      <c r="E2282" s="10" t="n">
        <f aca="false">C2282*D2282</f>
        <v>198</v>
      </c>
    </row>
    <row r="2283" customFormat="false" ht="15" hidden="false" customHeight="false" outlineLevel="0" collapsed="false">
      <c r="A2283" s="9" t="s">
        <v>1270</v>
      </c>
      <c r="B2283" s="9" t="s">
        <v>41</v>
      </c>
      <c r="C2283" s="9" t="n">
        <v>384</v>
      </c>
      <c r="D2283" s="10" t="n">
        <v>2.95</v>
      </c>
      <c r="E2283" s="10" t="n">
        <f aca="false">C2283*D2283</f>
        <v>1132.8</v>
      </c>
    </row>
    <row r="2284" customFormat="false" ht="15" hidden="false" customHeight="false" outlineLevel="0" collapsed="false">
      <c r="A2284" s="9" t="s">
        <v>1271</v>
      </c>
      <c r="B2284" s="9" t="s">
        <v>949</v>
      </c>
      <c r="C2284" s="9" t="n">
        <v>2</v>
      </c>
      <c r="D2284" s="10" t="n">
        <v>9.95</v>
      </c>
      <c r="E2284" s="10" t="n">
        <f aca="false">C2284*D2284</f>
        <v>19.9</v>
      </c>
    </row>
    <row r="2285" customFormat="false" ht="15" hidden="false" customHeight="false" outlineLevel="0" collapsed="false">
      <c r="A2285" s="9" t="s">
        <v>1272</v>
      </c>
      <c r="B2285" s="9" t="s">
        <v>1200</v>
      </c>
      <c r="C2285" s="9" t="n">
        <v>8</v>
      </c>
      <c r="D2285" s="10" t="n">
        <v>14.95</v>
      </c>
      <c r="E2285" s="10" t="n">
        <f aca="false">C2285*D2285</f>
        <v>119.6</v>
      </c>
    </row>
    <row r="2286" customFormat="false" ht="15" hidden="false" customHeight="false" outlineLevel="0" collapsed="false">
      <c r="A2286" s="9" t="s">
        <v>1272</v>
      </c>
      <c r="B2286" s="9" t="s">
        <v>303</v>
      </c>
      <c r="C2286" s="9" t="n">
        <v>8</v>
      </c>
      <c r="D2286" s="10" t="n">
        <v>14.95</v>
      </c>
      <c r="E2286" s="10" t="n">
        <f aca="false">C2286*D2286</f>
        <v>119.6</v>
      </c>
    </row>
    <row r="2287" customFormat="false" ht="15" hidden="false" customHeight="false" outlineLevel="0" collapsed="false">
      <c r="A2287" s="9" t="s">
        <v>1272</v>
      </c>
      <c r="B2287" s="9" t="s">
        <v>84</v>
      </c>
      <c r="C2287" s="9" t="n">
        <v>8</v>
      </c>
      <c r="D2287" s="10" t="n">
        <v>3.75</v>
      </c>
      <c r="E2287" s="10" t="n">
        <f aca="false">C2287*D2287</f>
        <v>30</v>
      </c>
    </row>
    <row r="2288" customFormat="false" ht="15" hidden="false" customHeight="false" outlineLevel="0" collapsed="false">
      <c r="A2288" s="9" t="s">
        <v>1272</v>
      </c>
      <c r="B2288" s="9" t="s">
        <v>86</v>
      </c>
      <c r="C2288" s="9" t="n">
        <v>8</v>
      </c>
      <c r="D2288" s="10" t="n">
        <v>3.75</v>
      </c>
      <c r="E2288" s="10" t="n">
        <f aca="false">C2288*D2288</f>
        <v>30</v>
      </c>
    </row>
    <row r="2289" customFormat="false" ht="15" hidden="false" customHeight="false" outlineLevel="0" collapsed="false">
      <c r="A2289" s="9" t="s">
        <v>1272</v>
      </c>
      <c r="B2289" s="9" t="s">
        <v>1273</v>
      </c>
      <c r="C2289" s="9" t="n">
        <v>4</v>
      </c>
      <c r="D2289" s="10" t="n">
        <v>3.75</v>
      </c>
      <c r="E2289" s="10" t="n">
        <f aca="false">C2289*D2289</f>
        <v>15</v>
      </c>
    </row>
    <row r="2290" customFormat="false" ht="15" hidden="false" customHeight="false" outlineLevel="0" collapsed="false">
      <c r="A2290" s="9" t="s">
        <v>1272</v>
      </c>
      <c r="B2290" s="9" t="s">
        <v>259</v>
      </c>
      <c r="C2290" s="9" t="n">
        <v>4</v>
      </c>
      <c r="D2290" s="10" t="n">
        <v>3.75</v>
      </c>
      <c r="E2290" s="10" t="n">
        <f aca="false">C2290*D2290</f>
        <v>15</v>
      </c>
    </row>
    <row r="2291" customFormat="false" ht="15" hidden="false" customHeight="false" outlineLevel="0" collapsed="false">
      <c r="A2291" s="9" t="s">
        <v>1272</v>
      </c>
      <c r="B2291" s="9" t="s">
        <v>260</v>
      </c>
      <c r="C2291" s="9" t="n">
        <v>4</v>
      </c>
      <c r="D2291" s="10" t="n">
        <v>3.75</v>
      </c>
      <c r="E2291" s="10" t="n">
        <f aca="false">C2291*D2291</f>
        <v>15</v>
      </c>
    </row>
    <row r="2292" customFormat="false" ht="15" hidden="false" customHeight="false" outlineLevel="0" collapsed="false">
      <c r="A2292" s="9" t="s">
        <v>1274</v>
      </c>
      <c r="B2292" s="9" t="s">
        <v>273</v>
      </c>
      <c r="C2292" s="9" t="n">
        <v>6</v>
      </c>
      <c r="D2292" s="10" t="n">
        <v>3.35</v>
      </c>
      <c r="E2292" s="10" t="n">
        <f aca="false">C2292*D2292</f>
        <v>20.1</v>
      </c>
    </row>
    <row r="2293" customFormat="false" ht="15" hidden="false" customHeight="false" outlineLevel="0" collapsed="false">
      <c r="A2293" s="9" t="s">
        <v>1274</v>
      </c>
      <c r="B2293" s="9" t="s">
        <v>258</v>
      </c>
      <c r="C2293" s="9" t="n">
        <v>12</v>
      </c>
      <c r="D2293" s="10" t="n">
        <v>2.1</v>
      </c>
      <c r="E2293" s="10" t="n">
        <f aca="false">C2293*D2293</f>
        <v>25.2</v>
      </c>
    </row>
    <row r="2294" customFormat="false" ht="15" hidden="false" customHeight="false" outlineLevel="0" collapsed="false">
      <c r="A2294" s="9" t="s">
        <v>1274</v>
      </c>
      <c r="B2294" s="9" t="s">
        <v>822</v>
      </c>
      <c r="C2294" s="9" t="n">
        <v>24</v>
      </c>
      <c r="D2294" s="10" t="n">
        <v>0.29</v>
      </c>
      <c r="E2294" s="10" t="n">
        <f aca="false">C2294*D2294</f>
        <v>6.96</v>
      </c>
    </row>
    <row r="2295" customFormat="false" ht="15" hidden="false" customHeight="false" outlineLevel="0" collapsed="false">
      <c r="A2295" s="9" t="s">
        <v>1274</v>
      </c>
      <c r="B2295" s="9" t="s">
        <v>1275</v>
      </c>
      <c r="C2295" s="9" t="n">
        <v>12</v>
      </c>
      <c r="D2295" s="10" t="n">
        <v>0.42</v>
      </c>
      <c r="E2295" s="10" t="n">
        <f aca="false">C2295*D2295</f>
        <v>5.04</v>
      </c>
    </row>
    <row r="2296" customFormat="false" ht="15" hidden="false" customHeight="false" outlineLevel="0" collapsed="false">
      <c r="A2296" s="9" t="s">
        <v>1274</v>
      </c>
      <c r="B2296" s="9" t="s">
        <v>506</v>
      </c>
      <c r="C2296" s="9" t="n">
        <v>12</v>
      </c>
      <c r="D2296" s="10" t="n">
        <v>0.85</v>
      </c>
      <c r="E2296" s="10" t="n">
        <f aca="false">C2296*D2296</f>
        <v>10.2</v>
      </c>
    </row>
    <row r="2297" customFormat="false" ht="15" hidden="false" customHeight="false" outlineLevel="0" collapsed="false">
      <c r="A2297" s="9" t="s">
        <v>1274</v>
      </c>
      <c r="B2297" s="9" t="s">
        <v>696</v>
      </c>
      <c r="C2297" s="9" t="n">
        <v>12</v>
      </c>
      <c r="D2297" s="10" t="n">
        <v>1.25</v>
      </c>
      <c r="E2297" s="10" t="n">
        <f aca="false">C2297*D2297</f>
        <v>15</v>
      </c>
    </row>
    <row r="2298" customFormat="false" ht="15" hidden="false" customHeight="false" outlineLevel="0" collapsed="false">
      <c r="A2298" s="9" t="s">
        <v>1274</v>
      </c>
      <c r="B2298" s="9" t="s">
        <v>729</v>
      </c>
      <c r="C2298" s="9" t="n">
        <v>12</v>
      </c>
      <c r="D2298" s="10" t="n">
        <v>1.25</v>
      </c>
      <c r="E2298" s="10" t="n">
        <f aca="false">C2298*D2298</f>
        <v>15</v>
      </c>
    </row>
    <row r="2299" customFormat="false" ht="15" hidden="false" customHeight="false" outlineLevel="0" collapsed="false">
      <c r="A2299" s="9" t="s">
        <v>1274</v>
      </c>
      <c r="B2299" s="9" t="s">
        <v>885</v>
      </c>
      <c r="C2299" s="9" t="n">
        <v>10</v>
      </c>
      <c r="D2299" s="10" t="n">
        <v>0.85</v>
      </c>
      <c r="E2299" s="10" t="n">
        <f aca="false">C2299*D2299</f>
        <v>8.5</v>
      </c>
    </row>
    <row r="2300" customFormat="false" ht="15" hidden="false" customHeight="false" outlineLevel="0" collapsed="false">
      <c r="A2300" s="9" t="s">
        <v>1274</v>
      </c>
      <c r="B2300" s="9" t="s">
        <v>1035</v>
      </c>
      <c r="C2300" s="9" t="n">
        <v>36</v>
      </c>
      <c r="D2300" s="10" t="n">
        <v>0.21</v>
      </c>
      <c r="E2300" s="10" t="n">
        <f aca="false">C2300*D2300</f>
        <v>7.56</v>
      </c>
    </row>
    <row r="2301" customFormat="false" ht="15" hidden="false" customHeight="false" outlineLevel="0" collapsed="false">
      <c r="A2301" s="9" t="s">
        <v>1274</v>
      </c>
      <c r="B2301" s="9" t="s">
        <v>302</v>
      </c>
      <c r="C2301" s="9" t="n">
        <v>9</v>
      </c>
      <c r="D2301" s="10" t="n">
        <v>2.55</v>
      </c>
      <c r="E2301" s="10" t="n">
        <f aca="false">C2301*D2301</f>
        <v>22.95</v>
      </c>
    </row>
    <row r="2302" customFormat="false" ht="15" hidden="false" customHeight="false" outlineLevel="0" collapsed="false">
      <c r="A2302" s="9" t="s">
        <v>1274</v>
      </c>
      <c r="B2302" s="9" t="s">
        <v>500</v>
      </c>
      <c r="C2302" s="9" t="n">
        <v>24</v>
      </c>
      <c r="D2302" s="10" t="n">
        <v>0.29</v>
      </c>
      <c r="E2302" s="10" t="n">
        <f aca="false">C2302*D2302</f>
        <v>6.96</v>
      </c>
    </row>
    <row r="2303" customFormat="false" ht="15" hidden="false" customHeight="false" outlineLevel="0" collapsed="false">
      <c r="A2303" s="9" t="s">
        <v>1274</v>
      </c>
      <c r="B2303" s="9" t="s">
        <v>42</v>
      </c>
      <c r="C2303" s="9" t="n">
        <v>2</v>
      </c>
      <c r="D2303" s="10" t="n">
        <v>8.5</v>
      </c>
      <c r="E2303" s="10" t="n">
        <f aca="false">C2303*D2303</f>
        <v>17</v>
      </c>
    </row>
    <row r="2304" customFormat="false" ht="15" hidden="false" customHeight="false" outlineLevel="0" collapsed="false">
      <c r="A2304" s="9" t="s">
        <v>1274</v>
      </c>
      <c r="B2304" s="9" t="s">
        <v>373</v>
      </c>
      <c r="C2304" s="9" t="n">
        <v>30</v>
      </c>
      <c r="D2304" s="10" t="n">
        <v>0.21</v>
      </c>
      <c r="E2304" s="10" t="n">
        <f aca="false">C2304*D2304</f>
        <v>6.3</v>
      </c>
    </row>
    <row r="2305" customFormat="false" ht="15" hidden="false" customHeight="false" outlineLevel="0" collapsed="false">
      <c r="A2305" s="9" t="s">
        <v>1274</v>
      </c>
      <c r="B2305" s="9" t="s">
        <v>427</v>
      </c>
      <c r="C2305" s="9" t="n">
        <v>24</v>
      </c>
      <c r="D2305" s="10" t="n">
        <v>0.42</v>
      </c>
      <c r="E2305" s="10" t="n">
        <f aca="false">C2305*D2305</f>
        <v>10.08</v>
      </c>
    </row>
    <row r="2306" customFormat="false" ht="15" hidden="false" customHeight="false" outlineLevel="0" collapsed="false">
      <c r="A2306" s="9" t="s">
        <v>1274</v>
      </c>
      <c r="B2306" s="9" t="s">
        <v>71</v>
      </c>
      <c r="C2306" s="9" t="n">
        <v>24</v>
      </c>
      <c r="D2306" s="10" t="n">
        <v>0.42</v>
      </c>
      <c r="E2306" s="10" t="n">
        <f aca="false">C2306*D2306</f>
        <v>10.08</v>
      </c>
    </row>
    <row r="2307" customFormat="false" ht="15" hidden="false" customHeight="false" outlineLevel="0" collapsed="false">
      <c r="A2307" s="9" t="s">
        <v>1274</v>
      </c>
      <c r="B2307" s="9" t="s">
        <v>198</v>
      </c>
      <c r="C2307" s="9" t="n">
        <v>12</v>
      </c>
      <c r="D2307" s="10" t="n">
        <v>1.95</v>
      </c>
      <c r="E2307" s="10" t="n">
        <f aca="false">C2307*D2307</f>
        <v>23.4</v>
      </c>
    </row>
    <row r="2308" customFormat="false" ht="15" hidden="false" customHeight="false" outlineLevel="0" collapsed="false">
      <c r="A2308" s="9" t="s">
        <v>1274</v>
      </c>
      <c r="B2308" s="9" t="s">
        <v>275</v>
      </c>
      <c r="C2308" s="9" t="n">
        <v>12</v>
      </c>
      <c r="D2308" s="10" t="n">
        <v>1.25</v>
      </c>
      <c r="E2308" s="10" t="n">
        <f aca="false">C2308*D2308</f>
        <v>15</v>
      </c>
    </row>
    <row r="2309" customFormat="false" ht="15" hidden="false" customHeight="false" outlineLevel="0" collapsed="false">
      <c r="A2309" s="9" t="s">
        <v>1274</v>
      </c>
      <c r="B2309" s="9" t="s">
        <v>137</v>
      </c>
      <c r="C2309" s="9" t="n">
        <v>12</v>
      </c>
      <c r="D2309" s="10" t="n">
        <v>1.45</v>
      </c>
      <c r="E2309" s="10" t="n">
        <f aca="false">C2309*D2309</f>
        <v>17.4</v>
      </c>
    </row>
    <row r="2310" customFormat="false" ht="15" hidden="false" customHeight="false" outlineLevel="0" collapsed="false">
      <c r="A2310" s="9" t="s">
        <v>1274</v>
      </c>
      <c r="B2310" s="9" t="s">
        <v>745</v>
      </c>
      <c r="C2310" s="9" t="n">
        <v>6</v>
      </c>
      <c r="D2310" s="10" t="n">
        <v>2.95</v>
      </c>
      <c r="E2310" s="10" t="n">
        <f aca="false">C2310*D2310</f>
        <v>17.7</v>
      </c>
    </row>
    <row r="2311" customFormat="false" ht="15" hidden="false" customHeight="false" outlineLevel="0" collapsed="false">
      <c r="A2311" s="9" t="s">
        <v>1274</v>
      </c>
      <c r="B2311" s="9" t="s">
        <v>591</v>
      </c>
      <c r="C2311" s="9" t="n">
        <v>6</v>
      </c>
      <c r="D2311" s="10" t="n">
        <v>2.95</v>
      </c>
      <c r="E2311" s="10" t="n">
        <f aca="false">C2311*D2311</f>
        <v>17.7</v>
      </c>
    </row>
    <row r="2312" customFormat="false" ht="15" hidden="false" customHeight="false" outlineLevel="0" collapsed="false">
      <c r="A2312" s="9" t="s">
        <v>1274</v>
      </c>
      <c r="B2312" s="9" t="s">
        <v>1276</v>
      </c>
      <c r="C2312" s="9" t="n">
        <v>12</v>
      </c>
      <c r="D2312" s="10" t="n">
        <v>1.49</v>
      </c>
      <c r="E2312" s="10" t="n">
        <f aca="false">C2312*D2312</f>
        <v>17.88</v>
      </c>
    </row>
    <row r="2313" customFormat="false" ht="15" hidden="false" customHeight="false" outlineLevel="0" collapsed="false">
      <c r="A2313" s="9" t="s">
        <v>1274</v>
      </c>
      <c r="B2313" s="9" t="s">
        <v>105</v>
      </c>
      <c r="C2313" s="9" t="n">
        <v>4</v>
      </c>
      <c r="D2313" s="10" t="n">
        <v>3.95</v>
      </c>
      <c r="E2313" s="10" t="n">
        <f aca="false">C2313*D2313</f>
        <v>15.8</v>
      </c>
    </row>
    <row r="2314" customFormat="false" ht="15" hidden="false" customHeight="false" outlineLevel="0" collapsed="false">
      <c r="A2314" s="9" t="s">
        <v>1277</v>
      </c>
      <c r="B2314" s="9" t="s">
        <v>710</v>
      </c>
      <c r="C2314" s="9" t="n">
        <v>12</v>
      </c>
      <c r="D2314" s="10" t="n">
        <v>3.75</v>
      </c>
      <c r="E2314" s="10" t="n">
        <f aca="false">C2314*D2314</f>
        <v>45</v>
      </c>
    </row>
    <row r="2315" customFormat="false" ht="15" hidden="false" customHeight="false" outlineLevel="0" collapsed="false">
      <c r="A2315" s="9" t="s">
        <v>1277</v>
      </c>
      <c r="B2315" s="9" t="s">
        <v>121</v>
      </c>
      <c r="C2315" s="9" t="n">
        <v>12</v>
      </c>
      <c r="D2315" s="10" t="n">
        <v>3.75</v>
      </c>
      <c r="E2315" s="10" t="n">
        <f aca="false">C2315*D2315</f>
        <v>45</v>
      </c>
    </row>
    <row r="2316" customFormat="false" ht="15" hidden="false" customHeight="false" outlineLevel="0" collapsed="false">
      <c r="A2316" s="9" t="s">
        <v>1277</v>
      </c>
      <c r="B2316" s="9" t="s">
        <v>122</v>
      </c>
      <c r="C2316" s="9" t="n">
        <v>6</v>
      </c>
      <c r="D2316" s="10" t="n">
        <v>3.75</v>
      </c>
      <c r="E2316" s="10" t="n">
        <f aca="false">C2316*D2316</f>
        <v>22.5</v>
      </c>
    </row>
    <row r="2317" customFormat="false" ht="15" hidden="false" customHeight="false" outlineLevel="0" collapsed="false">
      <c r="A2317" s="9" t="s">
        <v>1277</v>
      </c>
      <c r="B2317" s="9" t="s">
        <v>1278</v>
      </c>
      <c r="C2317" s="9" t="n">
        <v>6</v>
      </c>
      <c r="D2317" s="10" t="n">
        <v>3.75</v>
      </c>
      <c r="E2317" s="10" t="n">
        <f aca="false">C2317*D2317</f>
        <v>22.5</v>
      </c>
    </row>
    <row r="2318" customFormat="false" ht="15" hidden="false" customHeight="false" outlineLevel="0" collapsed="false">
      <c r="A2318" s="9" t="s">
        <v>1277</v>
      </c>
      <c r="B2318" s="9" t="s">
        <v>797</v>
      </c>
      <c r="C2318" s="9" t="n">
        <v>12</v>
      </c>
      <c r="D2318" s="10" t="n">
        <v>2.95</v>
      </c>
      <c r="E2318" s="10" t="n">
        <f aca="false">C2318*D2318</f>
        <v>35.4</v>
      </c>
    </row>
    <row r="2319" customFormat="false" ht="15" hidden="false" customHeight="false" outlineLevel="0" collapsed="false">
      <c r="A2319" s="9" t="s">
        <v>1277</v>
      </c>
      <c r="B2319" s="9" t="s">
        <v>236</v>
      </c>
      <c r="C2319" s="9" t="n">
        <v>12</v>
      </c>
      <c r="D2319" s="10" t="n">
        <v>0.85</v>
      </c>
      <c r="E2319" s="10" t="n">
        <f aca="false">C2319*D2319</f>
        <v>10.2</v>
      </c>
    </row>
    <row r="2320" customFormat="false" ht="15" hidden="false" customHeight="false" outlineLevel="0" collapsed="false">
      <c r="A2320" s="9" t="s">
        <v>1277</v>
      </c>
      <c r="B2320" s="9" t="s">
        <v>49</v>
      </c>
      <c r="C2320" s="9" t="n">
        <v>1</v>
      </c>
      <c r="D2320" s="10" t="n">
        <v>7.95</v>
      </c>
      <c r="E2320" s="10" t="n">
        <f aca="false">C2320*D2320</f>
        <v>7.95</v>
      </c>
    </row>
    <row r="2321" customFormat="false" ht="15" hidden="false" customHeight="false" outlineLevel="0" collapsed="false">
      <c r="A2321" s="9" t="s">
        <v>1277</v>
      </c>
      <c r="B2321" s="9" t="s">
        <v>235</v>
      </c>
      <c r="C2321" s="9" t="n">
        <v>12</v>
      </c>
      <c r="D2321" s="10" t="n">
        <v>0.85</v>
      </c>
      <c r="E2321" s="10" t="n">
        <f aca="false">C2321*D2321</f>
        <v>10.2</v>
      </c>
    </row>
    <row r="2322" customFormat="false" ht="15" hidden="false" customHeight="false" outlineLevel="0" collapsed="false">
      <c r="A2322" s="9" t="s">
        <v>1277</v>
      </c>
      <c r="B2322" s="9" t="s">
        <v>128</v>
      </c>
      <c r="C2322" s="9" t="n">
        <v>12</v>
      </c>
      <c r="D2322" s="10" t="n">
        <v>1.45</v>
      </c>
      <c r="E2322" s="10" t="n">
        <f aca="false">C2322*D2322</f>
        <v>17.4</v>
      </c>
    </row>
    <row r="2323" customFormat="false" ht="15" hidden="false" customHeight="false" outlineLevel="0" collapsed="false">
      <c r="A2323" s="9" t="s">
        <v>1277</v>
      </c>
      <c r="B2323" s="9" t="s">
        <v>63</v>
      </c>
      <c r="C2323" s="9" t="n">
        <v>6</v>
      </c>
      <c r="D2323" s="10" t="n">
        <v>4.25</v>
      </c>
      <c r="E2323" s="10" t="n">
        <f aca="false">C2323*D2323</f>
        <v>25.5</v>
      </c>
    </row>
    <row r="2324" customFormat="false" ht="15" hidden="false" customHeight="false" outlineLevel="0" collapsed="false">
      <c r="A2324" s="9" t="s">
        <v>1277</v>
      </c>
      <c r="B2324" s="9" t="s">
        <v>802</v>
      </c>
      <c r="C2324" s="9" t="n">
        <v>12</v>
      </c>
      <c r="D2324" s="10" t="n">
        <v>2.95</v>
      </c>
      <c r="E2324" s="10" t="n">
        <f aca="false">C2324*D2324</f>
        <v>35.4</v>
      </c>
    </row>
    <row r="2325" customFormat="false" ht="15" hidden="false" customHeight="false" outlineLevel="0" collapsed="false">
      <c r="A2325" s="9" t="s">
        <v>1279</v>
      </c>
      <c r="B2325" s="9" t="s">
        <v>878</v>
      </c>
      <c r="C2325" s="9" t="n">
        <v>1</v>
      </c>
      <c r="D2325" s="10" t="n">
        <v>8.95</v>
      </c>
      <c r="E2325" s="10" t="n">
        <f aca="false">C2325*D2325</f>
        <v>8.95</v>
      </c>
    </row>
    <row r="2326" customFormat="false" ht="15" hidden="false" customHeight="false" outlineLevel="0" collapsed="false">
      <c r="A2326" s="9" t="s">
        <v>1279</v>
      </c>
      <c r="B2326" s="9" t="s">
        <v>51</v>
      </c>
      <c r="C2326" s="9" t="n">
        <v>2</v>
      </c>
      <c r="D2326" s="10" t="n">
        <v>9.95</v>
      </c>
      <c r="E2326" s="10" t="n">
        <f aca="false">C2326*D2326</f>
        <v>19.9</v>
      </c>
    </row>
    <row r="2327" customFormat="false" ht="15" hidden="false" customHeight="false" outlineLevel="0" collapsed="false">
      <c r="A2327" s="9" t="s">
        <v>1279</v>
      </c>
      <c r="B2327" s="9" t="s">
        <v>1280</v>
      </c>
      <c r="C2327" s="9" t="n">
        <v>12</v>
      </c>
      <c r="D2327" s="10" t="n">
        <v>0.42</v>
      </c>
      <c r="E2327" s="10" t="n">
        <f aca="false">C2327*D2327</f>
        <v>5.04</v>
      </c>
    </row>
    <row r="2328" customFormat="false" ht="15" hidden="false" customHeight="false" outlineLevel="0" collapsed="false">
      <c r="A2328" s="9" t="s">
        <v>1279</v>
      </c>
      <c r="B2328" s="9" t="s">
        <v>1281</v>
      </c>
      <c r="C2328" s="9" t="n">
        <v>4</v>
      </c>
      <c r="D2328" s="10" t="n">
        <v>3.25</v>
      </c>
      <c r="E2328" s="10" t="n">
        <f aca="false">C2328*D2328</f>
        <v>13</v>
      </c>
    </row>
    <row r="2329" customFormat="false" ht="15" hidden="false" customHeight="false" outlineLevel="0" collapsed="false">
      <c r="A2329" s="9" t="s">
        <v>1279</v>
      </c>
      <c r="B2329" s="9" t="s">
        <v>1172</v>
      </c>
      <c r="C2329" s="9" t="n">
        <v>2</v>
      </c>
      <c r="D2329" s="10" t="n">
        <v>7.95</v>
      </c>
      <c r="E2329" s="10" t="n">
        <f aca="false">C2329*D2329</f>
        <v>15.9</v>
      </c>
    </row>
    <row r="2330" customFormat="false" ht="15" hidden="false" customHeight="false" outlineLevel="0" collapsed="false">
      <c r="A2330" s="9" t="s">
        <v>1279</v>
      </c>
      <c r="B2330" s="9" t="s">
        <v>712</v>
      </c>
      <c r="C2330" s="9" t="n">
        <v>1</v>
      </c>
      <c r="D2330" s="10" t="n">
        <v>9.95</v>
      </c>
      <c r="E2330" s="10" t="n">
        <f aca="false">C2330*D2330</f>
        <v>9.95</v>
      </c>
    </row>
    <row r="2331" customFormat="false" ht="15" hidden="false" customHeight="false" outlineLevel="0" collapsed="false">
      <c r="A2331" s="9" t="s">
        <v>1279</v>
      </c>
      <c r="B2331" s="9" t="s">
        <v>158</v>
      </c>
      <c r="C2331" s="9" t="n">
        <v>12</v>
      </c>
      <c r="D2331" s="10" t="n">
        <v>1.95</v>
      </c>
      <c r="E2331" s="10" t="n">
        <f aca="false">C2331*D2331</f>
        <v>23.4</v>
      </c>
    </row>
    <row r="2332" customFormat="false" ht="15" hidden="false" customHeight="false" outlineLevel="0" collapsed="false">
      <c r="A2332" s="9" t="s">
        <v>1279</v>
      </c>
      <c r="B2332" s="9" t="s">
        <v>180</v>
      </c>
      <c r="C2332" s="9" t="n">
        <v>6</v>
      </c>
      <c r="D2332" s="10" t="n">
        <v>2.95</v>
      </c>
      <c r="E2332" s="10" t="n">
        <f aca="false">C2332*D2332</f>
        <v>17.7</v>
      </c>
    </row>
    <row r="2333" customFormat="false" ht="15" hidden="false" customHeight="false" outlineLevel="0" collapsed="false">
      <c r="A2333" s="9" t="s">
        <v>1279</v>
      </c>
      <c r="B2333" s="9" t="s">
        <v>177</v>
      </c>
      <c r="C2333" s="9" t="n">
        <v>1</v>
      </c>
      <c r="D2333" s="10" t="n">
        <v>12.75</v>
      </c>
      <c r="E2333" s="10" t="n">
        <f aca="false">C2333*D2333</f>
        <v>12.75</v>
      </c>
    </row>
    <row r="2334" customFormat="false" ht="15" hidden="false" customHeight="false" outlineLevel="0" collapsed="false">
      <c r="A2334" s="9" t="s">
        <v>1279</v>
      </c>
      <c r="B2334" s="9" t="s">
        <v>105</v>
      </c>
      <c r="C2334" s="9" t="n">
        <v>4</v>
      </c>
      <c r="D2334" s="10" t="n">
        <v>3.95</v>
      </c>
      <c r="E2334" s="10" t="n">
        <f aca="false">C2334*D2334</f>
        <v>15.8</v>
      </c>
    </row>
    <row r="2335" customFormat="false" ht="15" hidden="false" customHeight="false" outlineLevel="0" collapsed="false">
      <c r="A2335" s="9" t="s">
        <v>1279</v>
      </c>
      <c r="B2335" s="9" t="s">
        <v>270</v>
      </c>
      <c r="C2335" s="9" t="n">
        <v>3</v>
      </c>
      <c r="D2335" s="10" t="n">
        <v>4.95</v>
      </c>
      <c r="E2335" s="10" t="n">
        <f aca="false">C2335*D2335</f>
        <v>14.85</v>
      </c>
    </row>
    <row r="2336" customFormat="false" ht="15" hidden="false" customHeight="false" outlineLevel="0" collapsed="false">
      <c r="A2336" s="9" t="s">
        <v>1279</v>
      </c>
      <c r="B2336" s="9" t="s">
        <v>37</v>
      </c>
      <c r="C2336" s="9" t="n">
        <v>6</v>
      </c>
      <c r="D2336" s="10" t="n">
        <v>2.95</v>
      </c>
      <c r="E2336" s="10" t="n">
        <f aca="false">C2336*D2336</f>
        <v>17.7</v>
      </c>
    </row>
    <row r="2337" customFormat="false" ht="15" hidden="false" customHeight="false" outlineLevel="0" collapsed="false">
      <c r="A2337" s="9" t="s">
        <v>1279</v>
      </c>
      <c r="B2337" s="9" t="s">
        <v>200</v>
      </c>
      <c r="C2337" s="9" t="n">
        <v>12</v>
      </c>
      <c r="D2337" s="10" t="n">
        <v>1.45</v>
      </c>
      <c r="E2337" s="10" t="n">
        <f aca="false">C2337*D2337</f>
        <v>17.4</v>
      </c>
    </row>
    <row r="2338" customFormat="false" ht="15" hidden="false" customHeight="false" outlineLevel="0" collapsed="false">
      <c r="A2338" s="9" t="s">
        <v>1279</v>
      </c>
      <c r="B2338" s="9" t="s">
        <v>1282</v>
      </c>
      <c r="C2338" s="9" t="n">
        <v>8</v>
      </c>
      <c r="D2338" s="10" t="n">
        <v>1.69</v>
      </c>
      <c r="E2338" s="10" t="n">
        <f aca="false">C2338*D2338</f>
        <v>13.52</v>
      </c>
    </row>
    <row r="2339" customFormat="false" ht="15" hidden="false" customHeight="false" outlineLevel="0" collapsed="false">
      <c r="A2339" s="9" t="s">
        <v>1283</v>
      </c>
      <c r="B2339" s="9" t="s">
        <v>1193</v>
      </c>
      <c r="C2339" s="9" t="n">
        <v>12</v>
      </c>
      <c r="D2339" s="10" t="n">
        <v>0.85</v>
      </c>
      <c r="E2339" s="10" t="n">
        <f aca="false">C2339*D2339</f>
        <v>10.2</v>
      </c>
    </row>
    <row r="2340" customFormat="false" ht="15" hidden="false" customHeight="false" outlineLevel="0" collapsed="false">
      <c r="A2340" s="9" t="s">
        <v>1283</v>
      </c>
      <c r="B2340" s="9" t="s">
        <v>1284</v>
      </c>
      <c r="C2340" s="9" t="n">
        <v>1</v>
      </c>
      <c r="D2340" s="10" t="n">
        <v>2.1</v>
      </c>
      <c r="E2340" s="10" t="n">
        <f aca="false">C2340*D2340</f>
        <v>2.1</v>
      </c>
    </row>
    <row r="2341" customFormat="false" ht="15" hidden="false" customHeight="false" outlineLevel="0" collapsed="false">
      <c r="A2341" s="9" t="s">
        <v>1283</v>
      </c>
      <c r="B2341" s="9" t="s">
        <v>1148</v>
      </c>
      <c r="C2341" s="9" t="n">
        <v>2</v>
      </c>
      <c r="D2341" s="10" t="n">
        <v>4.95</v>
      </c>
      <c r="E2341" s="10" t="n">
        <f aca="false">C2341*D2341</f>
        <v>9.9</v>
      </c>
    </row>
    <row r="2342" customFormat="false" ht="15" hidden="false" customHeight="false" outlineLevel="0" collapsed="false">
      <c r="A2342" s="9" t="s">
        <v>1283</v>
      </c>
      <c r="B2342" s="9" t="s">
        <v>1285</v>
      </c>
      <c r="C2342" s="9" t="n">
        <v>3</v>
      </c>
      <c r="D2342" s="10" t="n">
        <v>1.25</v>
      </c>
      <c r="E2342" s="10" t="n">
        <f aca="false">C2342*D2342</f>
        <v>3.75</v>
      </c>
    </row>
    <row r="2343" customFormat="false" ht="15" hidden="false" customHeight="false" outlineLevel="0" collapsed="false">
      <c r="A2343" s="9" t="s">
        <v>1283</v>
      </c>
      <c r="B2343" s="9" t="s">
        <v>870</v>
      </c>
      <c r="C2343" s="9" t="n">
        <v>27</v>
      </c>
      <c r="D2343" s="10" t="n">
        <v>1.45</v>
      </c>
      <c r="E2343" s="10" t="n">
        <f aca="false">C2343*D2343</f>
        <v>39.15</v>
      </c>
    </row>
    <row r="2344" customFormat="false" ht="15" hidden="false" customHeight="false" outlineLevel="0" collapsed="false">
      <c r="A2344" s="9" t="s">
        <v>1283</v>
      </c>
      <c r="B2344" s="9" t="s">
        <v>1286</v>
      </c>
      <c r="C2344" s="9" t="n">
        <v>1</v>
      </c>
      <c r="D2344" s="10" t="n">
        <v>3.75</v>
      </c>
      <c r="E2344" s="10" t="n">
        <f aca="false">C2344*D2344</f>
        <v>3.75</v>
      </c>
    </row>
    <row r="2345" customFormat="false" ht="15" hidden="false" customHeight="false" outlineLevel="0" collapsed="false">
      <c r="A2345" s="9" t="s">
        <v>1283</v>
      </c>
      <c r="B2345" s="9" t="s">
        <v>949</v>
      </c>
      <c r="C2345" s="9" t="n">
        <v>1</v>
      </c>
      <c r="D2345" s="10" t="n">
        <v>9.95</v>
      </c>
      <c r="E2345" s="10" t="n">
        <f aca="false">C2345*D2345</f>
        <v>9.95</v>
      </c>
    </row>
    <row r="2346" customFormat="false" ht="15" hidden="false" customHeight="false" outlineLevel="0" collapsed="false">
      <c r="A2346" s="9" t="s">
        <v>1283</v>
      </c>
      <c r="B2346" s="9" t="s">
        <v>1287</v>
      </c>
      <c r="C2346" s="9" t="n">
        <v>5</v>
      </c>
      <c r="D2346" s="10" t="n">
        <v>0.85</v>
      </c>
      <c r="E2346" s="10" t="n">
        <f aca="false">C2346*D2346</f>
        <v>4.25</v>
      </c>
    </row>
    <row r="2347" customFormat="false" ht="15" hidden="false" customHeight="false" outlineLevel="0" collapsed="false">
      <c r="A2347" s="9" t="s">
        <v>1283</v>
      </c>
      <c r="B2347" s="9" t="s">
        <v>913</v>
      </c>
      <c r="C2347" s="9" t="n">
        <v>2</v>
      </c>
      <c r="D2347" s="10" t="n">
        <v>5.45</v>
      </c>
      <c r="E2347" s="10" t="n">
        <f aca="false">C2347*D2347</f>
        <v>10.9</v>
      </c>
    </row>
    <row r="2348" customFormat="false" ht="15" hidden="false" customHeight="false" outlineLevel="0" collapsed="false">
      <c r="A2348" s="9" t="s">
        <v>1283</v>
      </c>
      <c r="B2348" s="9" t="s">
        <v>946</v>
      </c>
      <c r="C2348" s="9" t="n">
        <v>1</v>
      </c>
      <c r="D2348" s="10" t="n">
        <v>1.65</v>
      </c>
      <c r="E2348" s="10" t="n">
        <f aca="false">C2348*D2348</f>
        <v>1.65</v>
      </c>
    </row>
    <row r="2349" customFormat="false" ht="15" hidden="false" customHeight="false" outlineLevel="0" collapsed="false">
      <c r="A2349" s="9" t="s">
        <v>1283</v>
      </c>
      <c r="B2349" s="9" t="s">
        <v>708</v>
      </c>
      <c r="C2349" s="9" t="n">
        <v>1</v>
      </c>
      <c r="D2349" s="10" t="n">
        <v>2.95</v>
      </c>
      <c r="E2349" s="10" t="n">
        <f aca="false">C2349*D2349</f>
        <v>2.95</v>
      </c>
    </row>
    <row r="2350" customFormat="false" ht="15" hidden="false" customHeight="false" outlineLevel="0" collapsed="false">
      <c r="A2350" s="9" t="s">
        <v>1283</v>
      </c>
      <c r="B2350" s="9" t="s">
        <v>1288</v>
      </c>
      <c r="C2350" s="9" t="n">
        <v>1</v>
      </c>
      <c r="D2350" s="10" t="n">
        <v>5.49</v>
      </c>
      <c r="E2350" s="10" t="n">
        <f aca="false">C2350*D2350</f>
        <v>5.49</v>
      </c>
    </row>
    <row r="2351" customFormat="false" ht="15" hidden="false" customHeight="false" outlineLevel="0" collapsed="false">
      <c r="A2351" s="9" t="s">
        <v>1283</v>
      </c>
      <c r="B2351" s="9" t="s">
        <v>835</v>
      </c>
      <c r="C2351" s="9" t="n">
        <v>2</v>
      </c>
      <c r="D2351" s="10" t="n">
        <v>5.95</v>
      </c>
      <c r="E2351" s="10" t="n">
        <f aca="false">C2351*D2351</f>
        <v>11.9</v>
      </c>
    </row>
    <row r="2352" customFormat="false" ht="15" hidden="false" customHeight="false" outlineLevel="0" collapsed="false">
      <c r="A2352" s="9" t="s">
        <v>1283</v>
      </c>
      <c r="B2352" s="9" t="s">
        <v>636</v>
      </c>
      <c r="C2352" s="9" t="n">
        <v>1</v>
      </c>
      <c r="D2352" s="10" t="n">
        <v>3.95</v>
      </c>
      <c r="E2352" s="10" t="n">
        <f aca="false">C2352*D2352</f>
        <v>3.95</v>
      </c>
    </row>
    <row r="2353" customFormat="false" ht="15" hidden="false" customHeight="false" outlineLevel="0" collapsed="false">
      <c r="A2353" s="9" t="s">
        <v>1283</v>
      </c>
      <c r="B2353" s="9" t="s">
        <v>262</v>
      </c>
      <c r="C2353" s="9" t="n">
        <v>2</v>
      </c>
      <c r="D2353" s="10" t="n">
        <v>3.45</v>
      </c>
      <c r="E2353" s="10" t="n">
        <f aca="false">C2353*D2353</f>
        <v>6.9</v>
      </c>
    </row>
    <row r="2354" customFormat="false" ht="15" hidden="false" customHeight="false" outlineLevel="0" collapsed="false">
      <c r="A2354" s="9" t="s">
        <v>1283</v>
      </c>
      <c r="B2354" s="9" t="s">
        <v>514</v>
      </c>
      <c r="C2354" s="9" t="n">
        <v>1</v>
      </c>
      <c r="D2354" s="10" t="n">
        <v>4.25</v>
      </c>
      <c r="E2354" s="10" t="n">
        <f aca="false">C2354*D2354</f>
        <v>4.25</v>
      </c>
    </row>
    <row r="2355" customFormat="false" ht="15" hidden="false" customHeight="false" outlineLevel="0" collapsed="false">
      <c r="A2355" s="9" t="s">
        <v>1283</v>
      </c>
      <c r="B2355" s="9" t="s">
        <v>601</v>
      </c>
      <c r="C2355" s="9" t="n">
        <v>4</v>
      </c>
      <c r="D2355" s="10" t="n">
        <v>0.29</v>
      </c>
      <c r="E2355" s="10" t="n">
        <f aca="false">C2355*D2355</f>
        <v>1.16</v>
      </c>
    </row>
    <row r="2356" customFormat="false" ht="15" hidden="false" customHeight="false" outlineLevel="0" collapsed="false">
      <c r="A2356" s="9" t="s">
        <v>1283</v>
      </c>
      <c r="B2356" s="9" t="s">
        <v>1289</v>
      </c>
      <c r="C2356" s="9" t="n">
        <v>1</v>
      </c>
      <c r="D2356" s="10" t="n">
        <v>1.65</v>
      </c>
      <c r="E2356" s="10" t="n">
        <f aca="false">C2356*D2356</f>
        <v>1.65</v>
      </c>
    </row>
    <row r="2357" customFormat="false" ht="15" hidden="false" customHeight="false" outlineLevel="0" collapsed="false">
      <c r="A2357" s="9" t="s">
        <v>1283</v>
      </c>
      <c r="B2357" s="9" t="s">
        <v>1103</v>
      </c>
      <c r="C2357" s="9" t="n">
        <v>1</v>
      </c>
      <c r="D2357" s="10" t="n">
        <v>1.65</v>
      </c>
      <c r="E2357" s="10" t="n">
        <f aca="false">C2357*D2357</f>
        <v>1.65</v>
      </c>
    </row>
    <row r="2358" customFormat="false" ht="15" hidden="false" customHeight="false" outlineLevel="0" collapsed="false">
      <c r="A2358" s="9" t="s">
        <v>1283</v>
      </c>
      <c r="B2358" s="9" t="s">
        <v>78</v>
      </c>
      <c r="C2358" s="9" t="n">
        <v>1</v>
      </c>
      <c r="D2358" s="10" t="n">
        <v>2.95</v>
      </c>
      <c r="E2358" s="10" t="n">
        <f aca="false">C2358*D2358</f>
        <v>2.95</v>
      </c>
    </row>
    <row r="2359" customFormat="false" ht="15" hidden="false" customHeight="false" outlineLevel="0" collapsed="false">
      <c r="A2359" s="9" t="s">
        <v>1283</v>
      </c>
      <c r="B2359" s="9" t="s">
        <v>1290</v>
      </c>
      <c r="C2359" s="9" t="n">
        <v>2</v>
      </c>
      <c r="D2359" s="10" t="n">
        <v>1.25</v>
      </c>
      <c r="E2359" s="10" t="n">
        <f aca="false">C2359*D2359</f>
        <v>2.5</v>
      </c>
    </row>
    <row r="2360" customFormat="false" ht="15" hidden="false" customHeight="false" outlineLevel="0" collapsed="false">
      <c r="A2360" s="9" t="s">
        <v>1283</v>
      </c>
      <c r="B2360" s="9" t="s">
        <v>1291</v>
      </c>
      <c r="C2360" s="9" t="n">
        <v>1</v>
      </c>
      <c r="D2360" s="10" t="n">
        <v>2.55</v>
      </c>
      <c r="E2360" s="10" t="n">
        <f aca="false">C2360*D2360</f>
        <v>2.55</v>
      </c>
    </row>
    <row r="2361" customFormat="false" ht="15" hidden="false" customHeight="false" outlineLevel="0" collapsed="false">
      <c r="A2361" s="9" t="s">
        <v>1283</v>
      </c>
      <c r="B2361" s="9" t="s">
        <v>666</v>
      </c>
      <c r="C2361" s="9" t="n">
        <v>1</v>
      </c>
      <c r="D2361" s="10" t="n">
        <v>2.1</v>
      </c>
      <c r="E2361" s="10" t="n">
        <f aca="false">C2361*D2361</f>
        <v>2.1</v>
      </c>
    </row>
    <row r="2362" customFormat="false" ht="15" hidden="false" customHeight="false" outlineLevel="0" collapsed="false">
      <c r="A2362" s="9" t="s">
        <v>1283</v>
      </c>
      <c r="B2362" s="9" t="s">
        <v>1067</v>
      </c>
      <c r="C2362" s="9" t="n">
        <v>1</v>
      </c>
      <c r="D2362" s="10" t="n">
        <v>0.42</v>
      </c>
      <c r="E2362" s="10" t="n">
        <f aca="false">C2362*D2362</f>
        <v>0.42</v>
      </c>
    </row>
    <row r="2363" customFormat="false" ht="15" hidden="false" customHeight="false" outlineLevel="0" collapsed="false">
      <c r="A2363" s="9" t="s">
        <v>1283</v>
      </c>
      <c r="B2363" s="9" t="s">
        <v>1292</v>
      </c>
      <c r="C2363" s="9" t="n">
        <v>1</v>
      </c>
      <c r="D2363" s="10" t="n">
        <v>1.25</v>
      </c>
      <c r="E2363" s="10" t="n">
        <f aca="false">C2363*D2363</f>
        <v>1.25</v>
      </c>
    </row>
    <row r="2364" customFormat="false" ht="15" hidden="false" customHeight="false" outlineLevel="0" collapsed="false">
      <c r="A2364" s="9" t="s">
        <v>1283</v>
      </c>
      <c r="B2364" s="9" t="s">
        <v>1293</v>
      </c>
      <c r="C2364" s="9" t="n">
        <v>1</v>
      </c>
      <c r="D2364" s="10" t="n">
        <v>1.25</v>
      </c>
      <c r="E2364" s="10" t="n">
        <f aca="false">C2364*D2364</f>
        <v>1.25</v>
      </c>
    </row>
    <row r="2365" customFormat="false" ht="15" hidden="false" customHeight="false" outlineLevel="0" collapsed="false">
      <c r="A2365" s="9" t="s">
        <v>1283</v>
      </c>
      <c r="B2365" s="9" t="s">
        <v>932</v>
      </c>
      <c r="C2365" s="9" t="n">
        <v>2</v>
      </c>
      <c r="D2365" s="10" t="n">
        <v>1.25</v>
      </c>
      <c r="E2365" s="10" t="n">
        <f aca="false">C2365*D2365</f>
        <v>2.5</v>
      </c>
    </row>
    <row r="2366" customFormat="false" ht="15" hidden="false" customHeight="false" outlineLevel="0" collapsed="false">
      <c r="A2366" s="9" t="s">
        <v>1283</v>
      </c>
      <c r="B2366" s="9" t="s">
        <v>108</v>
      </c>
      <c r="C2366" s="9" t="n">
        <v>1</v>
      </c>
      <c r="D2366" s="10" t="n">
        <v>1.95</v>
      </c>
      <c r="E2366" s="10" t="n">
        <f aca="false">C2366*D2366</f>
        <v>1.95</v>
      </c>
    </row>
    <row r="2367" customFormat="false" ht="15" hidden="false" customHeight="false" outlineLevel="0" collapsed="false">
      <c r="A2367" s="9" t="s">
        <v>1283</v>
      </c>
      <c r="B2367" s="9" t="s">
        <v>1072</v>
      </c>
      <c r="C2367" s="9" t="n">
        <v>1</v>
      </c>
      <c r="D2367" s="10" t="n">
        <v>2.1</v>
      </c>
      <c r="E2367" s="10" t="n">
        <f aca="false">C2367*D2367</f>
        <v>2.1</v>
      </c>
    </row>
    <row r="2368" customFormat="false" ht="15" hidden="false" customHeight="false" outlineLevel="0" collapsed="false">
      <c r="A2368" s="9" t="s">
        <v>1283</v>
      </c>
      <c r="B2368" s="9" t="s">
        <v>446</v>
      </c>
      <c r="C2368" s="9" t="n">
        <v>1</v>
      </c>
      <c r="D2368" s="10" t="n">
        <v>7.95</v>
      </c>
      <c r="E2368" s="10" t="n">
        <f aca="false">C2368*D2368</f>
        <v>7.95</v>
      </c>
    </row>
    <row r="2369" customFormat="false" ht="15" hidden="false" customHeight="false" outlineLevel="0" collapsed="false">
      <c r="A2369" s="9" t="s">
        <v>1283</v>
      </c>
      <c r="B2369" s="9" t="s">
        <v>1294</v>
      </c>
      <c r="C2369" s="9" t="n">
        <v>1</v>
      </c>
      <c r="D2369" s="10" t="n">
        <v>1.25</v>
      </c>
      <c r="E2369" s="10" t="n">
        <f aca="false">C2369*D2369</f>
        <v>1.25</v>
      </c>
    </row>
    <row r="2370" customFormat="false" ht="15" hidden="false" customHeight="false" outlineLevel="0" collapsed="false">
      <c r="A2370" s="9" t="s">
        <v>1283</v>
      </c>
      <c r="B2370" s="9" t="s">
        <v>504</v>
      </c>
      <c r="C2370" s="9" t="n">
        <v>1</v>
      </c>
      <c r="D2370" s="10" t="n">
        <v>0.85</v>
      </c>
      <c r="E2370" s="10" t="n">
        <f aca="false">C2370*D2370</f>
        <v>0.85</v>
      </c>
    </row>
    <row r="2371" customFormat="false" ht="15" hidden="false" customHeight="false" outlineLevel="0" collapsed="false">
      <c r="A2371" s="9" t="s">
        <v>1283</v>
      </c>
      <c r="B2371" s="9" t="s">
        <v>1295</v>
      </c>
      <c r="C2371" s="9" t="n">
        <v>1</v>
      </c>
      <c r="D2371" s="10" t="n">
        <v>0.85</v>
      </c>
      <c r="E2371" s="10" t="n">
        <f aca="false">C2371*D2371</f>
        <v>0.85</v>
      </c>
    </row>
    <row r="2372" customFormat="false" ht="15" hidden="false" customHeight="false" outlineLevel="0" collapsed="false">
      <c r="A2372" s="9" t="s">
        <v>1283</v>
      </c>
      <c r="B2372" s="9" t="s">
        <v>986</v>
      </c>
      <c r="C2372" s="9" t="n">
        <v>1</v>
      </c>
      <c r="D2372" s="10" t="n">
        <v>0.85</v>
      </c>
      <c r="E2372" s="10" t="n">
        <f aca="false">C2372*D2372</f>
        <v>0.85</v>
      </c>
    </row>
    <row r="2373" customFormat="false" ht="15" hidden="false" customHeight="false" outlineLevel="0" collapsed="false">
      <c r="A2373" s="9" t="s">
        <v>1283</v>
      </c>
      <c r="B2373" s="9" t="s">
        <v>1296</v>
      </c>
      <c r="C2373" s="9" t="n">
        <v>1</v>
      </c>
      <c r="D2373" s="10" t="n">
        <v>7.95</v>
      </c>
      <c r="E2373" s="10" t="n">
        <f aca="false">C2373*D2373</f>
        <v>7.95</v>
      </c>
    </row>
    <row r="2374" customFormat="false" ht="15" hidden="false" customHeight="false" outlineLevel="0" collapsed="false">
      <c r="A2374" s="9" t="s">
        <v>1283</v>
      </c>
      <c r="B2374" s="9" t="s">
        <v>171</v>
      </c>
      <c r="C2374" s="9" t="n">
        <v>1</v>
      </c>
      <c r="D2374" s="10" t="n">
        <v>2.1</v>
      </c>
      <c r="E2374" s="10" t="n">
        <f aca="false">C2374*D2374</f>
        <v>2.1</v>
      </c>
    </row>
    <row r="2375" customFormat="false" ht="15" hidden="false" customHeight="false" outlineLevel="0" collapsed="false">
      <c r="A2375" s="9" t="s">
        <v>1283</v>
      </c>
      <c r="B2375" s="9" t="s">
        <v>980</v>
      </c>
      <c r="C2375" s="9" t="n">
        <v>2</v>
      </c>
      <c r="D2375" s="10" t="n">
        <v>4.25</v>
      </c>
      <c r="E2375" s="10" t="n">
        <f aca="false">C2375*D2375</f>
        <v>8.5</v>
      </c>
    </row>
    <row r="2376" customFormat="false" ht="15" hidden="false" customHeight="false" outlineLevel="0" collapsed="false">
      <c r="A2376" s="9" t="s">
        <v>1283</v>
      </c>
      <c r="B2376" s="9" t="s">
        <v>1144</v>
      </c>
      <c r="C2376" s="9" t="n">
        <v>1</v>
      </c>
      <c r="D2376" s="10" t="n">
        <v>4.25</v>
      </c>
      <c r="E2376" s="10" t="n">
        <f aca="false">C2376*D2376</f>
        <v>4.25</v>
      </c>
    </row>
    <row r="2377" customFormat="false" ht="15" hidden="false" customHeight="false" outlineLevel="0" collapsed="false">
      <c r="A2377" s="9" t="s">
        <v>1283</v>
      </c>
      <c r="B2377" s="9" t="s">
        <v>1088</v>
      </c>
      <c r="C2377" s="9" t="n">
        <v>1</v>
      </c>
      <c r="D2377" s="10" t="n">
        <v>3.75</v>
      </c>
      <c r="E2377" s="10" t="n">
        <f aca="false">C2377*D2377</f>
        <v>3.75</v>
      </c>
    </row>
    <row r="2378" customFormat="false" ht="15" hidden="false" customHeight="false" outlineLevel="0" collapsed="false">
      <c r="A2378" s="9" t="s">
        <v>1283</v>
      </c>
      <c r="B2378" s="9" t="s">
        <v>1297</v>
      </c>
      <c r="C2378" s="9" t="n">
        <v>1</v>
      </c>
      <c r="D2378" s="10" t="n">
        <v>4.95</v>
      </c>
      <c r="E2378" s="10" t="n">
        <f aca="false">C2378*D2378</f>
        <v>4.95</v>
      </c>
    </row>
    <row r="2379" customFormat="false" ht="15" hidden="false" customHeight="false" outlineLevel="0" collapsed="false">
      <c r="A2379" s="9" t="s">
        <v>1298</v>
      </c>
      <c r="B2379" s="9" t="s">
        <v>205</v>
      </c>
      <c r="C2379" s="9" t="n">
        <v>1</v>
      </c>
      <c r="D2379" s="10" t="n">
        <v>5.06</v>
      </c>
      <c r="E2379" s="10" t="n">
        <f aca="false">C2379*D2379</f>
        <v>5.06</v>
      </c>
    </row>
    <row r="2380" customFormat="false" ht="15" hidden="false" customHeight="false" outlineLevel="0" collapsed="false">
      <c r="A2380" s="9" t="s">
        <v>1298</v>
      </c>
      <c r="B2380" s="9" t="s">
        <v>1299</v>
      </c>
      <c r="C2380" s="9" t="n">
        <v>1</v>
      </c>
      <c r="D2380" s="10" t="n">
        <v>16.13</v>
      </c>
      <c r="E2380" s="10" t="n">
        <f aca="false">C2380*D2380</f>
        <v>16.13</v>
      </c>
    </row>
    <row r="2381" customFormat="false" ht="15" hidden="false" customHeight="false" outlineLevel="0" collapsed="false">
      <c r="A2381" s="9" t="s">
        <v>1298</v>
      </c>
      <c r="B2381" s="9" t="s">
        <v>682</v>
      </c>
      <c r="C2381" s="9" t="n">
        <v>1</v>
      </c>
      <c r="D2381" s="10" t="n">
        <v>1.66</v>
      </c>
      <c r="E2381" s="10" t="n">
        <f aca="false">C2381*D2381</f>
        <v>1.66</v>
      </c>
    </row>
    <row r="2382" customFormat="false" ht="15" hidden="false" customHeight="false" outlineLevel="0" collapsed="false">
      <c r="A2382" s="9" t="s">
        <v>1298</v>
      </c>
      <c r="B2382" s="9" t="s">
        <v>685</v>
      </c>
      <c r="C2382" s="9" t="n">
        <v>1</v>
      </c>
      <c r="D2382" s="10" t="n">
        <v>1.66</v>
      </c>
      <c r="E2382" s="10" t="n">
        <f aca="false">C2382*D2382</f>
        <v>1.66</v>
      </c>
    </row>
    <row r="2383" customFormat="false" ht="15" hidden="false" customHeight="false" outlineLevel="0" collapsed="false">
      <c r="A2383" s="9" t="s">
        <v>1298</v>
      </c>
      <c r="B2383" s="9" t="s">
        <v>687</v>
      </c>
      <c r="C2383" s="9" t="n">
        <v>1</v>
      </c>
      <c r="D2383" s="10" t="n">
        <v>1.66</v>
      </c>
      <c r="E2383" s="10" t="n">
        <f aca="false">C2383*D2383</f>
        <v>1.66</v>
      </c>
    </row>
    <row r="2384" customFormat="false" ht="15" hidden="false" customHeight="false" outlineLevel="0" collapsed="false">
      <c r="A2384" s="9" t="s">
        <v>1298</v>
      </c>
      <c r="B2384" s="9" t="s">
        <v>686</v>
      </c>
      <c r="C2384" s="9" t="n">
        <v>1</v>
      </c>
      <c r="D2384" s="10" t="n">
        <v>1.66</v>
      </c>
      <c r="E2384" s="10" t="n">
        <f aca="false">C2384*D2384</f>
        <v>1.66</v>
      </c>
    </row>
    <row r="2385" customFormat="false" ht="15" hidden="false" customHeight="false" outlineLevel="0" collapsed="false">
      <c r="A2385" s="9" t="s">
        <v>1298</v>
      </c>
      <c r="B2385" s="9" t="s">
        <v>684</v>
      </c>
      <c r="C2385" s="9" t="n">
        <v>1</v>
      </c>
      <c r="D2385" s="10" t="n">
        <v>1.66</v>
      </c>
      <c r="E2385" s="10" t="n">
        <f aca="false">C2385*D2385</f>
        <v>1.66</v>
      </c>
    </row>
    <row r="2386" customFormat="false" ht="15" hidden="false" customHeight="false" outlineLevel="0" collapsed="false">
      <c r="A2386" s="9" t="s">
        <v>1298</v>
      </c>
      <c r="B2386" s="9" t="s">
        <v>215</v>
      </c>
      <c r="C2386" s="9" t="n">
        <v>4</v>
      </c>
      <c r="D2386" s="10" t="n">
        <v>16.98</v>
      </c>
      <c r="E2386" s="10" t="n">
        <f aca="false">C2386*D2386</f>
        <v>67.92</v>
      </c>
    </row>
    <row r="2387" customFormat="false" ht="15" hidden="false" customHeight="false" outlineLevel="0" collapsed="false">
      <c r="A2387" s="9" t="s">
        <v>1298</v>
      </c>
      <c r="B2387" s="9" t="s">
        <v>465</v>
      </c>
      <c r="C2387" s="9" t="n">
        <v>3</v>
      </c>
      <c r="D2387" s="10" t="n">
        <v>8.47</v>
      </c>
      <c r="E2387" s="10" t="n">
        <f aca="false">C2387*D2387</f>
        <v>25.41</v>
      </c>
    </row>
    <row r="2388" customFormat="false" ht="15" hidden="false" customHeight="false" outlineLevel="0" collapsed="false">
      <c r="A2388" s="9" t="s">
        <v>1298</v>
      </c>
      <c r="B2388" s="9" t="s">
        <v>1300</v>
      </c>
      <c r="C2388" s="9" t="n">
        <v>1</v>
      </c>
      <c r="D2388" s="10" t="n">
        <v>16.13</v>
      </c>
      <c r="E2388" s="10" t="n">
        <f aca="false">C2388*D2388</f>
        <v>16.13</v>
      </c>
    </row>
    <row r="2389" customFormat="false" ht="15" hidden="false" customHeight="false" outlineLevel="0" collapsed="false">
      <c r="A2389" s="9" t="s">
        <v>1298</v>
      </c>
      <c r="B2389" s="9" t="s">
        <v>606</v>
      </c>
      <c r="C2389" s="9" t="n">
        <v>2</v>
      </c>
      <c r="D2389" s="10" t="n">
        <v>11.02</v>
      </c>
      <c r="E2389" s="10" t="n">
        <f aca="false">C2389*D2389</f>
        <v>22.04</v>
      </c>
    </row>
    <row r="2390" customFormat="false" ht="15" hidden="false" customHeight="false" outlineLevel="0" collapsed="false">
      <c r="A2390" s="9" t="s">
        <v>1298</v>
      </c>
      <c r="B2390" s="9" t="s">
        <v>1223</v>
      </c>
      <c r="C2390" s="9" t="n">
        <v>1</v>
      </c>
      <c r="D2390" s="10" t="n">
        <v>34</v>
      </c>
      <c r="E2390" s="10" t="n">
        <f aca="false">C2390*D2390</f>
        <v>34</v>
      </c>
    </row>
    <row r="2391" customFormat="false" ht="15" hidden="false" customHeight="false" outlineLevel="0" collapsed="false">
      <c r="A2391" s="9" t="s">
        <v>1298</v>
      </c>
      <c r="B2391" s="9" t="s">
        <v>233</v>
      </c>
      <c r="C2391" s="9" t="n">
        <v>10</v>
      </c>
      <c r="D2391" s="10" t="n">
        <v>5.91</v>
      </c>
      <c r="E2391" s="10" t="n">
        <f aca="false">C2391*D2391</f>
        <v>59.1</v>
      </c>
    </row>
    <row r="2392" customFormat="false" ht="15" hidden="false" customHeight="false" outlineLevel="0" collapsed="false">
      <c r="A2392" s="9" t="s">
        <v>1298</v>
      </c>
      <c r="B2392" s="9" t="s">
        <v>764</v>
      </c>
      <c r="C2392" s="9" t="n">
        <v>1</v>
      </c>
      <c r="D2392" s="10" t="n">
        <v>34</v>
      </c>
      <c r="E2392" s="10" t="n">
        <f aca="false">C2392*D2392</f>
        <v>34</v>
      </c>
    </row>
    <row r="2393" customFormat="false" ht="15" hidden="false" customHeight="false" outlineLevel="0" collapsed="false">
      <c r="A2393" s="9" t="s">
        <v>1298</v>
      </c>
      <c r="B2393" s="9" t="s">
        <v>683</v>
      </c>
      <c r="C2393" s="9" t="n">
        <v>1</v>
      </c>
      <c r="D2393" s="10" t="n">
        <v>1.66</v>
      </c>
      <c r="E2393" s="10" t="n">
        <f aca="false">C2393*D2393</f>
        <v>1.66</v>
      </c>
    </row>
    <row r="2394" customFormat="false" ht="15" hidden="false" customHeight="false" outlineLevel="0" collapsed="false">
      <c r="A2394" s="9" t="s">
        <v>1298</v>
      </c>
      <c r="B2394" s="9" t="s">
        <v>490</v>
      </c>
      <c r="C2394" s="9" t="n">
        <v>7</v>
      </c>
      <c r="D2394" s="10" t="n">
        <v>1.66</v>
      </c>
      <c r="E2394" s="10" t="n">
        <f aca="false">C2394*D2394</f>
        <v>11.62</v>
      </c>
    </row>
    <row r="2395" customFormat="false" ht="15" hidden="false" customHeight="false" outlineLevel="0" collapsed="false">
      <c r="A2395" s="9" t="s">
        <v>1298</v>
      </c>
      <c r="B2395" s="9" t="s">
        <v>254</v>
      </c>
      <c r="C2395" s="9" t="n">
        <v>4</v>
      </c>
      <c r="D2395" s="10" t="n">
        <v>4.21</v>
      </c>
      <c r="E2395" s="10" t="n">
        <f aca="false">C2395*D2395</f>
        <v>16.84</v>
      </c>
    </row>
    <row r="2396" customFormat="false" ht="15" hidden="false" customHeight="false" outlineLevel="0" collapsed="false">
      <c r="A2396" s="9" t="s">
        <v>1298</v>
      </c>
      <c r="B2396" s="9" t="s">
        <v>653</v>
      </c>
      <c r="C2396" s="9" t="n">
        <v>1</v>
      </c>
      <c r="D2396" s="10" t="n">
        <v>5.91</v>
      </c>
      <c r="E2396" s="10" t="n">
        <f aca="false">C2396*D2396</f>
        <v>5.91</v>
      </c>
    </row>
    <row r="2397" customFormat="false" ht="15" hidden="false" customHeight="false" outlineLevel="0" collapsed="false">
      <c r="A2397" s="9" t="s">
        <v>1298</v>
      </c>
      <c r="B2397" s="9" t="s">
        <v>1132</v>
      </c>
      <c r="C2397" s="9" t="n">
        <v>2</v>
      </c>
      <c r="D2397" s="10" t="n">
        <v>6.77</v>
      </c>
      <c r="E2397" s="10" t="n">
        <f aca="false">C2397*D2397</f>
        <v>13.54</v>
      </c>
    </row>
    <row r="2398" customFormat="false" ht="15" hidden="false" customHeight="false" outlineLevel="0" collapsed="false">
      <c r="A2398" s="9" t="s">
        <v>1298</v>
      </c>
      <c r="B2398" s="9" t="s">
        <v>1038</v>
      </c>
      <c r="C2398" s="9" t="n">
        <v>1</v>
      </c>
      <c r="D2398" s="10" t="n">
        <v>16.98</v>
      </c>
      <c r="E2398" s="10" t="n">
        <f aca="false">C2398*D2398</f>
        <v>16.98</v>
      </c>
    </row>
    <row r="2399" customFormat="false" ht="15" hidden="false" customHeight="false" outlineLevel="0" collapsed="false">
      <c r="A2399" s="9" t="s">
        <v>1298</v>
      </c>
      <c r="B2399" s="9" t="s">
        <v>693</v>
      </c>
      <c r="C2399" s="9" t="n">
        <v>1</v>
      </c>
      <c r="D2399" s="10" t="n">
        <v>11.02</v>
      </c>
      <c r="E2399" s="10" t="n">
        <f aca="false">C2399*D2399</f>
        <v>11.02</v>
      </c>
    </row>
    <row r="2400" customFormat="false" ht="15" hidden="false" customHeight="false" outlineLevel="0" collapsed="false">
      <c r="A2400" s="9" t="s">
        <v>1298</v>
      </c>
      <c r="B2400" s="9" t="s">
        <v>1248</v>
      </c>
      <c r="C2400" s="9" t="n">
        <v>1</v>
      </c>
      <c r="D2400" s="10" t="n">
        <v>2.51</v>
      </c>
      <c r="E2400" s="10" t="n">
        <f aca="false">C2400*D2400</f>
        <v>2.51</v>
      </c>
    </row>
    <row r="2401" customFormat="false" ht="15" hidden="false" customHeight="false" outlineLevel="0" collapsed="false">
      <c r="A2401" s="9" t="s">
        <v>1298</v>
      </c>
      <c r="B2401" s="9" t="s">
        <v>1040</v>
      </c>
      <c r="C2401" s="9" t="n">
        <v>1</v>
      </c>
      <c r="D2401" s="10" t="n">
        <v>8.47</v>
      </c>
      <c r="E2401" s="10" t="n">
        <f aca="false">C2401*D2401</f>
        <v>8.47</v>
      </c>
    </row>
    <row r="2402" customFormat="false" ht="15" hidden="false" customHeight="false" outlineLevel="0" collapsed="false">
      <c r="A2402" s="9" t="s">
        <v>1298</v>
      </c>
      <c r="B2402" s="9" t="s">
        <v>1301</v>
      </c>
      <c r="C2402" s="9" t="n">
        <v>1</v>
      </c>
      <c r="D2402" s="10" t="n">
        <v>5.91</v>
      </c>
      <c r="E2402" s="10" t="n">
        <f aca="false">C2402*D2402</f>
        <v>5.91</v>
      </c>
    </row>
    <row r="2403" customFormat="false" ht="15" hidden="false" customHeight="false" outlineLevel="0" collapsed="false">
      <c r="A2403" s="9" t="s">
        <v>1298</v>
      </c>
      <c r="B2403" s="9" t="s">
        <v>689</v>
      </c>
      <c r="C2403" s="9" t="n">
        <v>1</v>
      </c>
      <c r="D2403" s="10" t="n">
        <v>3.36</v>
      </c>
      <c r="E2403" s="10" t="n">
        <f aca="false">C2403*D2403</f>
        <v>3.36</v>
      </c>
    </row>
    <row r="2404" customFormat="false" ht="15" hidden="false" customHeight="false" outlineLevel="0" collapsed="false">
      <c r="A2404" s="9" t="s">
        <v>1298</v>
      </c>
      <c r="B2404" s="9" t="s">
        <v>255</v>
      </c>
      <c r="C2404" s="9" t="n">
        <v>7</v>
      </c>
      <c r="D2404" s="10" t="n">
        <v>4.21</v>
      </c>
      <c r="E2404" s="10" t="n">
        <f aca="false">C2404*D2404</f>
        <v>29.47</v>
      </c>
    </row>
    <row r="2405" customFormat="false" ht="15" hidden="false" customHeight="false" outlineLevel="0" collapsed="false">
      <c r="A2405" s="9" t="s">
        <v>1298</v>
      </c>
      <c r="B2405" s="9" t="s">
        <v>1302</v>
      </c>
      <c r="C2405" s="9" t="n">
        <v>1</v>
      </c>
      <c r="D2405" s="10" t="n">
        <v>4.21</v>
      </c>
      <c r="E2405" s="10" t="n">
        <f aca="false">C2405*D2405</f>
        <v>4.21</v>
      </c>
    </row>
    <row r="2406" customFormat="false" ht="15" hidden="false" customHeight="false" outlineLevel="0" collapsed="false">
      <c r="A2406" s="9" t="s">
        <v>1298</v>
      </c>
      <c r="B2406" s="9" t="s">
        <v>1303</v>
      </c>
      <c r="C2406" s="9" t="n">
        <v>1</v>
      </c>
      <c r="D2406" s="10" t="n">
        <v>20.38</v>
      </c>
      <c r="E2406" s="10" t="n">
        <f aca="false">C2406*D2406</f>
        <v>20.38</v>
      </c>
    </row>
    <row r="2407" customFormat="false" ht="15" hidden="false" customHeight="false" outlineLevel="0" collapsed="false">
      <c r="A2407" s="9" t="s">
        <v>1298</v>
      </c>
      <c r="B2407" s="9" t="s">
        <v>637</v>
      </c>
      <c r="C2407" s="9" t="n">
        <v>5</v>
      </c>
      <c r="D2407" s="10" t="n">
        <v>5.91</v>
      </c>
      <c r="E2407" s="10" t="n">
        <f aca="false">C2407*D2407</f>
        <v>29.55</v>
      </c>
    </row>
    <row r="2408" customFormat="false" ht="15" hidden="false" customHeight="false" outlineLevel="0" collapsed="false">
      <c r="A2408" s="9" t="s">
        <v>1298</v>
      </c>
      <c r="B2408" s="9" t="s">
        <v>1304</v>
      </c>
      <c r="C2408" s="9" t="n">
        <v>1</v>
      </c>
      <c r="D2408" s="10" t="n">
        <v>2.98</v>
      </c>
      <c r="E2408" s="10" t="n">
        <f aca="false">C2408*D2408</f>
        <v>2.98</v>
      </c>
    </row>
    <row r="2409" customFormat="false" ht="15" hidden="false" customHeight="false" outlineLevel="0" collapsed="false">
      <c r="A2409" s="9" t="s">
        <v>1298</v>
      </c>
      <c r="B2409" s="9" t="s">
        <v>1305</v>
      </c>
      <c r="C2409" s="9" t="n">
        <v>2</v>
      </c>
      <c r="D2409" s="10" t="n">
        <v>4.21</v>
      </c>
      <c r="E2409" s="10" t="n">
        <f aca="false">C2409*D2409</f>
        <v>8.42</v>
      </c>
    </row>
    <row r="2410" customFormat="false" ht="15" hidden="false" customHeight="false" outlineLevel="0" collapsed="false">
      <c r="A2410" s="9" t="s">
        <v>1298</v>
      </c>
      <c r="B2410" s="9" t="s">
        <v>72</v>
      </c>
      <c r="C2410" s="9" t="n">
        <v>1</v>
      </c>
      <c r="D2410" s="10" t="n">
        <v>5.91</v>
      </c>
      <c r="E2410" s="10" t="n">
        <f aca="false">C2410*D2410</f>
        <v>5.91</v>
      </c>
    </row>
    <row r="2411" customFormat="false" ht="15" hidden="false" customHeight="false" outlineLevel="0" collapsed="false">
      <c r="A2411" s="9" t="s">
        <v>1298</v>
      </c>
      <c r="B2411" s="9" t="s">
        <v>258</v>
      </c>
      <c r="C2411" s="9" t="n">
        <v>2</v>
      </c>
      <c r="D2411" s="10" t="n">
        <v>4.21</v>
      </c>
      <c r="E2411" s="10" t="n">
        <f aca="false">C2411*D2411</f>
        <v>8.42</v>
      </c>
    </row>
    <row r="2412" customFormat="false" ht="15" hidden="false" customHeight="false" outlineLevel="0" collapsed="false">
      <c r="A2412" s="9" t="s">
        <v>1298</v>
      </c>
      <c r="B2412" s="9" t="s">
        <v>469</v>
      </c>
      <c r="C2412" s="9" t="n">
        <v>2</v>
      </c>
      <c r="D2412" s="10" t="n">
        <v>1.28</v>
      </c>
      <c r="E2412" s="10" t="n">
        <f aca="false">C2412*D2412</f>
        <v>2.56</v>
      </c>
    </row>
    <row r="2413" customFormat="false" ht="15" hidden="false" customHeight="false" outlineLevel="0" collapsed="false">
      <c r="A2413" s="9" t="s">
        <v>1298</v>
      </c>
      <c r="B2413" s="9" t="s">
        <v>1306</v>
      </c>
      <c r="C2413" s="9" t="n">
        <v>3</v>
      </c>
      <c r="D2413" s="10" t="n">
        <v>1.66</v>
      </c>
      <c r="E2413" s="10" t="n">
        <f aca="false">C2413*D2413</f>
        <v>4.98</v>
      </c>
    </row>
    <row r="2414" customFormat="false" ht="15" hidden="false" customHeight="false" outlineLevel="0" collapsed="false">
      <c r="A2414" s="9" t="s">
        <v>1298</v>
      </c>
      <c r="B2414" s="9" t="s">
        <v>128</v>
      </c>
      <c r="C2414" s="9" t="n">
        <v>1</v>
      </c>
      <c r="D2414" s="10" t="n">
        <v>3.36</v>
      </c>
      <c r="E2414" s="10" t="n">
        <f aca="false">C2414*D2414</f>
        <v>3.36</v>
      </c>
    </row>
    <row r="2415" customFormat="false" ht="15" hidden="false" customHeight="false" outlineLevel="0" collapsed="false">
      <c r="A2415" s="9" t="s">
        <v>1298</v>
      </c>
      <c r="B2415" s="9" t="s">
        <v>1307</v>
      </c>
      <c r="C2415" s="9" t="n">
        <v>4</v>
      </c>
      <c r="D2415" s="10" t="n">
        <v>3.36</v>
      </c>
      <c r="E2415" s="10" t="n">
        <f aca="false">C2415*D2415</f>
        <v>13.44</v>
      </c>
    </row>
    <row r="2416" customFormat="false" ht="15" hidden="false" customHeight="false" outlineLevel="0" collapsed="false">
      <c r="A2416" s="9" t="s">
        <v>1298</v>
      </c>
      <c r="B2416" s="9" t="s">
        <v>337</v>
      </c>
      <c r="C2416" s="9" t="n">
        <v>3</v>
      </c>
      <c r="D2416" s="10" t="n">
        <v>9.32</v>
      </c>
      <c r="E2416" s="10" t="n">
        <f aca="false">C2416*D2416</f>
        <v>27.96</v>
      </c>
    </row>
    <row r="2417" customFormat="false" ht="15" hidden="false" customHeight="false" outlineLevel="0" collapsed="false">
      <c r="A2417" s="9" t="s">
        <v>1298</v>
      </c>
      <c r="B2417" s="9" t="s">
        <v>97</v>
      </c>
      <c r="C2417" s="9" t="n">
        <v>1</v>
      </c>
      <c r="D2417" s="10" t="n">
        <v>16.13</v>
      </c>
      <c r="E2417" s="10" t="n">
        <f aca="false">C2417*D2417</f>
        <v>16.13</v>
      </c>
    </row>
    <row r="2418" customFormat="false" ht="15" hidden="false" customHeight="false" outlineLevel="0" collapsed="false">
      <c r="A2418" s="9" t="s">
        <v>1298</v>
      </c>
      <c r="B2418" s="9" t="s">
        <v>147</v>
      </c>
      <c r="C2418" s="9" t="n">
        <v>1</v>
      </c>
      <c r="D2418" s="10" t="n">
        <v>5.91</v>
      </c>
      <c r="E2418" s="10" t="n">
        <f aca="false">C2418*D2418</f>
        <v>5.91</v>
      </c>
    </row>
    <row r="2419" customFormat="false" ht="15" hidden="false" customHeight="false" outlineLevel="0" collapsed="false">
      <c r="A2419" s="9" t="s">
        <v>1298</v>
      </c>
      <c r="B2419" s="9" t="s">
        <v>1206</v>
      </c>
      <c r="C2419" s="9" t="n">
        <v>1</v>
      </c>
      <c r="D2419" s="10" t="n">
        <v>3.36</v>
      </c>
      <c r="E2419" s="10" t="n">
        <f aca="false">C2419*D2419</f>
        <v>3.36</v>
      </c>
    </row>
    <row r="2420" customFormat="false" ht="15" hidden="false" customHeight="false" outlineLevel="0" collapsed="false">
      <c r="A2420" s="9" t="s">
        <v>1298</v>
      </c>
      <c r="B2420" s="9" t="s">
        <v>1308</v>
      </c>
      <c r="C2420" s="9" t="n">
        <v>1</v>
      </c>
      <c r="D2420" s="10" t="n">
        <v>5.91</v>
      </c>
      <c r="E2420" s="10" t="n">
        <f aca="false">C2420*D2420</f>
        <v>5.91</v>
      </c>
    </row>
    <row r="2421" customFormat="false" ht="15" hidden="false" customHeight="false" outlineLevel="0" collapsed="false">
      <c r="A2421" s="9" t="s">
        <v>1298</v>
      </c>
      <c r="B2421" s="9" t="s">
        <v>1309</v>
      </c>
      <c r="C2421" s="9" t="n">
        <v>1</v>
      </c>
      <c r="D2421" s="10" t="n">
        <v>1.66</v>
      </c>
      <c r="E2421" s="10" t="n">
        <f aca="false">C2421*D2421</f>
        <v>1.66</v>
      </c>
    </row>
    <row r="2422" customFormat="false" ht="15" hidden="false" customHeight="false" outlineLevel="0" collapsed="false">
      <c r="A2422" s="9" t="s">
        <v>1298</v>
      </c>
      <c r="B2422" s="9" t="s">
        <v>1310</v>
      </c>
      <c r="C2422" s="9" t="n">
        <v>1</v>
      </c>
      <c r="D2422" s="10" t="n">
        <v>3.36</v>
      </c>
      <c r="E2422" s="10" t="n">
        <f aca="false">C2422*D2422</f>
        <v>3.36</v>
      </c>
    </row>
    <row r="2423" customFormat="false" ht="15" hidden="false" customHeight="false" outlineLevel="0" collapsed="false">
      <c r="A2423" s="9" t="s">
        <v>1298</v>
      </c>
      <c r="B2423" s="9" t="s">
        <v>1311</v>
      </c>
      <c r="C2423" s="9" t="n">
        <v>1</v>
      </c>
      <c r="D2423" s="10" t="n">
        <v>4.21</v>
      </c>
      <c r="E2423" s="10" t="n">
        <f aca="false">C2423*D2423</f>
        <v>4.21</v>
      </c>
    </row>
    <row r="2424" customFormat="false" ht="15" hidden="false" customHeight="false" outlineLevel="0" collapsed="false">
      <c r="A2424" s="9" t="s">
        <v>1298</v>
      </c>
      <c r="B2424" s="9" t="s">
        <v>628</v>
      </c>
      <c r="C2424" s="9" t="n">
        <v>1</v>
      </c>
      <c r="D2424" s="10" t="n">
        <v>5.91</v>
      </c>
      <c r="E2424" s="10" t="n">
        <f aca="false">C2424*D2424</f>
        <v>5.91</v>
      </c>
    </row>
    <row r="2425" customFormat="false" ht="15" hidden="false" customHeight="false" outlineLevel="0" collapsed="false">
      <c r="A2425" s="9" t="s">
        <v>1298</v>
      </c>
      <c r="B2425" s="9" t="s">
        <v>1312</v>
      </c>
      <c r="C2425" s="9" t="n">
        <v>1</v>
      </c>
      <c r="D2425" s="10" t="n">
        <v>8.47</v>
      </c>
      <c r="E2425" s="10" t="n">
        <f aca="false">C2425*D2425</f>
        <v>8.47</v>
      </c>
    </row>
    <row r="2426" customFormat="false" ht="15" hidden="false" customHeight="false" outlineLevel="0" collapsed="false">
      <c r="A2426" s="9" t="s">
        <v>1298</v>
      </c>
      <c r="B2426" s="9" t="s">
        <v>1313</v>
      </c>
      <c r="C2426" s="9" t="n">
        <v>1</v>
      </c>
      <c r="D2426" s="10" t="n">
        <v>12.72</v>
      </c>
      <c r="E2426" s="10" t="n">
        <f aca="false">C2426*D2426</f>
        <v>12.72</v>
      </c>
    </row>
    <row r="2427" customFormat="false" ht="15" hidden="false" customHeight="false" outlineLevel="0" collapsed="false">
      <c r="A2427" s="9" t="s">
        <v>1298</v>
      </c>
      <c r="B2427" s="9" t="s">
        <v>1314</v>
      </c>
      <c r="C2427" s="9" t="n">
        <v>1</v>
      </c>
      <c r="D2427" s="10" t="n">
        <v>11.02</v>
      </c>
      <c r="E2427" s="10" t="n">
        <f aca="false">C2427*D2427</f>
        <v>11.02</v>
      </c>
    </row>
    <row r="2428" customFormat="false" ht="15" hidden="false" customHeight="false" outlineLevel="0" collapsed="false">
      <c r="A2428" s="9" t="s">
        <v>1298</v>
      </c>
      <c r="B2428" s="9" t="s">
        <v>1315</v>
      </c>
      <c r="C2428" s="9" t="n">
        <v>1</v>
      </c>
      <c r="D2428" s="10" t="n">
        <v>11.02</v>
      </c>
      <c r="E2428" s="10" t="n">
        <f aca="false">C2428*D2428</f>
        <v>11.02</v>
      </c>
    </row>
    <row r="2429" customFormat="false" ht="15" hidden="false" customHeight="false" outlineLevel="0" collapsed="false">
      <c r="A2429" s="9" t="s">
        <v>1298</v>
      </c>
      <c r="B2429" s="9" t="s">
        <v>1316</v>
      </c>
      <c r="C2429" s="9" t="n">
        <v>1</v>
      </c>
      <c r="D2429" s="10" t="n">
        <v>11.02</v>
      </c>
      <c r="E2429" s="10" t="n">
        <f aca="false">C2429*D2429</f>
        <v>11.02</v>
      </c>
    </row>
    <row r="2430" customFormat="false" ht="15" hidden="false" customHeight="false" outlineLevel="0" collapsed="false">
      <c r="A2430" s="9" t="s">
        <v>1298</v>
      </c>
      <c r="B2430" s="9" t="s">
        <v>951</v>
      </c>
      <c r="C2430" s="9" t="n">
        <v>4</v>
      </c>
      <c r="D2430" s="10" t="n">
        <v>1.66</v>
      </c>
      <c r="E2430" s="10" t="n">
        <f aca="false">C2430*D2430</f>
        <v>6.64</v>
      </c>
    </row>
    <row r="2431" customFormat="false" ht="15" hidden="false" customHeight="false" outlineLevel="0" collapsed="false">
      <c r="A2431" s="9" t="s">
        <v>1298</v>
      </c>
      <c r="B2431" s="9" t="s">
        <v>952</v>
      </c>
      <c r="C2431" s="9" t="n">
        <v>5</v>
      </c>
      <c r="D2431" s="10" t="n">
        <v>1.66</v>
      </c>
      <c r="E2431" s="10" t="n">
        <f aca="false">C2431*D2431</f>
        <v>8.3</v>
      </c>
    </row>
    <row r="2432" customFormat="false" ht="15" hidden="false" customHeight="false" outlineLevel="0" collapsed="false">
      <c r="A2432" s="9" t="s">
        <v>1298</v>
      </c>
      <c r="B2432" s="9" t="s">
        <v>1317</v>
      </c>
      <c r="C2432" s="9" t="n">
        <v>1</v>
      </c>
      <c r="D2432" s="10" t="n">
        <v>1.66</v>
      </c>
      <c r="E2432" s="10" t="n">
        <f aca="false">C2432*D2432</f>
        <v>1.66</v>
      </c>
    </row>
    <row r="2433" customFormat="false" ht="15" hidden="false" customHeight="false" outlineLevel="0" collapsed="false">
      <c r="A2433" s="9" t="s">
        <v>1298</v>
      </c>
      <c r="B2433" s="9" t="s">
        <v>234</v>
      </c>
      <c r="C2433" s="9" t="n">
        <v>3</v>
      </c>
      <c r="D2433" s="10" t="n">
        <v>20.38</v>
      </c>
      <c r="E2433" s="10" t="n">
        <f aca="false">C2433*D2433</f>
        <v>61.14</v>
      </c>
    </row>
    <row r="2434" customFormat="false" ht="15" hidden="false" customHeight="false" outlineLevel="0" collapsed="false">
      <c r="A2434" s="9" t="s">
        <v>1298</v>
      </c>
      <c r="B2434" s="9" t="s">
        <v>200</v>
      </c>
      <c r="C2434" s="9" t="n">
        <v>9</v>
      </c>
      <c r="D2434" s="10" t="n">
        <v>3.36</v>
      </c>
      <c r="E2434" s="10" t="n">
        <f aca="false">C2434*D2434</f>
        <v>30.24</v>
      </c>
    </row>
    <row r="2435" customFormat="false" ht="15" hidden="false" customHeight="false" outlineLevel="0" collapsed="false">
      <c r="A2435" s="9" t="s">
        <v>1298</v>
      </c>
      <c r="B2435" s="9" t="s">
        <v>421</v>
      </c>
      <c r="C2435" s="9" t="n">
        <v>1</v>
      </c>
      <c r="D2435" s="10" t="n">
        <v>3.36</v>
      </c>
      <c r="E2435" s="10" t="n">
        <f aca="false">C2435*D2435</f>
        <v>3.36</v>
      </c>
    </row>
    <row r="2436" customFormat="false" ht="15" hidden="false" customHeight="false" outlineLevel="0" collapsed="false">
      <c r="A2436" s="9" t="s">
        <v>1298</v>
      </c>
      <c r="B2436" s="9" t="s">
        <v>740</v>
      </c>
      <c r="C2436" s="9" t="n">
        <v>1</v>
      </c>
      <c r="D2436" s="10" t="n">
        <v>3.36</v>
      </c>
      <c r="E2436" s="10" t="n">
        <f aca="false">C2436*D2436</f>
        <v>3.36</v>
      </c>
    </row>
    <row r="2437" customFormat="false" ht="15" hidden="false" customHeight="false" outlineLevel="0" collapsed="false">
      <c r="A2437" s="9" t="s">
        <v>1298</v>
      </c>
      <c r="B2437" s="9" t="s">
        <v>746</v>
      </c>
      <c r="C2437" s="9" t="n">
        <v>1</v>
      </c>
      <c r="D2437" s="10" t="n">
        <v>3.36</v>
      </c>
      <c r="E2437" s="10" t="n">
        <f aca="false">C2437*D2437</f>
        <v>3.36</v>
      </c>
    </row>
    <row r="2438" customFormat="false" ht="15" hidden="false" customHeight="false" outlineLevel="0" collapsed="false">
      <c r="A2438" s="9" t="s">
        <v>1298</v>
      </c>
      <c r="B2438" s="9" t="s">
        <v>415</v>
      </c>
      <c r="C2438" s="9" t="n">
        <v>2</v>
      </c>
      <c r="D2438" s="10" t="n">
        <v>2.51</v>
      </c>
      <c r="E2438" s="10" t="n">
        <f aca="false">C2438*D2438</f>
        <v>5.02</v>
      </c>
    </row>
    <row r="2439" customFormat="false" ht="15" hidden="false" customHeight="false" outlineLevel="0" collapsed="false">
      <c r="A2439" s="9" t="s">
        <v>1298</v>
      </c>
      <c r="B2439" s="9" t="s">
        <v>959</v>
      </c>
      <c r="C2439" s="9" t="n">
        <v>2</v>
      </c>
      <c r="D2439" s="10" t="n">
        <v>2.51</v>
      </c>
      <c r="E2439" s="10" t="n">
        <f aca="false">C2439*D2439</f>
        <v>5.02</v>
      </c>
    </row>
    <row r="2440" customFormat="false" ht="15" hidden="false" customHeight="false" outlineLevel="0" collapsed="false">
      <c r="A2440" s="9" t="s">
        <v>1298</v>
      </c>
      <c r="B2440" s="9" t="s">
        <v>1318</v>
      </c>
      <c r="C2440" s="9" t="n">
        <v>1</v>
      </c>
      <c r="D2440" s="10" t="n">
        <v>2.51</v>
      </c>
      <c r="E2440" s="10" t="n">
        <f aca="false">C2440*D2440</f>
        <v>2.51</v>
      </c>
    </row>
    <row r="2441" customFormat="false" ht="15" hidden="false" customHeight="false" outlineLevel="0" collapsed="false">
      <c r="A2441" s="9" t="s">
        <v>1298</v>
      </c>
      <c r="B2441" s="9" t="s">
        <v>447</v>
      </c>
      <c r="C2441" s="9" t="n">
        <v>7</v>
      </c>
      <c r="D2441" s="10" t="n">
        <v>2.51</v>
      </c>
      <c r="E2441" s="10" t="n">
        <f aca="false">C2441*D2441</f>
        <v>17.57</v>
      </c>
    </row>
    <row r="2442" customFormat="false" ht="15" hidden="false" customHeight="false" outlineLevel="0" collapsed="false">
      <c r="A2442" s="9" t="s">
        <v>1298</v>
      </c>
      <c r="B2442" s="9" t="s">
        <v>958</v>
      </c>
      <c r="C2442" s="9" t="n">
        <v>1</v>
      </c>
      <c r="D2442" s="10" t="n">
        <v>0.84</v>
      </c>
      <c r="E2442" s="10" t="n">
        <f aca="false">C2442*D2442</f>
        <v>0.84</v>
      </c>
    </row>
    <row r="2443" customFormat="false" ht="15" hidden="false" customHeight="false" outlineLevel="0" collapsed="false">
      <c r="A2443" s="9" t="s">
        <v>1298</v>
      </c>
      <c r="B2443" s="9" t="s">
        <v>956</v>
      </c>
      <c r="C2443" s="9" t="n">
        <v>1</v>
      </c>
      <c r="D2443" s="10" t="n">
        <v>2.51</v>
      </c>
      <c r="E2443" s="10" t="n">
        <f aca="false">C2443*D2443</f>
        <v>2.51</v>
      </c>
    </row>
    <row r="2444" customFormat="false" ht="15" hidden="false" customHeight="false" outlineLevel="0" collapsed="false">
      <c r="A2444" s="9" t="s">
        <v>1298</v>
      </c>
      <c r="B2444" s="9" t="s">
        <v>1241</v>
      </c>
      <c r="C2444" s="9" t="n">
        <v>1</v>
      </c>
      <c r="D2444" s="10" t="n">
        <v>6.77</v>
      </c>
      <c r="E2444" s="10" t="n">
        <f aca="false">C2444*D2444</f>
        <v>6.77</v>
      </c>
    </row>
    <row r="2445" customFormat="false" ht="15" hidden="false" customHeight="false" outlineLevel="0" collapsed="false">
      <c r="A2445" s="9" t="s">
        <v>1298</v>
      </c>
      <c r="B2445" s="9" t="s">
        <v>1056</v>
      </c>
      <c r="C2445" s="9" t="n">
        <v>1</v>
      </c>
      <c r="D2445" s="10" t="n">
        <v>5.91</v>
      </c>
      <c r="E2445" s="10" t="n">
        <f aca="false">C2445*D2445</f>
        <v>5.91</v>
      </c>
    </row>
    <row r="2446" customFormat="false" ht="15" hidden="false" customHeight="false" outlineLevel="0" collapsed="false">
      <c r="A2446" s="9" t="s">
        <v>1298</v>
      </c>
      <c r="B2446" s="9" t="s">
        <v>1319</v>
      </c>
      <c r="C2446" s="9" t="n">
        <v>1</v>
      </c>
      <c r="D2446" s="10" t="n">
        <v>19.53</v>
      </c>
      <c r="E2446" s="10" t="n">
        <f aca="false">C2446*D2446</f>
        <v>19.53</v>
      </c>
    </row>
    <row r="2447" customFormat="false" ht="15" hidden="false" customHeight="false" outlineLevel="0" collapsed="false">
      <c r="A2447" s="9" t="s">
        <v>1298</v>
      </c>
      <c r="B2447" s="9" t="s">
        <v>1320</v>
      </c>
      <c r="C2447" s="9" t="n">
        <v>1</v>
      </c>
      <c r="D2447" s="10" t="n">
        <v>1.66</v>
      </c>
      <c r="E2447" s="10" t="n">
        <f aca="false">C2447*D2447</f>
        <v>1.66</v>
      </c>
    </row>
    <row r="2448" customFormat="false" ht="15" hidden="false" customHeight="false" outlineLevel="0" collapsed="false">
      <c r="A2448" s="9" t="s">
        <v>1298</v>
      </c>
      <c r="B2448" s="9" t="s">
        <v>487</v>
      </c>
      <c r="C2448" s="9" t="n">
        <v>7</v>
      </c>
      <c r="D2448" s="10" t="n">
        <v>1.28</v>
      </c>
      <c r="E2448" s="10" t="n">
        <f aca="false">C2448*D2448</f>
        <v>8.96</v>
      </c>
    </row>
    <row r="2449" customFormat="false" ht="15" hidden="false" customHeight="false" outlineLevel="0" collapsed="false">
      <c r="A2449" s="9" t="s">
        <v>1298</v>
      </c>
      <c r="B2449" s="9" t="s">
        <v>271</v>
      </c>
      <c r="C2449" s="9" t="n">
        <v>5</v>
      </c>
      <c r="D2449" s="10" t="n">
        <v>9.32</v>
      </c>
      <c r="E2449" s="10" t="n">
        <f aca="false">C2449*D2449</f>
        <v>46.6</v>
      </c>
    </row>
    <row r="2450" customFormat="false" ht="15" hidden="false" customHeight="false" outlineLevel="0" collapsed="false">
      <c r="A2450" s="9" t="s">
        <v>1298</v>
      </c>
      <c r="B2450" s="9" t="s">
        <v>55</v>
      </c>
      <c r="C2450" s="9" t="n">
        <v>2</v>
      </c>
      <c r="D2450" s="10" t="n">
        <v>7.62</v>
      </c>
      <c r="E2450" s="10" t="n">
        <f aca="false">C2450*D2450</f>
        <v>15.24</v>
      </c>
    </row>
    <row r="2451" customFormat="false" ht="15" hidden="false" customHeight="false" outlineLevel="0" collapsed="false">
      <c r="A2451" s="9" t="s">
        <v>1298</v>
      </c>
      <c r="B2451" s="9" t="s">
        <v>1321</v>
      </c>
      <c r="C2451" s="9" t="n">
        <v>1</v>
      </c>
      <c r="D2451" s="10" t="n">
        <v>5.91</v>
      </c>
      <c r="E2451" s="10" t="n">
        <f aca="false">C2451*D2451</f>
        <v>5.91</v>
      </c>
    </row>
    <row r="2452" customFormat="false" ht="15" hidden="false" customHeight="false" outlineLevel="0" collapsed="false">
      <c r="A2452" s="9" t="s">
        <v>1298</v>
      </c>
      <c r="B2452" s="9" t="s">
        <v>529</v>
      </c>
      <c r="C2452" s="9" t="n">
        <v>1</v>
      </c>
      <c r="D2452" s="10" t="n">
        <v>3.36</v>
      </c>
      <c r="E2452" s="10" t="n">
        <f aca="false">C2452*D2452</f>
        <v>3.36</v>
      </c>
    </row>
    <row r="2453" customFormat="false" ht="15" hidden="false" customHeight="false" outlineLevel="0" collapsed="false">
      <c r="A2453" s="9" t="s">
        <v>1298</v>
      </c>
      <c r="B2453" s="9" t="s">
        <v>1322</v>
      </c>
      <c r="C2453" s="9" t="n">
        <v>2</v>
      </c>
      <c r="D2453" s="10" t="n">
        <v>11.02</v>
      </c>
      <c r="E2453" s="10" t="n">
        <f aca="false">C2453*D2453</f>
        <v>22.04</v>
      </c>
    </row>
    <row r="2454" customFormat="false" ht="15" hidden="false" customHeight="false" outlineLevel="0" collapsed="false">
      <c r="A2454" s="9" t="s">
        <v>1298</v>
      </c>
      <c r="B2454" s="9" t="s">
        <v>632</v>
      </c>
      <c r="C2454" s="9" t="n">
        <v>1</v>
      </c>
      <c r="D2454" s="10" t="n">
        <v>1.66</v>
      </c>
      <c r="E2454" s="10" t="n">
        <f aca="false">C2454*D2454</f>
        <v>1.66</v>
      </c>
    </row>
    <row r="2455" customFormat="false" ht="15" hidden="false" customHeight="false" outlineLevel="0" collapsed="false">
      <c r="A2455" s="9" t="s">
        <v>1298</v>
      </c>
      <c r="B2455" s="9" t="s">
        <v>68</v>
      </c>
      <c r="C2455" s="9" t="n">
        <v>1</v>
      </c>
      <c r="D2455" s="10" t="n">
        <v>4.21</v>
      </c>
      <c r="E2455" s="10" t="n">
        <f aca="false">C2455*D2455</f>
        <v>4.21</v>
      </c>
    </row>
    <row r="2456" customFormat="false" ht="15" hidden="false" customHeight="false" outlineLevel="0" collapsed="false">
      <c r="A2456" s="9" t="s">
        <v>1298</v>
      </c>
      <c r="B2456" s="9" t="s">
        <v>189</v>
      </c>
      <c r="C2456" s="9" t="n">
        <v>3</v>
      </c>
      <c r="D2456" s="10" t="n">
        <v>4.21</v>
      </c>
      <c r="E2456" s="10" t="n">
        <f aca="false">C2456*D2456</f>
        <v>12.63</v>
      </c>
    </row>
    <row r="2457" customFormat="false" ht="15" hidden="false" customHeight="false" outlineLevel="0" collapsed="false">
      <c r="A2457" s="9" t="s">
        <v>1298</v>
      </c>
      <c r="B2457" s="9" t="s">
        <v>418</v>
      </c>
      <c r="C2457" s="9" t="n">
        <v>3</v>
      </c>
      <c r="D2457" s="10" t="n">
        <v>4.21</v>
      </c>
      <c r="E2457" s="10" t="n">
        <f aca="false">C2457*D2457</f>
        <v>12.63</v>
      </c>
    </row>
    <row r="2458" customFormat="false" ht="15" hidden="false" customHeight="false" outlineLevel="0" collapsed="false">
      <c r="A2458" s="9" t="s">
        <v>1298</v>
      </c>
      <c r="B2458" s="9" t="s">
        <v>155</v>
      </c>
      <c r="C2458" s="9" t="n">
        <v>1</v>
      </c>
      <c r="D2458" s="10" t="n">
        <v>5.06</v>
      </c>
      <c r="E2458" s="10" t="n">
        <f aca="false">C2458*D2458</f>
        <v>5.06</v>
      </c>
    </row>
    <row r="2459" customFormat="false" ht="15" hidden="false" customHeight="false" outlineLevel="0" collapsed="false">
      <c r="A2459" s="9" t="s">
        <v>1298</v>
      </c>
      <c r="B2459" s="9" t="s">
        <v>801</v>
      </c>
      <c r="C2459" s="9" t="n">
        <v>1</v>
      </c>
      <c r="D2459" s="10" t="n">
        <v>5.91</v>
      </c>
      <c r="E2459" s="10" t="n">
        <f aca="false">C2459*D2459</f>
        <v>5.91</v>
      </c>
    </row>
    <row r="2460" customFormat="false" ht="15" hidden="false" customHeight="false" outlineLevel="0" collapsed="false">
      <c r="A2460" s="9" t="s">
        <v>1298</v>
      </c>
      <c r="B2460" s="9" t="s">
        <v>1323</v>
      </c>
      <c r="C2460" s="9" t="n">
        <v>1</v>
      </c>
      <c r="D2460" s="10" t="n">
        <v>5.91</v>
      </c>
      <c r="E2460" s="10" t="n">
        <f aca="false">C2460*D2460</f>
        <v>5.91</v>
      </c>
    </row>
    <row r="2461" customFormat="false" ht="15" hidden="false" customHeight="false" outlineLevel="0" collapsed="false">
      <c r="A2461" s="9" t="s">
        <v>1298</v>
      </c>
      <c r="B2461" s="9" t="s">
        <v>1138</v>
      </c>
      <c r="C2461" s="9" t="n">
        <v>3</v>
      </c>
      <c r="D2461" s="10" t="n">
        <v>5.91</v>
      </c>
      <c r="E2461" s="10" t="n">
        <f aca="false">C2461*D2461</f>
        <v>17.73</v>
      </c>
    </row>
    <row r="2462" customFormat="false" ht="15" hidden="false" customHeight="false" outlineLevel="0" collapsed="false">
      <c r="A2462" s="9" t="s">
        <v>1298</v>
      </c>
      <c r="B2462" s="9" t="s">
        <v>1324</v>
      </c>
      <c r="C2462" s="9" t="n">
        <v>1</v>
      </c>
      <c r="D2462" s="10" t="n">
        <v>2.51</v>
      </c>
      <c r="E2462" s="10" t="n">
        <f aca="false">C2462*D2462</f>
        <v>2.51</v>
      </c>
    </row>
    <row r="2463" customFormat="false" ht="15" hidden="false" customHeight="false" outlineLevel="0" collapsed="false">
      <c r="A2463" s="9" t="s">
        <v>1298</v>
      </c>
      <c r="B2463" s="9" t="s">
        <v>1176</v>
      </c>
      <c r="C2463" s="9" t="n">
        <v>1</v>
      </c>
      <c r="D2463" s="10" t="n">
        <v>2.51</v>
      </c>
      <c r="E2463" s="10" t="n">
        <f aca="false">C2463*D2463</f>
        <v>2.51</v>
      </c>
    </row>
    <row r="2464" customFormat="false" ht="15" hidden="false" customHeight="false" outlineLevel="0" collapsed="false">
      <c r="A2464" s="9" t="s">
        <v>1298</v>
      </c>
      <c r="B2464" s="9" t="s">
        <v>1325</v>
      </c>
      <c r="C2464" s="9" t="n">
        <v>1</v>
      </c>
      <c r="D2464" s="10" t="n">
        <v>7.95</v>
      </c>
      <c r="E2464" s="10" t="n">
        <f aca="false">C2464*D2464</f>
        <v>7.95</v>
      </c>
    </row>
    <row r="2465" customFormat="false" ht="15" hidden="false" customHeight="false" outlineLevel="0" collapsed="false">
      <c r="A2465" s="9" t="s">
        <v>1298</v>
      </c>
      <c r="B2465" s="9" t="s">
        <v>507</v>
      </c>
      <c r="C2465" s="9" t="n">
        <v>1</v>
      </c>
      <c r="D2465" s="10" t="n">
        <v>4.21</v>
      </c>
      <c r="E2465" s="10" t="n">
        <f aca="false">C2465*D2465</f>
        <v>4.21</v>
      </c>
    </row>
    <row r="2466" customFormat="false" ht="15" hidden="false" customHeight="false" outlineLevel="0" collapsed="false">
      <c r="A2466" s="9" t="s">
        <v>1298</v>
      </c>
      <c r="B2466" s="9" t="s">
        <v>802</v>
      </c>
      <c r="C2466" s="9" t="n">
        <v>1</v>
      </c>
      <c r="D2466" s="10" t="n">
        <v>5.91</v>
      </c>
      <c r="E2466" s="10" t="n">
        <f aca="false">C2466*D2466</f>
        <v>5.91</v>
      </c>
    </row>
    <row r="2467" customFormat="false" ht="15" hidden="false" customHeight="false" outlineLevel="0" collapsed="false">
      <c r="A2467" s="9" t="s">
        <v>1298</v>
      </c>
      <c r="B2467" s="9" t="s">
        <v>46</v>
      </c>
      <c r="C2467" s="9" t="n">
        <v>1</v>
      </c>
      <c r="D2467" s="10" t="n">
        <v>4.21</v>
      </c>
      <c r="E2467" s="10" t="n">
        <f aca="false">C2467*D2467</f>
        <v>4.21</v>
      </c>
    </row>
    <row r="2468" customFormat="false" ht="15" hidden="false" customHeight="false" outlineLevel="0" collapsed="false">
      <c r="A2468" s="9" t="s">
        <v>1298</v>
      </c>
      <c r="B2468" s="9" t="s">
        <v>75</v>
      </c>
      <c r="C2468" s="9" t="n">
        <v>1</v>
      </c>
      <c r="D2468" s="10" t="n">
        <v>4.21</v>
      </c>
      <c r="E2468" s="10" t="n">
        <f aca="false">C2468*D2468</f>
        <v>4.21</v>
      </c>
    </row>
    <row r="2469" customFormat="false" ht="15" hidden="false" customHeight="false" outlineLevel="0" collapsed="false">
      <c r="A2469" s="9" t="s">
        <v>1298</v>
      </c>
      <c r="B2469" s="9" t="s">
        <v>733</v>
      </c>
      <c r="C2469" s="9" t="n">
        <v>1</v>
      </c>
      <c r="D2469" s="10" t="n">
        <v>16.98</v>
      </c>
      <c r="E2469" s="10" t="n">
        <f aca="false">C2469*D2469</f>
        <v>16.98</v>
      </c>
    </row>
    <row r="2470" customFormat="false" ht="15" hidden="false" customHeight="false" outlineLevel="0" collapsed="false">
      <c r="A2470" s="9" t="s">
        <v>1298</v>
      </c>
      <c r="B2470" s="9" t="s">
        <v>568</v>
      </c>
      <c r="C2470" s="9" t="n">
        <v>2</v>
      </c>
      <c r="D2470" s="10" t="n">
        <v>5.06</v>
      </c>
      <c r="E2470" s="10" t="n">
        <f aca="false">C2470*D2470</f>
        <v>10.12</v>
      </c>
    </row>
    <row r="2471" customFormat="false" ht="15" hidden="false" customHeight="false" outlineLevel="0" collapsed="false">
      <c r="A2471" s="9" t="s">
        <v>1298</v>
      </c>
      <c r="B2471" s="9" t="s">
        <v>655</v>
      </c>
      <c r="C2471" s="9" t="n">
        <v>1</v>
      </c>
      <c r="D2471" s="10" t="n">
        <v>5.06</v>
      </c>
      <c r="E2471" s="10" t="n">
        <f aca="false">C2471*D2471</f>
        <v>5.06</v>
      </c>
    </row>
    <row r="2472" customFormat="false" ht="15" hidden="false" customHeight="false" outlineLevel="0" collapsed="false">
      <c r="A2472" s="9" t="s">
        <v>1298</v>
      </c>
      <c r="B2472" s="9" t="s">
        <v>757</v>
      </c>
      <c r="C2472" s="9" t="n">
        <v>1</v>
      </c>
      <c r="D2472" s="10" t="n">
        <v>5.06</v>
      </c>
      <c r="E2472" s="10" t="n">
        <f aca="false">C2472*D2472</f>
        <v>5.06</v>
      </c>
    </row>
    <row r="2473" customFormat="false" ht="15" hidden="false" customHeight="false" outlineLevel="0" collapsed="false">
      <c r="A2473" s="9" t="s">
        <v>1298</v>
      </c>
      <c r="B2473" s="9" t="s">
        <v>1326</v>
      </c>
      <c r="C2473" s="9" t="n">
        <v>1</v>
      </c>
      <c r="D2473" s="10" t="n">
        <v>1.66</v>
      </c>
      <c r="E2473" s="10" t="n">
        <f aca="false">C2473*D2473</f>
        <v>1.66</v>
      </c>
    </row>
    <row r="2474" customFormat="false" ht="15" hidden="false" customHeight="false" outlineLevel="0" collapsed="false">
      <c r="A2474" s="9" t="s">
        <v>1298</v>
      </c>
      <c r="B2474" s="9" t="s">
        <v>471</v>
      </c>
      <c r="C2474" s="9" t="n">
        <v>2</v>
      </c>
      <c r="D2474" s="10" t="n">
        <v>1.66</v>
      </c>
      <c r="E2474" s="10" t="n">
        <f aca="false">C2474*D2474</f>
        <v>3.32</v>
      </c>
    </row>
    <row r="2475" customFormat="false" ht="15" hidden="false" customHeight="false" outlineLevel="0" collapsed="false">
      <c r="A2475" s="9" t="s">
        <v>1298</v>
      </c>
      <c r="B2475" s="9" t="s">
        <v>675</v>
      </c>
      <c r="C2475" s="9" t="n">
        <v>5</v>
      </c>
      <c r="D2475" s="10" t="n">
        <v>5.06</v>
      </c>
      <c r="E2475" s="10" t="n">
        <f aca="false">C2475*D2475</f>
        <v>25.3</v>
      </c>
    </row>
    <row r="2476" customFormat="false" ht="15" hidden="false" customHeight="false" outlineLevel="0" collapsed="false">
      <c r="A2476" s="9" t="s">
        <v>1298</v>
      </c>
      <c r="B2476" s="9" t="s">
        <v>1155</v>
      </c>
      <c r="C2476" s="9" t="n">
        <v>2</v>
      </c>
      <c r="D2476" s="10" t="n">
        <v>5.06</v>
      </c>
      <c r="E2476" s="10" t="n">
        <f aca="false">C2476*D2476</f>
        <v>10.12</v>
      </c>
    </row>
    <row r="2477" customFormat="false" ht="15" hidden="false" customHeight="false" outlineLevel="0" collapsed="false">
      <c r="A2477" s="9" t="s">
        <v>1298</v>
      </c>
      <c r="B2477" s="9" t="s">
        <v>851</v>
      </c>
      <c r="C2477" s="9" t="n">
        <v>2</v>
      </c>
      <c r="D2477" s="10" t="n">
        <v>1.66</v>
      </c>
      <c r="E2477" s="10" t="n">
        <f aca="false">C2477*D2477</f>
        <v>3.32</v>
      </c>
    </row>
    <row r="2478" customFormat="false" ht="15" hidden="false" customHeight="false" outlineLevel="0" collapsed="false">
      <c r="A2478" s="9" t="s">
        <v>1298</v>
      </c>
      <c r="B2478" s="9" t="s">
        <v>850</v>
      </c>
      <c r="C2478" s="9" t="n">
        <v>3</v>
      </c>
      <c r="D2478" s="10" t="n">
        <v>1.66</v>
      </c>
      <c r="E2478" s="10" t="n">
        <f aca="false">C2478*D2478</f>
        <v>4.98</v>
      </c>
    </row>
    <row r="2479" customFormat="false" ht="15" hidden="false" customHeight="false" outlineLevel="0" collapsed="false">
      <c r="A2479" s="9" t="s">
        <v>1298</v>
      </c>
      <c r="B2479" s="9" t="s">
        <v>1327</v>
      </c>
      <c r="C2479" s="9" t="n">
        <v>1</v>
      </c>
      <c r="D2479" s="10" t="n">
        <v>1.66</v>
      </c>
      <c r="E2479" s="10" t="n">
        <f aca="false">C2479*D2479</f>
        <v>1.66</v>
      </c>
    </row>
    <row r="2480" customFormat="false" ht="15" hidden="false" customHeight="false" outlineLevel="0" collapsed="false">
      <c r="A2480" s="9" t="s">
        <v>1298</v>
      </c>
      <c r="B2480" s="9" t="s">
        <v>590</v>
      </c>
      <c r="C2480" s="9" t="n">
        <v>1</v>
      </c>
      <c r="D2480" s="10" t="n">
        <v>1.66</v>
      </c>
      <c r="E2480" s="10" t="n">
        <f aca="false">C2480*D2480</f>
        <v>1.66</v>
      </c>
    </row>
    <row r="2481" customFormat="false" ht="15" hidden="false" customHeight="false" outlineLevel="0" collapsed="false">
      <c r="A2481" s="9" t="s">
        <v>1298</v>
      </c>
      <c r="B2481" s="9" t="s">
        <v>244</v>
      </c>
      <c r="C2481" s="9" t="n">
        <v>1</v>
      </c>
      <c r="D2481" s="10" t="n">
        <v>7.62</v>
      </c>
      <c r="E2481" s="10" t="n">
        <f aca="false">C2481*D2481</f>
        <v>7.62</v>
      </c>
    </row>
    <row r="2482" customFormat="false" ht="15" hidden="false" customHeight="false" outlineLevel="0" collapsed="false">
      <c r="A2482" s="9" t="s">
        <v>1298</v>
      </c>
      <c r="B2482" s="9" t="s">
        <v>377</v>
      </c>
      <c r="C2482" s="9" t="n">
        <v>2</v>
      </c>
      <c r="D2482" s="10" t="n">
        <v>2.51</v>
      </c>
      <c r="E2482" s="10" t="n">
        <f aca="false">C2482*D2482</f>
        <v>5.02</v>
      </c>
    </row>
    <row r="2483" customFormat="false" ht="15" hidden="false" customHeight="false" outlineLevel="0" collapsed="false">
      <c r="A2483" s="9" t="s">
        <v>1298</v>
      </c>
      <c r="B2483" s="9" t="s">
        <v>51</v>
      </c>
      <c r="C2483" s="9" t="n">
        <v>1</v>
      </c>
      <c r="D2483" s="10" t="n">
        <v>21.23</v>
      </c>
      <c r="E2483" s="10" t="n">
        <f aca="false">C2483*D2483</f>
        <v>21.23</v>
      </c>
    </row>
    <row r="2484" customFormat="false" ht="15" hidden="false" customHeight="false" outlineLevel="0" collapsed="false">
      <c r="A2484" s="9" t="s">
        <v>1298</v>
      </c>
      <c r="B2484" s="9" t="s">
        <v>732</v>
      </c>
      <c r="C2484" s="9" t="n">
        <v>1</v>
      </c>
      <c r="D2484" s="10" t="n">
        <v>16.98</v>
      </c>
      <c r="E2484" s="10" t="n">
        <f aca="false">C2484*D2484</f>
        <v>16.98</v>
      </c>
    </row>
    <row r="2485" customFormat="false" ht="15" hidden="false" customHeight="false" outlineLevel="0" collapsed="false">
      <c r="A2485" s="9" t="s">
        <v>1298</v>
      </c>
      <c r="B2485" s="9" t="s">
        <v>1246</v>
      </c>
      <c r="C2485" s="9" t="n">
        <v>1</v>
      </c>
      <c r="D2485" s="10" t="n">
        <v>4.21</v>
      </c>
      <c r="E2485" s="10" t="n">
        <f aca="false">C2485*D2485</f>
        <v>4.21</v>
      </c>
    </row>
    <row r="2486" customFormat="false" ht="15" hidden="false" customHeight="false" outlineLevel="0" collapsed="false">
      <c r="A2486" s="9" t="s">
        <v>1298</v>
      </c>
      <c r="B2486" s="9" t="s">
        <v>722</v>
      </c>
      <c r="C2486" s="9" t="n">
        <v>3</v>
      </c>
      <c r="D2486" s="10" t="n">
        <v>5.91</v>
      </c>
      <c r="E2486" s="10" t="n">
        <f aca="false">C2486*D2486</f>
        <v>17.73</v>
      </c>
    </row>
    <row r="2487" customFormat="false" ht="15" hidden="false" customHeight="false" outlineLevel="0" collapsed="false">
      <c r="A2487" s="9" t="s">
        <v>1298</v>
      </c>
      <c r="B2487" s="9" t="s">
        <v>717</v>
      </c>
      <c r="C2487" s="9" t="n">
        <v>4</v>
      </c>
      <c r="D2487" s="10" t="n">
        <v>5.91</v>
      </c>
      <c r="E2487" s="10" t="n">
        <f aca="false">C2487*D2487</f>
        <v>23.64</v>
      </c>
    </row>
    <row r="2488" customFormat="false" ht="15" hidden="false" customHeight="false" outlineLevel="0" collapsed="false">
      <c r="A2488" s="9" t="s">
        <v>1298</v>
      </c>
      <c r="B2488" s="9" t="s">
        <v>639</v>
      </c>
      <c r="C2488" s="9" t="n">
        <v>1</v>
      </c>
      <c r="D2488" s="10" t="n">
        <v>0.85</v>
      </c>
      <c r="E2488" s="10" t="n">
        <f aca="false">C2488*D2488</f>
        <v>0.85</v>
      </c>
    </row>
    <row r="2489" customFormat="false" ht="15" hidden="false" customHeight="false" outlineLevel="0" collapsed="false">
      <c r="A2489" s="9" t="s">
        <v>1298</v>
      </c>
      <c r="B2489" s="9" t="s">
        <v>503</v>
      </c>
      <c r="C2489" s="9" t="n">
        <v>3</v>
      </c>
      <c r="D2489" s="10" t="n">
        <v>2.51</v>
      </c>
      <c r="E2489" s="10" t="n">
        <f aca="false">C2489*D2489</f>
        <v>7.53</v>
      </c>
    </row>
    <row r="2490" customFormat="false" ht="15" hidden="false" customHeight="false" outlineLevel="0" collapsed="false">
      <c r="A2490" s="9" t="s">
        <v>1298</v>
      </c>
      <c r="B2490" s="9" t="s">
        <v>840</v>
      </c>
      <c r="C2490" s="9" t="n">
        <v>1</v>
      </c>
      <c r="D2490" s="10" t="n">
        <v>15.28</v>
      </c>
      <c r="E2490" s="10" t="n">
        <f aca="false">C2490*D2490</f>
        <v>15.28</v>
      </c>
    </row>
    <row r="2491" customFormat="false" ht="15" hidden="false" customHeight="false" outlineLevel="0" collapsed="false">
      <c r="A2491" s="9" t="s">
        <v>1298</v>
      </c>
      <c r="B2491" s="9" t="s">
        <v>1328</v>
      </c>
      <c r="C2491" s="9" t="n">
        <v>1</v>
      </c>
      <c r="D2491" s="10" t="n">
        <v>20.38</v>
      </c>
      <c r="E2491" s="10" t="n">
        <f aca="false">C2491*D2491</f>
        <v>20.38</v>
      </c>
    </row>
    <row r="2492" customFormat="false" ht="15" hidden="false" customHeight="false" outlineLevel="0" collapsed="false">
      <c r="A2492" s="9" t="s">
        <v>1298</v>
      </c>
      <c r="B2492" s="9" t="s">
        <v>861</v>
      </c>
      <c r="C2492" s="9" t="n">
        <v>4</v>
      </c>
      <c r="D2492" s="10" t="n">
        <v>2.51</v>
      </c>
      <c r="E2492" s="10" t="n">
        <f aca="false">C2492*D2492</f>
        <v>10.04</v>
      </c>
    </row>
    <row r="2493" customFormat="false" ht="15" hidden="false" customHeight="false" outlineLevel="0" collapsed="false">
      <c r="A2493" s="9" t="s">
        <v>1298</v>
      </c>
      <c r="B2493" s="9" t="s">
        <v>1121</v>
      </c>
      <c r="C2493" s="9" t="n">
        <v>4</v>
      </c>
      <c r="D2493" s="10" t="n">
        <v>1.66</v>
      </c>
      <c r="E2493" s="10" t="n">
        <f aca="false">C2493*D2493</f>
        <v>6.64</v>
      </c>
    </row>
    <row r="2494" customFormat="false" ht="15" hidden="false" customHeight="false" outlineLevel="0" collapsed="false">
      <c r="A2494" s="9" t="s">
        <v>1298</v>
      </c>
      <c r="B2494" s="9" t="s">
        <v>1172</v>
      </c>
      <c r="C2494" s="9" t="n">
        <v>1</v>
      </c>
      <c r="D2494" s="10" t="n">
        <v>16.13</v>
      </c>
      <c r="E2494" s="10" t="n">
        <f aca="false">C2494*D2494</f>
        <v>16.13</v>
      </c>
    </row>
    <row r="2495" customFormat="false" ht="15" hidden="false" customHeight="false" outlineLevel="0" collapsed="false">
      <c r="A2495" s="9" t="s">
        <v>1298</v>
      </c>
      <c r="B2495" s="9" t="s">
        <v>1175</v>
      </c>
      <c r="C2495" s="9" t="n">
        <v>3</v>
      </c>
      <c r="D2495" s="10" t="n">
        <v>13.57</v>
      </c>
      <c r="E2495" s="10" t="n">
        <f aca="false">C2495*D2495</f>
        <v>40.71</v>
      </c>
    </row>
    <row r="2496" customFormat="false" ht="15" hidden="false" customHeight="false" outlineLevel="0" collapsed="false">
      <c r="A2496" s="9" t="s">
        <v>1298</v>
      </c>
      <c r="B2496" s="9" t="s">
        <v>163</v>
      </c>
      <c r="C2496" s="9" t="n">
        <v>2</v>
      </c>
      <c r="D2496" s="10" t="n">
        <v>5.91</v>
      </c>
      <c r="E2496" s="10" t="n">
        <f aca="false">C2496*D2496</f>
        <v>11.82</v>
      </c>
    </row>
    <row r="2497" customFormat="false" ht="15" hidden="false" customHeight="false" outlineLevel="0" collapsed="false">
      <c r="A2497" s="9" t="s">
        <v>1298</v>
      </c>
      <c r="B2497" s="9" t="s">
        <v>842</v>
      </c>
      <c r="C2497" s="9" t="n">
        <v>2</v>
      </c>
      <c r="D2497" s="10" t="n">
        <v>7.62</v>
      </c>
      <c r="E2497" s="10" t="n">
        <f aca="false">C2497*D2497</f>
        <v>15.24</v>
      </c>
    </row>
    <row r="2498" customFormat="false" ht="15" hidden="false" customHeight="false" outlineLevel="0" collapsed="false">
      <c r="A2498" s="9" t="s">
        <v>1298</v>
      </c>
      <c r="B2498" s="9" t="s">
        <v>841</v>
      </c>
      <c r="C2498" s="9" t="n">
        <v>2</v>
      </c>
      <c r="D2498" s="10" t="n">
        <v>7.62</v>
      </c>
      <c r="E2498" s="10" t="n">
        <f aca="false">C2498*D2498</f>
        <v>15.24</v>
      </c>
    </row>
    <row r="2499" customFormat="false" ht="15" hidden="false" customHeight="false" outlineLevel="0" collapsed="false">
      <c r="A2499" s="9" t="s">
        <v>1298</v>
      </c>
      <c r="B2499" s="9" t="s">
        <v>356</v>
      </c>
      <c r="C2499" s="9" t="n">
        <v>4</v>
      </c>
      <c r="D2499" s="10" t="n">
        <v>2.51</v>
      </c>
      <c r="E2499" s="10" t="n">
        <f aca="false">C2499*D2499</f>
        <v>10.04</v>
      </c>
    </row>
    <row r="2500" customFormat="false" ht="15" hidden="false" customHeight="false" outlineLevel="0" collapsed="false">
      <c r="A2500" s="9" t="s">
        <v>1298</v>
      </c>
      <c r="B2500" s="9" t="s">
        <v>306</v>
      </c>
      <c r="C2500" s="9" t="n">
        <v>1</v>
      </c>
      <c r="D2500" s="10" t="n">
        <v>5.91</v>
      </c>
      <c r="E2500" s="10" t="n">
        <f aca="false">C2500*D2500</f>
        <v>5.91</v>
      </c>
    </row>
    <row r="2501" customFormat="false" ht="15" hidden="false" customHeight="false" outlineLevel="0" collapsed="false">
      <c r="A2501" s="9" t="s">
        <v>1298</v>
      </c>
      <c r="B2501" s="9" t="s">
        <v>372</v>
      </c>
      <c r="C2501" s="9" t="n">
        <v>3</v>
      </c>
      <c r="D2501" s="10" t="n">
        <v>4.21</v>
      </c>
      <c r="E2501" s="10" t="n">
        <f aca="false">C2501*D2501</f>
        <v>12.63</v>
      </c>
    </row>
    <row r="2502" customFormat="false" ht="15" hidden="false" customHeight="false" outlineLevel="0" collapsed="false">
      <c r="A2502" s="9" t="s">
        <v>1298</v>
      </c>
      <c r="B2502" s="9" t="s">
        <v>386</v>
      </c>
      <c r="C2502" s="9" t="n">
        <v>2</v>
      </c>
      <c r="D2502" s="10" t="n">
        <v>4.21</v>
      </c>
      <c r="E2502" s="10" t="n">
        <f aca="false">C2502*D2502</f>
        <v>8.42</v>
      </c>
    </row>
    <row r="2503" customFormat="false" ht="15" hidden="false" customHeight="false" outlineLevel="0" collapsed="false">
      <c r="A2503" s="9" t="s">
        <v>1298</v>
      </c>
      <c r="B2503" s="9" t="s">
        <v>824</v>
      </c>
      <c r="C2503" s="9" t="n">
        <v>5</v>
      </c>
      <c r="D2503" s="10" t="n">
        <v>0.85</v>
      </c>
      <c r="E2503" s="10" t="n">
        <f aca="false">C2503*D2503</f>
        <v>4.25</v>
      </c>
    </row>
    <row r="2504" customFormat="false" ht="15" hidden="false" customHeight="false" outlineLevel="0" collapsed="false">
      <c r="A2504" s="9" t="s">
        <v>1298</v>
      </c>
      <c r="B2504" s="9" t="s">
        <v>440</v>
      </c>
      <c r="C2504" s="9" t="n">
        <v>5</v>
      </c>
      <c r="D2504" s="10" t="n">
        <v>3.36</v>
      </c>
      <c r="E2504" s="10" t="n">
        <f aca="false">C2504*D2504</f>
        <v>16.8</v>
      </c>
    </row>
    <row r="2505" customFormat="false" ht="15" hidden="false" customHeight="false" outlineLevel="0" collapsed="false">
      <c r="A2505" s="9" t="s">
        <v>1298</v>
      </c>
      <c r="B2505" s="9" t="s">
        <v>472</v>
      </c>
      <c r="C2505" s="9" t="n">
        <v>3</v>
      </c>
      <c r="D2505" s="10" t="n">
        <v>4.21</v>
      </c>
      <c r="E2505" s="10" t="n">
        <f aca="false">C2505*D2505</f>
        <v>12.63</v>
      </c>
    </row>
    <row r="2506" customFormat="false" ht="15" hidden="false" customHeight="false" outlineLevel="0" collapsed="false">
      <c r="A2506" s="9" t="s">
        <v>1298</v>
      </c>
      <c r="B2506" s="9" t="s">
        <v>1123</v>
      </c>
      <c r="C2506" s="9" t="n">
        <v>2</v>
      </c>
      <c r="D2506" s="10" t="n">
        <v>2.51</v>
      </c>
      <c r="E2506" s="10" t="n">
        <f aca="false">C2506*D2506</f>
        <v>5.02</v>
      </c>
    </row>
    <row r="2507" customFormat="false" ht="15" hidden="false" customHeight="false" outlineLevel="0" collapsed="false">
      <c r="A2507" s="9" t="s">
        <v>1298</v>
      </c>
      <c r="B2507" s="9" t="s">
        <v>688</v>
      </c>
      <c r="C2507" s="9" t="n">
        <v>2</v>
      </c>
      <c r="D2507" s="10" t="n">
        <v>1.66</v>
      </c>
      <c r="E2507" s="10" t="n">
        <f aca="false">C2507*D2507</f>
        <v>3.32</v>
      </c>
    </row>
    <row r="2508" customFormat="false" ht="15" hidden="false" customHeight="false" outlineLevel="0" collapsed="false">
      <c r="A2508" s="9" t="s">
        <v>1298</v>
      </c>
      <c r="B2508" s="9" t="s">
        <v>633</v>
      </c>
      <c r="C2508" s="9" t="n">
        <v>4</v>
      </c>
      <c r="D2508" s="10" t="n">
        <v>0.85</v>
      </c>
      <c r="E2508" s="10" t="n">
        <f aca="false">C2508*D2508</f>
        <v>3.4</v>
      </c>
    </row>
    <row r="2509" customFormat="false" ht="15" hidden="false" customHeight="false" outlineLevel="0" collapsed="false">
      <c r="A2509" s="9" t="s">
        <v>1298</v>
      </c>
      <c r="B2509" s="9" t="s">
        <v>84</v>
      </c>
      <c r="C2509" s="9" t="n">
        <v>2</v>
      </c>
      <c r="D2509" s="10" t="n">
        <v>7.62</v>
      </c>
      <c r="E2509" s="10" t="n">
        <f aca="false">C2509*D2509</f>
        <v>15.24</v>
      </c>
    </row>
    <row r="2510" customFormat="false" ht="15" hidden="false" customHeight="false" outlineLevel="0" collapsed="false">
      <c r="A2510" s="9" t="s">
        <v>1298</v>
      </c>
      <c r="B2510" s="9" t="s">
        <v>1127</v>
      </c>
      <c r="C2510" s="9" t="n">
        <v>1</v>
      </c>
      <c r="D2510" s="10" t="n">
        <v>5.06</v>
      </c>
      <c r="E2510" s="10" t="n">
        <f aca="false">C2510*D2510</f>
        <v>5.06</v>
      </c>
    </row>
    <row r="2511" customFormat="false" ht="15" hidden="false" customHeight="false" outlineLevel="0" collapsed="false">
      <c r="A2511" s="9" t="s">
        <v>1298</v>
      </c>
      <c r="B2511" s="9" t="s">
        <v>608</v>
      </c>
      <c r="C2511" s="9" t="n">
        <v>3</v>
      </c>
      <c r="D2511" s="10" t="n">
        <v>3.36</v>
      </c>
      <c r="E2511" s="10" t="n">
        <f aca="false">C2511*D2511</f>
        <v>10.08</v>
      </c>
    </row>
    <row r="2512" customFormat="false" ht="15" hidden="false" customHeight="false" outlineLevel="0" collapsed="false">
      <c r="A2512" s="9" t="s">
        <v>1298</v>
      </c>
      <c r="B2512" s="9" t="s">
        <v>593</v>
      </c>
      <c r="C2512" s="9" t="n">
        <v>2</v>
      </c>
      <c r="D2512" s="10" t="n">
        <v>3.36</v>
      </c>
      <c r="E2512" s="10" t="n">
        <f aca="false">C2512*D2512</f>
        <v>6.72</v>
      </c>
    </row>
    <row r="2513" customFormat="false" ht="15" hidden="false" customHeight="false" outlineLevel="0" collapsed="false">
      <c r="A2513" s="9" t="s">
        <v>1298</v>
      </c>
      <c r="B2513" s="9" t="s">
        <v>489</v>
      </c>
      <c r="C2513" s="9" t="n">
        <v>1</v>
      </c>
      <c r="D2513" s="10" t="n">
        <v>3.36</v>
      </c>
      <c r="E2513" s="10" t="n">
        <f aca="false">C2513*D2513</f>
        <v>3.36</v>
      </c>
    </row>
    <row r="2514" customFormat="false" ht="15" hidden="false" customHeight="false" outlineLevel="0" collapsed="false">
      <c r="A2514" s="9" t="s">
        <v>1298</v>
      </c>
      <c r="B2514" s="9" t="s">
        <v>488</v>
      </c>
      <c r="C2514" s="9" t="n">
        <v>7</v>
      </c>
      <c r="D2514" s="10" t="n">
        <v>3.36</v>
      </c>
      <c r="E2514" s="10" t="n">
        <f aca="false">C2514*D2514</f>
        <v>23.52</v>
      </c>
    </row>
    <row r="2515" customFormat="false" ht="15" hidden="false" customHeight="false" outlineLevel="0" collapsed="false">
      <c r="A2515" s="9" t="s">
        <v>1298</v>
      </c>
      <c r="B2515" s="9" t="s">
        <v>1126</v>
      </c>
      <c r="C2515" s="9" t="n">
        <v>3</v>
      </c>
      <c r="D2515" s="10" t="n">
        <v>1.66</v>
      </c>
      <c r="E2515" s="10" t="n">
        <f aca="false">C2515*D2515</f>
        <v>4.98</v>
      </c>
    </row>
    <row r="2516" customFormat="false" ht="15" hidden="false" customHeight="false" outlineLevel="0" collapsed="false">
      <c r="A2516" s="9" t="s">
        <v>1298</v>
      </c>
      <c r="B2516" s="9" t="s">
        <v>586</v>
      </c>
      <c r="C2516" s="9" t="n">
        <v>1</v>
      </c>
      <c r="D2516" s="10" t="n">
        <v>5.91</v>
      </c>
      <c r="E2516" s="10" t="n">
        <f aca="false">C2516*D2516</f>
        <v>5.91</v>
      </c>
    </row>
    <row r="2517" customFormat="false" ht="15" hidden="false" customHeight="false" outlineLevel="0" collapsed="false">
      <c r="A2517" s="9" t="s">
        <v>1298</v>
      </c>
      <c r="B2517" s="9" t="s">
        <v>58</v>
      </c>
      <c r="C2517" s="9" t="n">
        <v>1</v>
      </c>
      <c r="D2517" s="10" t="n">
        <v>4.21</v>
      </c>
      <c r="E2517" s="10" t="n">
        <f aca="false">C2517*D2517</f>
        <v>4.21</v>
      </c>
    </row>
    <row r="2518" customFormat="false" ht="15" hidden="false" customHeight="false" outlineLevel="0" collapsed="false">
      <c r="A2518" s="9" t="s">
        <v>1298</v>
      </c>
      <c r="B2518" s="9" t="s">
        <v>1329</v>
      </c>
      <c r="C2518" s="9" t="n">
        <v>2</v>
      </c>
      <c r="D2518" s="10" t="n">
        <v>4.21</v>
      </c>
      <c r="E2518" s="10" t="n">
        <f aca="false">C2518*D2518</f>
        <v>8.42</v>
      </c>
    </row>
    <row r="2519" customFormat="false" ht="15" hidden="false" customHeight="false" outlineLevel="0" collapsed="false">
      <c r="A2519" s="9" t="s">
        <v>1298</v>
      </c>
      <c r="B2519" s="9" t="s">
        <v>1330</v>
      </c>
      <c r="C2519" s="9" t="n">
        <v>1</v>
      </c>
      <c r="D2519" s="10" t="n">
        <v>4.21</v>
      </c>
      <c r="E2519" s="10" t="n">
        <f aca="false">C2519*D2519</f>
        <v>4.21</v>
      </c>
    </row>
    <row r="2520" customFormat="false" ht="15" hidden="false" customHeight="false" outlineLevel="0" collapsed="false">
      <c r="A2520" s="9" t="s">
        <v>1298</v>
      </c>
      <c r="B2520" s="9" t="s">
        <v>57</v>
      </c>
      <c r="C2520" s="9" t="n">
        <v>1</v>
      </c>
      <c r="D2520" s="10" t="n">
        <v>4.21</v>
      </c>
      <c r="E2520" s="10" t="n">
        <f aca="false">C2520*D2520</f>
        <v>4.21</v>
      </c>
    </row>
    <row r="2521" customFormat="false" ht="15" hidden="false" customHeight="false" outlineLevel="0" collapsed="false">
      <c r="A2521" s="9" t="s">
        <v>1298</v>
      </c>
      <c r="B2521" s="9" t="s">
        <v>946</v>
      </c>
      <c r="C2521" s="9" t="n">
        <v>22</v>
      </c>
      <c r="D2521" s="10" t="n">
        <v>1.66</v>
      </c>
      <c r="E2521" s="10" t="n">
        <f aca="false">C2521*D2521</f>
        <v>36.52</v>
      </c>
    </row>
    <row r="2522" customFormat="false" ht="15" hidden="false" customHeight="false" outlineLevel="0" collapsed="false">
      <c r="A2522" s="9" t="s">
        <v>1298</v>
      </c>
      <c r="B2522" s="9" t="s">
        <v>436</v>
      </c>
      <c r="C2522" s="9" t="n">
        <v>1</v>
      </c>
      <c r="D2522" s="10" t="n">
        <v>7.62</v>
      </c>
      <c r="E2522" s="10" t="n">
        <f aca="false">C2522*D2522</f>
        <v>7.62</v>
      </c>
    </row>
    <row r="2523" customFormat="false" ht="15" hidden="false" customHeight="false" outlineLevel="0" collapsed="false">
      <c r="A2523" s="9" t="s">
        <v>1298</v>
      </c>
      <c r="B2523" s="9" t="s">
        <v>1331</v>
      </c>
      <c r="C2523" s="9" t="n">
        <v>1</v>
      </c>
      <c r="D2523" s="10" t="n">
        <v>2.51</v>
      </c>
      <c r="E2523" s="10" t="n">
        <f aca="false">C2523*D2523</f>
        <v>2.51</v>
      </c>
    </row>
    <row r="2524" customFormat="false" ht="15" hidden="false" customHeight="false" outlineLevel="0" collapsed="false">
      <c r="A2524" s="9" t="s">
        <v>1298</v>
      </c>
      <c r="B2524" s="9" t="s">
        <v>945</v>
      </c>
      <c r="C2524" s="9" t="n">
        <v>3</v>
      </c>
      <c r="D2524" s="10" t="n">
        <v>4.21</v>
      </c>
      <c r="E2524" s="10" t="n">
        <f aca="false">C2524*D2524</f>
        <v>12.63</v>
      </c>
    </row>
    <row r="2525" customFormat="false" ht="15" hidden="false" customHeight="false" outlineLevel="0" collapsed="false">
      <c r="A2525" s="9" t="s">
        <v>1298</v>
      </c>
      <c r="B2525" s="9" t="s">
        <v>307</v>
      </c>
      <c r="C2525" s="9" t="n">
        <v>1</v>
      </c>
      <c r="D2525" s="10" t="n">
        <v>1.28</v>
      </c>
      <c r="E2525" s="10" t="n">
        <f aca="false">C2525*D2525</f>
        <v>1.28</v>
      </c>
    </row>
    <row r="2526" customFormat="false" ht="15" hidden="false" customHeight="false" outlineLevel="0" collapsed="false">
      <c r="A2526" s="9" t="s">
        <v>1298</v>
      </c>
      <c r="B2526" s="9" t="s">
        <v>1332</v>
      </c>
      <c r="C2526" s="9" t="n">
        <v>1</v>
      </c>
      <c r="D2526" s="10" t="n">
        <v>4.21</v>
      </c>
      <c r="E2526" s="10" t="n">
        <f aca="false">C2526*D2526</f>
        <v>4.21</v>
      </c>
    </row>
    <row r="2527" customFormat="false" ht="15" hidden="false" customHeight="false" outlineLevel="0" collapsed="false">
      <c r="A2527" s="9" t="s">
        <v>1298</v>
      </c>
      <c r="B2527" s="9" t="s">
        <v>876</v>
      </c>
      <c r="C2527" s="9" t="n">
        <v>1</v>
      </c>
      <c r="D2527" s="10" t="n">
        <v>8.47</v>
      </c>
      <c r="E2527" s="10" t="n">
        <f aca="false">C2527*D2527</f>
        <v>8.47</v>
      </c>
    </row>
    <row r="2528" customFormat="false" ht="15" hidden="false" customHeight="false" outlineLevel="0" collapsed="false">
      <c r="A2528" s="9" t="s">
        <v>1298</v>
      </c>
      <c r="B2528" s="9" t="s">
        <v>880</v>
      </c>
      <c r="C2528" s="9" t="n">
        <v>2</v>
      </c>
      <c r="D2528" s="10" t="n">
        <v>8.47</v>
      </c>
      <c r="E2528" s="10" t="n">
        <f aca="false">C2528*D2528</f>
        <v>16.94</v>
      </c>
    </row>
    <row r="2529" customFormat="false" ht="15" hidden="false" customHeight="false" outlineLevel="0" collapsed="false">
      <c r="A2529" s="9" t="s">
        <v>1298</v>
      </c>
      <c r="B2529" s="9" t="s">
        <v>879</v>
      </c>
      <c r="C2529" s="9" t="n">
        <v>1</v>
      </c>
      <c r="D2529" s="10" t="n">
        <v>8.47</v>
      </c>
      <c r="E2529" s="10" t="n">
        <f aca="false">C2529*D2529</f>
        <v>8.47</v>
      </c>
    </row>
    <row r="2530" customFormat="false" ht="15" hidden="false" customHeight="false" outlineLevel="0" collapsed="false">
      <c r="A2530" s="9" t="s">
        <v>1298</v>
      </c>
      <c r="B2530" s="9" t="s">
        <v>326</v>
      </c>
      <c r="C2530" s="9" t="n">
        <v>1</v>
      </c>
      <c r="D2530" s="10" t="n">
        <v>5.06</v>
      </c>
      <c r="E2530" s="10" t="n">
        <f aca="false">C2530*D2530</f>
        <v>5.06</v>
      </c>
    </row>
    <row r="2531" customFormat="false" ht="15" hidden="false" customHeight="false" outlineLevel="0" collapsed="false">
      <c r="A2531" s="9" t="s">
        <v>1298</v>
      </c>
      <c r="B2531" s="9" t="s">
        <v>1333</v>
      </c>
      <c r="C2531" s="9" t="n">
        <v>1</v>
      </c>
      <c r="D2531" s="10" t="n">
        <v>4.21</v>
      </c>
      <c r="E2531" s="10" t="n">
        <f aca="false">C2531*D2531</f>
        <v>4.21</v>
      </c>
    </row>
    <row r="2532" customFormat="false" ht="15" hidden="false" customHeight="false" outlineLevel="0" collapsed="false">
      <c r="A2532" s="9" t="s">
        <v>1298</v>
      </c>
      <c r="B2532" s="9" t="s">
        <v>853</v>
      </c>
      <c r="C2532" s="9" t="n">
        <v>1</v>
      </c>
      <c r="D2532" s="10" t="n">
        <v>1.28</v>
      </c>
      <c r="E2532" s="10" t="n">
        <f aca="false">C2532*D2532</f>
        <v>1.28</v>
      </c>
    </row>
    <row r="2533" customFormat="false" ht="15" hidden="false" customHeight="false" outlineLevel="0" collapsed="false">
      <c r="A2533" s="9" t="s">
        <v>1298</v>
      </c>
      <c r="B2533" s="9" t="s">
        <v>909</v>
      </c>
      <c r="C2533" s="9" t="n">
        <v>1</v>
      </c>
      <c r="D2533" s="10" t="n">
        <v>8.47</v>
      </c>
      <c r="E2533" s="10" t="n">
        <f aca="false">C2533*D2533</f>
        <v>8.47</v>
      </c>
    </row>
    <row r="2534" customFormat="false" ht="15" hidden="false" customHeight="false" outlineLevel="0" collapsed="false">
      <c r="A2534" s="9" t="s">
        <v>1298</v>
      </c>
      <c r="B2534" s="9" t="s">
        <v>1334</v>
      </c>
      <c r="C2534" s="9" t="n">
        <v>4</v>
      </c>
      <c r="D2534" s="10" t="n">
        <v>1.66</v>
      </c>
      <c r="E2534" s="10" t="n">
        <f aca="false">C2534*D2534</f>
        <v>6.64</v>
      </c>
    </row>
    <row r="2535" customFormat="false" ht="15" hidden="false" customHeight="false" outlineLevel="0" collapsed="false">
      <c r="A2535" s="9" t="s">
        <v>1298</v>
      </c>
      <c r="B2535" s="9" t="s">
        <v>576</v>
      </c>
      <c r="C2535" s="9" t="n">
        <v>1</v>
      </c>
      <c r="D2535" s="10" t="n">
        <v>1.66</v>
      </c>
      <c r="E2535" s="10" t="n">
        <f aca="false">C2535*D2535</f>
        <v>1.66</v>
      </c>
    </row>
    <row r="2536" customFormat="false" ht="15" hidden="false" customHeight="false" outlineLevel="0" collapsed="false">
      <c r="A2536" s="9" t="s">
        <v>1298</v>
      </c>
      <c r="B2536" s="9" t="s">
        <v>894</v>
      </c>
      <c r="C2536" s="9" t="n">
        <v>1</v>
      </c>
      <c r="D2536" s="10" t="n">
        <v>4.95</v>
      </c>
      <c r="E2536" s="10" t="n">
        <f aca="false">C2536*D2536</f>
        <v>4.95</v>
      </c>
    </row>
    <row r="2537" customFormat="false" ht="15" hidden="false" customHeight="false" outlineLevel="0" collapsed="false">
      <c r="A2537" s="9" t="s">
        <v>1298</v>
      </c>
      <c r="B2537" s="9" t="s">
        <v>1335</v>
      </c>
      <c r="C2537" s="9" t="n">
        <v>1</v>
      </c>
      <c r="D2537" s="10" t="n">
        <v>10.17</v>
      </c>
      <c r="E2537" s="10" t="n">
        <f aca="false">C2537*D2537</f>
        <v>10.17</v>
      </c>
    </row>
    <row r="2538" customFormat="false" ht="15" hidden="false" customHeight="false" outlineLevel="0" collapsed="false">
      <c r="A2538" s="9" t="s">
        <v>1298</v>
      </c>
      <c r="B2538" s="9" t="s">
        <v>1336</v>
      </c>
      <c r="C2538" s="9" t="n">
        <v>1</v>
      </c>
      <c r="D2538" s="10" t="n">
        <v>4.24</v>
      </c>
      <c r="E2538" s="10" t="n">
        <f aca="false">C2538*D2538</f>
        <v>4.24</v>
      </c>
    </row>
    <row r="2539" customFormat="false" ht="15" hidden="false" customHeight="false" outlineLevel="0" collapsed="false">
      <c r="A2539" s="9" t="s">
        <v>1298</v>
      </c>
      <c r="B2539" s="9" t="s">
        <v>1337</v>
      </c>
      <c r="C2539" s="9" t="n">
        <v>1</v>
      </c>
      <c r="D2539" s="10" t="n">
        <v>4.24</v>
      </c>
      <c r="E2539" s="10" t="n">
        <f aca="false">C2539*D2539</f>
        <v>4.24</v>
      </c>
    </row>
    <row r="2540" customFormat="false" ht="15" hidden="false" customHeight="false" outlineLevel="0" collapsed="false">
      <c r="A2540" s="9" t="s">
        <v>1298</v>
      </c>
      <c r="B2540" s="9" t="s">
        <v>1338</v>
      </c>
      <c r="C2540" s="9" t="n">
        <v>1</v>
      </c>
      <c r="D2540" s="10" t="n">
        <v>5.51</v>
      </c>
      <c r="E2540" s="10" t="n">
        <f aca="false">C2540*D2540</f>
        <v>5.51</v>
      </c>
    </row>
    <row r="2541" customFormat="false" ht="15" hidden="false" customHeight="false" outlineLevel="0" collapsed="false">
      <c r="A2541" s="9" t="s">
        <v>1298</v>
      </c>
      <c r="B2541" s="9" t="s">
        <v>1339</v>
      </c>
      <c r="C2541" s="9" t="n">
        <v>2</v>
      </c>
      <c r="D2541" s="10" t="n">
        <v>1.66</v>
      </c>
      <c r="E2541" s="10" t="n">
        <f aca="false">C2541*D2541</f>
        <v>3.32</v>
      </c>
    </row>
    <row r="2542" customFormat="false" ht="15" hidden="false" customHeight="false" outlineLevel="0" collapsed="false">
      <c r="A2542" s="9" t="s">
        <v>1298</v>
      </c>
      <c r="B2542" s="9" t="s">
        <v>1340</v>
      </c>
      <c r="C2542" s="9" t="n">
        <v>1</v>
      </c>
      <c r="D2542" s="10" t="n">
        <v>0.85</v>
      </c>
      <c r="E2542" s="10" t="n">
        <f aca="false">C2542*D2542</f>
        <v>0.85</v>
      </c>
    </row>
    <row r="2543" customFormat="false" ht="15" hidden="false" customHeight="false" outlineLevel="0" collapsed="false">
      <c r="A2543" s="9" t="s">
        <v>1298</v>
      </c>
      <c r="B2543" s="9" t="s">
        <v>910</v>
      </c>
      <c r="C2543" s="9" t="n">
        <v>1</v>
      </c>
      <c r="D2543" s="10" t="n">
        <v>0.85</v>
      </c>
      <c r="E2543" s="10" t="n">
        <f aca="false">C2543*D2543</f>
        <v>0.85</v>
      </c>
    </row>
    <row r="2544" customFormat="false" ht="15" hidden="false" customHeight="false" outlineLevel="0" collapsed="false">
      <c r="A2544" s="9" t="s">
        <v>1298</v>
      </c>
      <c r="B2544" s="9" t="s">
        <v>37</v>
      </c>
      <c r="C2544" s="9" t="n">
        <v>9</v>
      </c>
      <c r="D2544" s="10" t="n">
        <v>5.91</v>
      </c>
      <c r="E2544" s="10" t="n">
        <f aca="false">C2544*D2544</f>
        <v>53.19</v>
      </c>
    </row>
    <row r="2545" customFormat="false" ht="15" hidden="false" customHeight="false" outlineLevel="0" collapsed="false">
      <c r="A2545" s="9" t="s">
        <v>1298</v>
      </c>
      <c r="B2545" s="9" t="s">
        <v>965</v>
      </c>
      <c r="C2545" s="9" t="n">
        <v>1</v>
      </c>
      <c r="D2545" s="10" t="n">
        <v>0.85</v>
      </c>
      <c r="E2545" s="10" t="n">
        <f aca="false">C2545*D2545</f>
        <v>0.85</v>
      </c>
    </row>
    <row r="2546" customFormat="false" ht="15" hidden="false" customHeight="false" outlineLevel="0" collapsed="false">
      <c r="A2546" s="9" t="s">
        <v>1298</v>
      </c>
      <c r="B2546" s="9" t="s">
        <v>964</v>
      </c>
      <c r="C2546" s="9" t="n">
        <v>4</v>
      </c>
      <c r="D2546" s="10" t="n">
        <v>1.66</v>
      </c>
      <c r="E2546" s="10" t="n">
        <f aca="false">C2546*D2546</f>
        <v>6.64</v>
      </c>
    </row>
    <row r="2547" customFormat="false" ht="15" hidden="false" customHeight="false" outlineLevel="0" collapsed="false">
      <c r="A2547" s="9" t="s">
        <v>1298</v>
      </c>
      <c r="B2547" s="9" t="s">
        <v>1341</v>
      </c>
      <c r="C2547" s="9" t="n">
        <v>2</v>
      </c>
      <c r="D2547" s="10" t="n">
        <v>3.36</v>
      </c>
      <c r="E2547" s="10" t="n">
        <f aca="false">C2547*D2547</f>
        <v>6.72</v>
      </c>
    </row>
    <row r="2548" customFormat="false" ht="15" hidden="false" customHeight="false" outlineLevel="0" collapsed="false">
      <c r="A2548" s="9" t="s">
        <v>1298</v>
      </c>
      <c r="B2548" s="9" t="s">
        <v>938</v>
      </c>
      <c r="C2548" s="9" t="n">
        <v>1</v>
      </c>
      <c r="D2548" s="10" t="n">
        <v>16.98</v>
      </c>
      <c r="E2548" s="10" t="n">
        <f aca="false">C2548*D2548</f>
        <v>16.98</v>
      </c>
    </row>
    <row r="2549" customFormat="false" ht="15" hidden="false" customHeight="false" outlineLevel="0" collapsed="false">
      <c r="A2549" s="9" t="s">
        <v>1298</v>
      </c>
      <c r="B2549" s="9" t="s">
        <v>190</v>
      </c>
      <c r="C2549" s="9" t="n">
        <v>3</v>
      </c>
      <c r="D2549" s="10" t="n">
        <v>2.51</v>
      </c>
      <c r="E2549" s="10" t="n">
        <f aca="false">C2549*D2549</f>
        <v>7.53</v>
      </c>
    </row>
    <row r="2550" customFormat="false" ht="15" hidden="false" customHeight="false" outlineLevel="0" collapsed="false">
      <c r="A2550" s="9" t="s">
        <v>1298</v>
      </c>
      <c r="B2550" s="9" t="s">
        <v>315</v>
      </c>
      <c r="C2550" s="9" t="n">
        <v>5</v>
      </c>
      <c r="D2550" s="10" t="n">
        <v>2.51</v>
      </c>
      <c r="E2550" s="10" t="n">
        <f aca="false">C2550*D2550</f>
        <v>12.55</v>
      </c>
    </row>
    <row r="2551" customFormat="false" ht="15" hidden="false" customHeight="false" outlineLevel="0" collapsed="false">
      <c r="A2551" s="9" t="s">
        <v>1298</v>
      </c>
      <c r="B2551" s="9" t="s">
        <v>353</v>
      </c>
      <c r="C2551" s="9" t="n">
        <v>1</v>
      </c>
      <c r="D2551" s="10" t="n">
        <v>2.51</v>
      </c>
      <c r="E2551" s="10" t="n">
        <f aca="false">C2551*D2551</f>
        <v>2.51</v>
      </c>
    </row>
    <row r="2552" customFormat="false" ht="15" hidden="false" customHeight="false" outlineLevel="0" collapsed="false">
      <c r="A2552" s="9" t="s">
        <v>1298</v>
      </c>
      <c r="B2552" s="9" t="s">
        <v>1342</v>
      </c>
      <c r="C2552" s="9" t="n">
        <v>1</v>
      </c>
      <c r="D2552" s="10" t="n">
        <v>4.21</v>
      </c>
      <c r="E2552" s="10" t="n">
        <f aca="false">C2552*D2552</f>
        <v>4.21</v>
      </c>
    </row>
    <row r="2553" customFormat="false" ht="15" hidden="false" customHeight="false" outlineLevel="0" collapsed="false">
      <c r="A2553" s="9" t="s">
        <v>1298</v>
      </c>
      <c r="B2553" s="9" t="s">
        <v>913</v>
      </c>
      <c r="C2553" s="9" t="n">
        <v>1</v>
      </c>
      <c r="D2553" s="10" t="n">
        <v>11.02</v>
      </c>
      <c r="E2553" s="10" t="n">
        <f aca="false">C2553*D2553</f>
        <v>11.02</v>
      </c>
    </row>
    <row r="2554" customFormat="false" ht="15" hidden="false" customHeight="false" outlineLevel="0" collapsed="false">
      <c r="A2554" s="9" t="s">
        <v>1298</v>
      </c>
      <c r="B2554" s="9" t="s">
        <v>193</v>
      </c>
      <c r="C2554" s="9" t="n">
        <v>1</v>
      </c>
      <c r="D2554" s="10" t="n">
        <v>4.21</v>
      </c>
      <c r="E2554" s="10" t="n">
        <f aca="false">C2554*D2554</f>
        <v>4.21</v>
      </c>
    </row>
    <row r="2555" customFormat="false" ht="15" hidden="false" customHeight="false" outlineLevel="0" collapsed="false">
      <c r="A2555" s="9" t="s">
        <v>1298</v>
      </c>
      <c r="B2555" s="9" t="s">
        <v>410</v>
      </c>
      <c r="C2555" s="9" t="n">
        <v>1</v>
      </c>
      <c r="D2555" s="10" t="n">
        <v>4.21</v>
      </c>
      <c r="E2555" s="10" t="n">
        <f aca="false">C2555*D2555</f>
        <v>4.21</v>
      </c>
    </row>
    <row r="2556" customFormat="false" ht="15" hidden="false" customHeight="false" outlineLevel="0" collapsed="false">
      <c r="A2556" s="9" t="s">
        <v>1298</v>
      </c>
      <c r="B2556" s="9" t="s">
        <v>1343</v>
      </c>
      <c r="C2556" s="9" t="n">
        <v>4</v>
      </c>
      <c r="D2556" s="10" t="n">
        <v>3.36</v>
      </c>
      <c r="E2556" s="10" t="n">
        <f aca="false">C2556*D2556</f>
        <v>13.44</v>
      </c>
    </row>
    <row r="2557" customFormat="false" ht="15" hidden="false" customHeight="false" outlineLevel="0" collapsed="false">
      <c r="A2557" s="9" t="s">
        <v>1298</v>
      </c>
      <c r="B2557" s="9" t="s">
        <v>756</v>
      </c>
      <c r="C2557" s="9" t="n">
        <v>1</v>
      </c>
      <c r="D2557" s="10" t="n">
        <v>3.36</v>
      </c>
      <c r="E2557" s="10" t="n">
        <f aca="false">C2557*D2557</f>
        <v>3.36</v>
      </c>
    </row>
    <row r="2558" customFormat="false" ht="15" hidden="false" customHeight="false" outlineLevel="0" collapsed="false">
      <c r="A2558" s="9" t="s">
        <v>1298</v>
      </c>
      <c r="B2558" s="9" t="s">
        <v>748</v>
      </c>
      <c r="C2558" s="9" t="n">
        <v>2</v>
      </c>
      <c r="D2558" s="10" t="n">
        <v>3.36</v>
      </c>
      <c r="E2558" s="10" t="n">
        <f aca="false">C2558*D2558</f>
        <v>6.72</v>
      </c>
    </row>
    <row r="2559" customFormat="false" ht="15" hidden="false" customHeight="false" outlineLevel="0" collapsed="false">
      <c r="A2559" s="9" t="s">
        <v>1298</v>
      </c>
      <c r="B2559" s="9" t="s">
        <v>417</v>
      </c>
      <c r="C2559" s="9" t="n">
        <v>1</v>
      </c>
      <c r="D2559" s="10" t="n">
        <v>1.66</v>
      </c>
      <c r="E2559" s="10" t="n">
        <f aca="false">C2559*D2559</f>
        <v>1.66</v>
      </c>
    </row>
    <row r="2560" customFormat="false" ht="15" hidden="false" customHeight="false" outlineLevel="0" collapsed="false">
      <c r="A2560" s="9" t="s">
        <v>1298</v>
      </c>
      <c r="B2560" s="9" t="s">
        <v>1344</v>
      </c>
      <c r="C2560" s="9" t="n">
        <v>1</v>
      </c>
      <c r="D2560" s="10" t="n">
        <v>8.49</v>
      </c>
      <c r="E2560" s="10" t="n">
        <f aca="false">C2560*D2560</f>
        <v>8.49</v>
      </c>
    </row>
    <row r="2561" customFormat="false" ht="15" hidden="false" customHeight="false" outlineLevel="0" collapsed="false">
      <c r="A2561" s="9" t="s">
        <v>1298</v>
      </c>
      <c r="B2561" s="9" t="s">
        <v>966</v>
      </c>
      <c r="C2561" s="9" t="n">
        <v>1</v>
      </c>
      <c r="D2561" s="10" t="n">
        <v>0.85</v>
      </c>
      <c r="E2561" s="10" t="n">
        <f aca="false">C2561*D2561</f>
        <v>0.85</v>
      </c>
    </row>
    <row r="2562" customFormat="false" ht="15" hidden="false" customHeight="false" outlineLevel="0" collapsed="false">
      <c r="A2562" s="9" t="s">
        <v>1298</v>
      </c>
      <c r="B2562" s="9" t="s">
        <v>1345</v>
      </c>
      <c r="C2562" s="9" t="n">
        <v>1</v>
      </c>
      <c r="D2562" s="10" t="n">
        <v>8.07</v>
      </c>
      <c r="E2562" s="10" t="n">
        <f aca="false">C2562*D2562</f>
        <v>8.07</v>
      </c>
    </row>
    <row r="2563" customFormat="false" ht="15" hidden="false" customHeight="false" outlineLevel="0" collapsed="false">
      <c r="A2563" s="9" t="s">
        <v>1298</v>
      </c>
      <c r="B2563" s="9" t="s">
        <v>1346</v>
      </c>
      <c r="C2563" s="9" t="n">
        <v>1</v>
      </c>
      <c r="D2563" s="10" t="n">
        <v>7.22</v>
      </c>
      <c r="E2563" s="10" t="n">
        <f aca="false">C2563*D2563</f>
        <v>7.22</v>
      </c>
    </row>
    <row r="2564" customFormat="false" ht="15" hidden="false" customHeight="false" outlineLevel="0" collapsed="false">
      <c r="A2564" s="9" t="s">
        <v>1298</v>
      </c>
      <c r="B2564" s="9" t="s">
        <v>933</v>
      </c>
      <c r="C2564" s="9" t="n">
        <v>1</v>
      </c>
      <c r="D2564" s="10" t="n">
        <v>0.85</v>
      </c>
      <c r="E2564" s="10" t="n">
        <f aca="false">C2564*D2564</f>
        <v>0.85</v>
      </c>
    </row>
    <row r="2565" customFormat="false" ht="15" hidden="false" customHeight="false" outlineLevel="0" collapsed="false">
      <c r="A2565" s="9" t="s">
        <v>1298</v>
      </c>
      <c r="B2565" s="9" t="s">
        <v>1293</v>
      </c>
      <c r="C2565" s="9" t="n">
        <v>1</v>
      </c>
      <c r="D2565" s="10" t="n">
        <v>0.85</v>
      </c>
      <c r="E2565" s="10" t="n">
        <f aca="false">C2565*D2565</f>
        <v>0.85</v>
      </c>
    </row>
    <row r="2566" customFormat="false" ht="15" hidden="false" customHeight="false" outlineLevel="0" collapsed="false">
      <c r="A2566" s="9" t="s">
        <v>1298</v>
      </c>
      <c r="B2566" s="9" t="s">
        <v>1347</v>
      </c>
      <c r="C2566" s="9" t="n">
        <v>3</v>
      </c>
      <c r="D2566" s="10" t="n">
        <v>3.75</v>
      </c>
      <c r="E2566" s="10" t="n">
        <f aca="false">C2566*D2566</f>
        <v>11.25</v>
      </c>
    </row>
    <row r="2567" customFormat="false" ht="15" hidden="false" customHeight="false" outlineLevel="0" collapsed="false">
      <c r="A2567" s="9" t="s">
        <v>1298</v>
      </c>
      <c r="B2567" s="9" t="s">
        <v>414</v>
      </c>
      <c r="C2567" s="9" t="n">
        <v>3</v>
      </c>
      <c r="D2567" s="10" t="n">
        <v>6.75</v>
      </c>
      <c r="E2567" s="10" t="n">
        <f aca="false">C2567*D2567</f>
        <v>20.25</v>
      </c>
    </row>
    <row r="2568" customFormat="false" ht="15" hidden="false" customHeight="false" outlineLevel="0" collapsed="false">
      <c r="A2568" s="9" t="s">
        <v>1298</v>
      </c>
      <c r="B2568" s="9" t="s">
        <v>1348</v>
      </c>
      <c r="C2568" s="9" t="n">
        <v>3</v>
      </c>
      <c r="D2568" s="10" t="n">
        <v>6.95</v>
      </c>
      <c r="E2568" s="10" t="n">
        <f aca="false">C2568*D2568</f>
        <v>20.85</v>
      </c>
    </row>
    <row r="2569" customFormat="false" ht="15" hidden="false" customHeight="false" outlineLevel="0" collapsed="false">
      <c r="A2569" s="9" t="s">
        <v>1298</v>
      </c>
      <c r="B2569" s="9" t="s">
        <v>343</v>
      </c>
      <c r="C2569" s="9" t="n">
        <v>9</v>
      </c>
      <c r="D2569" s="10" t="n">
        <v>1.65</v>
      </c>
      <c r="E2569" s="10" t="n">
        <f aca="false">C2569*D2569</f>
        <v>14.85</v>
      </c>
    </row>
    <row r="2570" customFormat="false" ht="15" hidden="false" customHeight="false" outlineLevel="0" collapsed="false">
      <c r="A2570" s="9" t="s">
        <v>1298</v>
      </c>
      <c r="B2570" s="9" t="s">
        <v>1349</v>
      </c>
      <c r="C2570" s="9" t="n">
        <v>1</v>
      </c>
      <c r="D2570" s="10" t="n">
        <v>0.85</v>
      </c>
      <c r="E2570" s="10" t="n">
        <f aca="false">C2570*D2570</f>
        <v>0.85</v>
      </c>
    </row>
    <row r="2571" customFormat="false" ht="15" hidden="false" customHeight="false" outlineLevel="0" collapsed="false">
      <c r="A2571" s="9" t="s">
        <v>1298</v>
      </c>
      <c r="B2571" s="9" t="s">
        <v>94</v>
      </c>
      <c r="C2571" s="9" t="n">
        <v>3</v>
      </c>
      <c r="D2571" s="10" t="n">
        <v>2.95</v>
      </c>
      <c r="E2571" s="10" t="n">
        <f aca="false">C2571*D2571</f>
        <v>8.85</v>
      </c>
    </row>
    <row r="2572" customFormat="false" ht="15" hidden="false" customHeight="false" outlineLevel="0" collapsed="false">
      <c r="A2572" s="9" t="s">
        <v>1298</v>
      </c>
      <c r="B2572" s="9" t="s">
        <v>299</v>
      </c>
      <c r="C2572" s="9" t="n">
        <v>3</v>
      </c>
      <c r="D2572" s="10" t="n">
        <v>2.55</v>
      </c>
      <c r="E2572" s="10" t="n">
        <f aca="false">C2572*D2572</f>
        <v>7.65</v>
      </c>
    </row>
    <row r="2573" customFormat="false" ht="15" hidden="false" customHeight="false" outlineLevel="0" collapsed="false">
      <c r="A2573" s="9" t="s">
        <v>1298</v>
      </c>
      <c r="B2573" s="9" t="s">
        <v>1350</v>
      </c>
      <c r="C2573" s="9" t="n">
        <v>3</v>
      </c>
      <c r="D2573" s="10" t="n">
        <v>3.35</v>
      </c>
      <c r="E2573" s="10" t="n">
        <f aca="false">C2573*D2573</f>
        <v>10.05</v>
      </c>
    </row>
    <row r="2574" customFormat="false" ht="15" hidden="false" customHeight="false" outlineLevel="0" collapsed="false">
      <c r="A2574" s="9" t="s">
        <v>1298</v>
      </c>
      <c r="B2574" s="9" t="s">
        <v>1351</v>
      </c>
      <c r="C2574" s="9" t="n">
        <v>3</v>
      </c>
      <c r="D2574" s="10" t="n">
        <v>3.35</v>
      </c>
      <c r="E2574" s="10" t="n">
        <f aca="false">C2574*D2574</f>
        <v>10.05</v>
      </c>
    </row>
    <row r="2575" customFormat="false" ht="15" hidden="false" customHeight="false" outlineLevel="0" collapsed="false">
      <c r="A2575" s="9" t="s">
        <v>1298</v>
      </c>
      <c r="B2575" s="9" t="s">
        <v>1352</v>
      </c>
      <c r="C2575" s="9" t="n">
        <v>3</v>
      </c>
      <c r="D2575" s="10" t="n">
        <v>3.35</v>
      </c>
      <c r="E2575" s="10" t="n">
        <f aca="false">C2575*D2575</f>
        <v>10.05</v>
      </c>
    </row>
    <row r="2576" customFormat="false" ht="15" hidden="false" customHeight="false" outlineLevel="0" collapsed="false">
      <c r="A2576" s="9" t="s">
        <v>1298</v>
      </c>
      <c r="B2576" s="9" t="s">
        <v>1353</v>
      </c>
      <c r="C2576" s="9" t="n">
        <v>3</v>
      </c>
      <c r="D2576" s="10" t="n">
        <v>2.95</v>
      </c>
      <c r="E2576" s="10" t="n">
        <f aca="false">C2576*D2576</f>
        <v>8.85</v>
      </c>
    </row>
    <row r="2577" customFormat="false" ht="15" hidden="false" customHeight="false" outlineLevel="0" collapsed="false">
      <c r="A2577" s="9" t="s">
        <v>1298</v>
      </c>
      <c r="B2577" s="9" t="s">
        <v>1236</v>
      </c>
      <c r="C2577" s="9" t="n">
        <v>1</v>
      </c>
      <c r="D2577" s="10" t="n">
        <v>1.66</v>
      </c>
      <c r="E2577" s="10" t="n">
        <f aca="false">C2577*D2577</f>
        <v>1.66</v>
      </c>
    </row>
    <row r="2578" customFormat="false" ht="15" hidden="false" customHeight="false" outlineLevel="0" collapsed="false">
      <c r="A2578" s="9" t="s">
        <v>1298</v>
      </c>
      <c r="B2578" s="9" t="s">
        <v>1354</v>
      </c>
      <c r="C2578" s="9" t="n">
        <v>3</v>
      </c>
      <c r="D2578" s="10" t="n">
        <v>12.75</v>
      </c>
      <c r="E2578" s="10" t="n">
        <f aca="false">C2578*D2578</f>
        <v>38.25</v>
      </c>
    </row>
    <row r="2579" customFormat="false" ht="15" hidden="false" customHeight="false" outlineLevel="0" collapsed="false">
      <c r="A2579" s="9" t="s">
        <v>1298</v>
      </c>
      <c r="B2579" s="9" t="s">
        <v>1355</v>
      </c>
      <c r="C2579" s="9" t="n">
        <v>2</v>
      </c>
      <c r="D2579" s="10" t="n">
        <v>0.85</v>
      </c>
      <c r="E2579" s="10" t="n">
        <f aca="false">C2579*D2579</f>
        <v>1.7</v>
      </c>
    </row>
    <row r="2580" customFormat="false" ht="15" hidden="false" customHeight="false" outlineLevel="0" collapsed="false">
      <c r="A2580" s="9" t="s">
        <v>1298</v>
      </c>
      <c r="B2580" s="9" t="s">
        <v>1356</v>
      </c>
      <c r="C2580" s="9" t="n">
        <v>1</v>
      </c>
      <c r="D2580" s="10" t="n">
        <v>5.94</v>
      </c>
      <c r="E2580" s="10" t="n">
        <f aca="false">C2580*D2580</f>
        <v>5.94</v>
      </c>
    </row>
    <row r="2581" customFormat="false" ht="15" hidden="false" customHeight="false" outlineLevel="0" collapsed="false">
      <c r="A2581" s="9" t="s">
        <v>1298</v>
      </c>
      <c r="B2581" s="9" t="s">
        <v>1357</v>
      </c>
      <c r="C2581" s="9" t="n">
        <v>1</v>
      </c>
      <c r="D2581" s="10" t="n">
        <v>2.11</v>
      </c>
      <c r="E2581" s="10" t="n">
        <f aca="false">C2581*D2581</f>
        <v>2.11</v>
      </c>
    </row>
    <row r="2582" customFormat="false" ht="15" hidden="false" customHeight="false" outlineLevel="0" collapsed="false">
      <c r="A2582" s="9" t="s">
        <v>1298</v>
      </c>
      <c r="B2582" s="9" t="s">
        <v>1358</v>
      </c>
      <c r="C2582" s="9" t="n">
        <v>1</v>
      </c>
      <c r="D2582" s="10" t="n">
        <v>2.54</v>
      </c>
      <c r="E2582" s="10" t="n">
        <f aca="false">C2582*D2582</f>
        <v>2.54</v>
      </c>
    </row>
    <row r="2583" customFormat="false" ht="15" hidden="false" customHeight="false" outlineLevel="0" collapsed="false">
      <c r="A2583" s="9" t="s">
        <v>1298</v>
      </c>
      <c r="B2583" s="9" t="s">
        <v>1359</v>
      </c>
      <c r="C2583" s="9" t="n">
        <v>1</v>
      </c>
      <c r="D2583" s="10" t="n">
        <v>2.96</v>
      </c>
      <c r="E2583" s="10" t="n">
        <f aca="false">C2583*D2583</f>
        <v>2.96</v>
      </c>
    </row>
    <row r="2584" customFormat="false" ht="15" hidden="false" customHeight="false" outlineLevel="0" collapsed="false">
      <c r="A2584" s="9" t="s">
        <v>1298</v>
      </c>
      <c r="B2584" s="9" t="s">
        <v>1360</v>
      </c>
      <c r="C2584" s="9" t="n">
        <v>1</v>
      </c>
      <c r="D2584" s="10" t="n">
        <v>10.17</v>
      </c>
      <c r="E2584" s="10" t="n">
        <f aca="false">C2584*D2584</f>
        <v>10.17</v>
      </c>
    </row>
    <row r="2585" customFormat="false" ht="15" hidden="false" customHeight="false" outlineLevel="0" collapsed="false">
      <c r="A2585" s="9" t="s">
        <v>1298</v>
      </c>
      <c r="B2585" s="9" t="s">
        <v>1361</v>
      </c>
      <c r="C2585" s="9" t="n">
        <v>1</v>
      </c>
      <c r="D2585" s="10" t="n">
        <v>2.96</v>
      </c>
      <c r="E2585" s="10" t="n">
        <f aca="false">C2585*D2585</f>
        <v>2.96</v>
      </c>
    </row>
    <row r="2586" customFormat="false" ht="15" hidden="false" customHeight="false" outlineLevel="0" collapsed="false">
      <c r="A2586" s="9" t="s">
        <v>1298</v>
      </c>
      <c r="B2586" s="9" t="s">
        <v>1362</v>
      </c>
      <c r="C2586" s="9" t="n">
        <v>1</v>
      </c>
      <c r="D2586" s="10" t="n">
        <v>5.51</v>
      </c>
      <c r="E2586" s="10" t="n">
        <f aca="false">C2586*D2586</f>
        <v>5.51</v>
      </c>
    </row>
    <row r="2587" customFormat="false" ht="15" hidden="false" customHeight="false" outlineLevel="0" collapsed="false">
      <c r="A2587" s="9" t="s">
        <v>1298</v>
      </c>
      <c r="B2587" s="9" t="s">
        <v>903</v>
      </c>
      <c r="C2587" s="9" t="n">
        <v>1</v>
      </c>
      <c r="D2587" s="10" t="n">
        <v>5.09</v>
      </c>
      <c r="E2587" s="10" t="n">
        <f aca="false">C2587*D2587</f>
        <v>5.09</v>
      </c>
    </row>
    <row r="2588" customFormat="false" ht="15" hidden="false" customHeight="false" outlineLevel="0" collapsed="false">
      <c r="A2588" s="9" t="s">
        <v>1298</v>
      </c>
      <c r="B2588" s="9" t="s">
        <v>1363</v>
      </c>
      <c r="C2588" s="9" t="n">
        <v>2</v>
      </c>
      <c r="D2588" s="10" t="n">
        <v>5.09</v>
      </c>
      <c r="E2588" s="10" t="n">
        <f aca="false">C2588*D2588</f>
        <v>10.18</v>
      </c>
    </row>
    <row r="2589" customFormat="false" ht="15" hidden="false" customHeight="false" outlineLevel="0" collapsed="false">
      <c r="A2589" s="9" t="s">
        <v>1298</v>
      </c>
      <c r="B2589" s="9" t="s">
        <v>1364</v>
      </c>
      <c r="C2589" s="9" t="n">
        <v>1</v>
      </c>
      <c r="D2589" s="10" t="n">
        <v>4.24</v>
      </c>
      <c r="E2589" s="10" t="n">
        <f aca="false">C2589*D2589</f>
        <v>4.24</v>
      </c>
    </row>
    <row r="2590" customFormat="false" ht="15" hidden="false" customHeight="false" outlineLevel="0" collapsed="false">
      <c r="A2590" s="9" t="s">
        <v>1298</v>
      </c>
      <c r="B2590" s="9" t="s">
        <v>1365</v>
      </c>
      <c r="C2590" s="9" t="n">
        <v>1</v>
      </c>
      <c r="D2590" s="10" t="n">
        <v>3.81</v>
      </c>
      <c r="E2590" s="10" t="n">
        <f aca="false">C2590*D2590</f>
        <v>3.81</v>
      </c>
    </row>
    <row r="2591" customFormat="false" ht="15" hidden="false" customHeight="false" outlineLevel="0" collapsed="false">
      <c r="A2591" s="9" t="s">
        <v>1298</v>
      </c>
      <c r="B2591" s="9" t="s">
        <v>1366</v>
      </c>
      <c r="C2591" s="9" t="n">
        <v>1</v>
      </c>
      <c r="D2591" s="10" t="n">
        <v>2.96</v>
      </c>
      <c r="E2591" s="10" t="n">
        <f aca="false">C2591*D2591</f>
        <v>2.96</v>
      </c>
    </row>
    <row r="2592" customFormat="false" ht="15" hidden="false" customHeight="false" outlineLevel="0" collapsed="false">
      <c r="A2592" s="9" t="s">
        <v>1298</v>
      </c>
      <c r="B2592" s="9" t="s">
        <v>1367</v>
      </c>
      <c r="C2592" s="9" t="n">
        <v>1</v>
      </c>
      <c r="D2592" s="10" t="n">
        <v>2.96</v>
      </c>
      <c r="E2592" s="10" t="n">
        <f aca="false">C2592*D2592</f>
        <v>2.96</v>
      </c>
    </row>
    <row r="2593" customFormat="false" ht="15" hidden="false" customHeight="false" outlineLevel="0" collapsed="false">
      <c r="A2593" s="9" t="s">
        <v>1298</v>
      </c>
      <c r="B2593" s="9" t="s">
        <v>1368</v>
      </c>
      <c r="C2593" s="9" t="n">
        <v>1</v>
      </c>
      <c r="D2593" s="10" t="n">
        <v>9.34</v>
      </c>
      <c r="E2593" s="10" t="n">
        <f aca="false">C2593*D2593</f>
        <v>9.34</v>
      </c>
    </row>
    <row r="2594" customFormat="false" ht="15" hidden="false" customHeight="false" outlineLevel="0" collapsed="false">
      <c r="A2594" s="9" t="s">
        <v>1298</v>
      </c>
      <c r="B2594" s="9" t="s">
        <v>1369</v>
      </c>
      <c r="C2594" s="9" t="n">
        <v>1</v>
      </c>
      <c r="D2594" s="10" t="n">
        <v>5.09</v>
      </c>
      <c r="E2594" s="10" t="n">
        <f aca="false">C2594*D2594</f>
        <v>5.09</v>
      </c>
    </row>
    <row r="2595" customFormat="false" ht="15" hidden="false" customHeight="false" outlineLevel="0" collapsed="false">
      <c r="A2595" s="9" t="s">
        <v>1298</v>
      </c>
      <c r="B2595" s="9" t="s">
        <v>596</v>
      </c>
      <c r="C2595" s="9" t="n">
        <v>1</v>
      </c>
      <c r="D2595" s="10" t="n">
        <v>4.24</v>
      </c>
      <c r="E2595" s="10" t="n">
        <f aca="false">C2595*D2595</f>
        <v>4.24</v>
      </c>
    </row>
    <row r="2596" customFormat="false" ht="15" hidden="false" customHeight="false" outlineLevel="0" collapsed="false">
      <c r="A2596" s="9" t="s">
        <v>1298</v>
      </c>
      <c r="B2596" s="9" t="s">
        <v>1370</v>
      </c>
      <c r="C2596" s="9" t="n">
        <v>1</v>
      </c>
      <c r="D2596" s="10" t="n">
        <v>5.09</v>
      </c>
      <c r="E2596" s="10" t="n">
        <f aca="false">C2596*D2596</f>
        <v>5.09</v>
      </c>
    </row>
    <row r="2597" customFormat="false" ht="15" hidden="false" customHeight="false" outlineLevel="0" collapsed="false">
      <c r="A2597" s="9" t="s">
        <v>1298</v>
      </c>
      <c r="B2597" s="9" t="s">
        <v>1371</v>
      </c>
      <c r="C2597" s="9" t="n">
        <v>1</v>
      </c>
      <c r="D2597" s="10" t="n">
        <v>3.81</v>
      </c>
      <c r="E2597" s="10" t="n">
        <f aca="false">C2597*D2597</f>
        <v>3.81</v>
      </c>
    </row>
    <row r="2598" customFormat="false" ht="15" hidden="false" customHeight="false" outlineLevel="0" collapsed="false">
      <c r="A2598" s="9" t="s">
        <v>1298</v>
      </c>
      <c r="B2598" s="9" t="s">
        <v>968</v>
      </c>
      <c r="C2598" s="9" t="n">
        <v>2</v>
      </c>
      <c r="D2598" s="10" t="n">
        <v>2.51</v>
      </c>
      <c r="E2598" s="10" t="n">
        <f aca="false">C2598*D2598</f>
        <v>5.02</v>
      </c>
    </row>
    <row r="2599" customFormat="false" ht="15" hidden="false" customHeight="false" outlineLevel="0" collapsed="false">
      <c r="A2599" s="9" t="s">
        <v>1298</v>
      </c>
      <c r="B2599" s="9" t="s">
        <v>1372</v>
      </c>
      <c r="C2599" s="9" t="n">
        <v>1</v>
      </c>
      <c r="D2599" s="10" t="n">
        <v>10.17</v>
      </c>
      <c r="E2599" s="10" t="n">
        <f aca="false">C2599*D2599</f>
        <v>10.17</v>
      </c>
    </row>
    <row r="2600" customFormat="false" ht="15" hidden="false" customHeight="false" outlineLevel="0" collapsed="false">
      <c r="A2600" s="9" t="s">
        <v>1298</v>
      </c>
      <c r="B2600" s="9" t="s">
        <v>345</v>
      </c>
      <c r="C2600" s="9" t="n">
        <v>1</v>
      </c>
      <c r="D2600" s="10" t="n">
        <v>1.28</v>
      </c>
      <c r="E2600" s="10" t="n">
        <f aca="false">C2600*D2600</f>
        <v>1.28</v>
      </c>
    </row>
    <row r="2601" customFormat="false" ht="15" hidden="false" customHeight="false" outlineLevel="0" collapsed="false">
      <c r="A2601" s="9" t="s">
        <v>1298</v>
      </c>
      <c r="B2601" s="9" t="s">
        <v>977</v>
      </c>
      <c r="C2601" s="9" t="n">
        <v>2</v>
      </c>
      <c r="D2601" s="10" t="n">
        <v>2.51</v>
      </c>
      <c r="E2601" s="10" t="n">
        <f aca="false">C2601*D2601</f>
        <v>5.02</v>
      </c>
    </row>
    <row r="2602" customFormat="false" ht="15" hidden="false" customHeight="false" outlineLevel="0" collapsed="false">
      <c r="A2602" s="9" t="s">
        <v>1298</v>
      </c>
      <c r="B2602" s="9" t="s">
        <v>566</v>
      </c>
      <c r="C2602" s="9" t="n">
        <v>1</v>
      </c>
      <c r="D2602" s="10" t="n">
        <v>2.51</v>
      </c>
      <c r="E2602" s="10" t="n">
        <f aca="false">C2602*D2602</f>
        <v>2.51</v>
      </c>
    </row>
    <row r="2603" customFormat="false" ht="15" hidden="false" customHeight="false" outlineLevel="0" collapsed="false">
      <c r="A2603" s="9" t="s">
        <v>1298</v>
      </c>
      <c r="B2603" s="9" t="s">
        <v>329</v>
      </c>
      <c r="C2603" s="9" t="n">
        <v>3</v>
      </c>
      <c r="D2603" s="10" t="n">
        <v>1.28</v>
      </c>
      <c r="E2603" s="10" t="n">
        <f aca="false">C2603*D2603</f>
        <v>3.84</v>
      </c>
    </row>
    <row r="2604" customFormat="false" ht="15" hidden="false" customHeight="false" outlineLevel="0" collapsed="false">
      <c r="A2604" s="9" t="s">
        <v>1298</v>
      </c>
      <c r="B2604" s="9" t="s">
        <v>1373</v>
      </c>
      <c r="C2604" s="9" t="n">
        <v>1</v>
      </c>
      <c r="D2604" s="10" t="n">
        <v>4.21</v>
      </c>
      <c r="E2604" s="10" t="n">
        <f aca="false">C2604*D2604</f>
        <v>4.21</v>
      </c>
    </row>
    <row r="2605" customFormat="false" ht="15" hidden="false" customHeight="false" outlineLevel="0" collapsed="false">
      <c r="A2605" s="9" t="s">
        <v>1298</v>
      </c>
      <c r="B2605" s="9" t="s">
        <v>1374</v>
      </c>
      <c r="C2605" s="9" t="n">
        <v>2</v>
      </c>
      <c r="D2605" s="10" t="n">
        <v>4.21</v>
      </c>
      <c r="E2605" s="10" t="n">
        <f aca="false">C2605*D2605</f>
        <v>8.42</v>
      </c>
    </row>
    <row r="2606" customFormat="false" ht="15" hidden="false" customHeight="false" outlineLevel="0" collapsed="false">
      <c r="A2606" s="9" t="s">
        <v>1298</v>
      </c>
      <c r="B2606" s="9" t="s">
        <v>976</v>
      </c>
      <c r="C2606" s="9" t="n">
        <v>1</v>
      </c>
      <c r="D2606" s="10" t="n">
        <v>2.51</v>
      </c>
      <c r="E2606" s="10" t="n">
        <f aca="false">C2606*D2606</f>
        <v>2.51</v>
      </c>
    </row>
    <row r="2607" customFormat="false" ht="15" hidden="false" customHeight="false" outlineLevel="0" collapsed="false">
      <c r="A2607" s="9" t="s">
        <v>1298</v>
      </c>
      <c r="B2607" s="9" t="s">
        <v>196</v>
      </c>
      <c r="C2607" s="9" t="n">
        <v>2</v>
      </c>
      <c r="D2607" s="10" t="n">
        <v>10.17</v>
      </c>
      <c r="E2607" s="10" t="n">
        <f aca="false">C2607*D2607</f>
        <v>20.34</v>
      </c>
    </row>
    <row r="2608" customFormat="false" ht="15" hidden="false" customHeight="false" outlineLevel="0" collapsed="false">
      <c r="A2608" s="9" t="s">
        <v>1298</v>
      </c>
      <c r="B2608" s="9" t="s">
        <v>975</v>
      </c>
      <c r="C2608" s="9" t="n">
        <v>1</v>
      </c>
      <c r="D2608" s="10" t="n">
        <v>2.51</v>
      </c>
      <c r="E2608" s="10" t="n">
        <f aca="false">C2608*D2608</f>
        <v>2.51</v>
      </c>
    </row>
    <row r="2609" customFormat="false" ht="15" hidden="false" customHeight="false" outlineLevel="0" collapsed="false">
      <c r="A2609" s="9" t="s">
        <v>1298</v>
      </c>
      <c r="B2609" s="9" t="s">
        <v>1375</v>
      </c>
      <c r="C2609" s="9" t="n">
        <v>1</v>
      </c>
      <c r="D2609" s="10" t="n">
        <v>2.51</v>
      </c>
      <c r="E2609" s="10" t="n">
        <f aca="false">C2609*D2609</f>
        <v>2.51</v>
      </c>
    </row>
    <row r="2610" customFormat="false" ht="15" hidden="false" customHeight="false" outlineLevel="0" collapsed="false">
      <c r="A2610" s="9" t="s">
        <v>1298</v>
      </c>
      <c r="B2610" s="9" t="s">
        <v>41</v>
      </c>
      <c r="C2610" s="9" t="n">
        <v>1</v>
      </c>
      <c r="D2610" s="10" t="n">
        <v>7.62</v>
      </c>
      <c r="E2610" s="10" t="n">
        <f aca="false">C2610*D2610</f>
        <v>7.62</v>
      </c>
    </row>
    <row r="2611" customFormat="false" ht="15" hidden="false" customHeight="false" outlineLevel="0" collapsed="false">
      <c r="A2611" s="9" t="s">
        <v>1298</v>
      </c>
      <c r="B2611" s="9" t="s">
        <v>40</v>
      </c>
      <c r="C2611" s="9" t="n">
        <v>2</v>
      </c>
      <c r="D2611" s="10" t="n">
        <v>7.62</v>
      </c>
      <c r="E2611" s="10" t="n">
        <f aca="false">C2611*D2611</f>
        <v>15.24</v>
      </c>
    </row>
    <row r="2612" customFormat="false" ht="15" hidden="false" customHeight="false" outlineLevel="0" collapsed="false">
      <c r="A2612" s="9" t="s">
        <v>1298</v>
      </c>
      <c r="B2612" s="9" t="s">
        <v>972</v>
      </c>
      <c r="C2612" s="9" t="n">
        <v>1</v>
      </c>
      <c r="D2612" s="10" t="n">
        <v>4.21</v>
      </c>
      <c r="E2612" s="10" t="n">
        <f aca="false">C2612*D2612</f>
        <v>4.21</v>
      </c>
    </row>
    <row r="2613" customFormat="false" ht="15" hidden="false" customHeight="false" outlineLevel="0" collapsed="false">
      <c r="A2613" s="9" t="s">
        <v>1298</v>
      </c>
      <c r="B2613" s="9" t="s">
        <v>971</v>
      </c>
      <c r="C2613" s="9" t="n">
        <v>8</v>
      </c>
      <c r="D2613" s="10" t="n">
        <v>3.36</v>
      </c>
      <c r="E2613" s="10" t="n">
        <f aca="false">C2613*D2613</f>
        <v>26.88</v>
      </c>
    </row>
    <row r="2614" customFormat="false" ht="15" hidden="false" customHeight="false" outlineLevel="0" collapsed="false">
      <c r="A2614" s="9" t="s">
        <v>1298</v>
      </c>
      <c r="B2614" s="9" t="s">
        <v>481</v>
      </c>
      <c r="C2614" s="9" t="n">
        <v>1</v>
      </c>
      <c r="D2614" s="10" t="n">
        <v>3.36</v>
      </c>
      <c r="E2614" s="10" t="n">
        <f aca="false">C2614*D2614</f>
        <v>3.36</v>
      </c>
    </row>
    <row r="2615" customFormat="false" ht="15" hidden="false" customHeight="false" outlineLevel="0" collapsed="false">
      <c r="A2615" s="9" t="s">
        <v>1298</v>
      </c>
      <c r="B2615" s="9" t="s">
        <v>974</v>
      </c>
      <c r="C2615" s="9" t="n">
        <v>3</v>
      </c>
      <c r="D2615" s="10" t="n">
        <v>2.51</v>
      </c>
      <c r="E2615" s="10" t="n">
        <f aca="false">C2615*D2615</f>
        <v>7.53</v>
      </c>
    </row>
    <row r="2616" customFormat="false" ht="15" hidden="false" customHeight="false" outlineLevel="0" collapsed="false">
      <c r="A2616" s="9" t="s">
        <v>1298</v>
      </c>
      <c r="B2616" s="9" t="s">
        <v>1207</v>
      </c>
      <c r="C2616" s="9" t="n">
        <v>1</v>
      </c>
      <c r="D2616" s="10" t="n">
        <v>5.91</v>
      </c>
      <c r="E2616" s="10" t="n">
        <f aca="false">C2616*D2616</f>
        <v>5.91</v>
      </c>
    </row>
    <row r="2617" customFormat="false" ht="15" hidden="false" customHeight="false" outlineLevel="0" collapsed="false">
      <c r="A2617" s="9" t="s">
        <v>1298</v>
      </c>
      <c r="B2617" s="9" t="s">
        <v>1376</v>
      </c>
      <c r="C2617" s="9" t="n">
        <v>1</v>
      </c>
      <c r="D2617" s="10" t="n">
        <v>8.47</v>
      </c>
      <c r="E2617" s="10" t="n">
        <f aca="false">C2617*D2617</f>
        <v>8.47</v>
      </c>
    </row>
    <row r="2618" customFormat="false" ht="15" hidden="false" customHeight="false" outlineLevel="0" collapsed="false">
      <c r="A2618" s="9" t="s">
        <v>1298</v>
      </c>
      <c r="B2618" s="9" t="s">
        <v>838</v>
      </c>
      <c r="C2618" s="9" t="n">
        <v>1</v>
      </c>
      <c r="D2618" s="10" t="n">
        <v>1.66</v>
      </c>
      <c r="E2618" s="10" t="n">
        <f aca="false">C2618*D2618</f>
        <v>1.66</v>
      </c>
    </row>
    <row r="2619" customFormat="false" ht="15" hidden="false" customHeight="false" outlineLevel="0" collapsed="false">
      <c r="A2619" s="9" t="s">
        <v>1298</v>
      </c>
      <c r="B2619" s="9" t="s">
        <v>705</v>
      </c>
      <c r="C2619" s="9" t="n">
        <v>1</v>
      </c>
      <c r="D2619" s="10" t="n">
        <v>4.21</v>
      </c>
      <c r="E2619" s="10" t="n">
        <f aca="false">C2619*D2619</f>
        <v>4.21</v>
      </c>
    </row>
    <row r="2620" customFormat="false" ht="15" hidden="false" customHeight="false" outlineLevel="0" collapsed="false">
      <c r="A2620" s="9" t="s">
        <v>1298</v>
      </c>
      <c r="B2620" s="9" t="s">
        <v>1199</v>
      </c>
      <c r="C2620" s="9" t="n">
        <v>1</v>
      </c>
      <c r="D2620" s="10" t="n">
        <v>14.43</v>
      </c>
      <c r="E2620" s="10" t="n">
        <f aca="false">C2620*D2620</f>
        <v>14.43</v>
      </c>
    </row>
    <row r="2621" customFormat="false" ht="15" hidden="false" customHeight="false" outlineLevel="0" collapsed="false">
      <c r="A2621" s="9" t="s">
        <v>1298</v>
      </c>
      <c r="B2621" s="9" t="s">
        <v>874</v>
      </c>
      <c r="C2621" s="9" t="n">
        <v>1</v>
      </c>
      <c r="D2621" s="10" t="n">
        <v>14.43</v>
      </c>
      <c r="E2621" s="10" t="n">
        <f aca="false">C2621*D2621</f>
        <v>14.43</v>
      </c>
    </row>
    <row r="2622" customFormat="false" ht="15" hidden="false" customHeight="false" outlineLevel="0" collapsed="false">
      <c r="A2622" s="9" t="s">
        <v>1298</v>
      </c>
      <c r="B2622" s="9" t="s">
        <v>48</v>
      </c>
      <c r="C2622" s="9" t="n">
        <v>1</v>
      </c>
      <c r="D2622" s="10" t="n">
        <v>14.43</v>
      </c>
      <c r="E2622" s="10" t="n">
        <f aca="false">C2622*D2622</f>
        <v>14.43</v>
      </c>
    </row>
    <row r="2623" customFormat="false" ht="15" hidden="false" customHeight="false" outlineLevel="0" collapsed="false">
      <c r="A2623" s="9" t="s">
        <v>1298</v>
      </c>
      <c r="B2623" s="9" t="s">
        <v>389</v>
      </c>
      <c r="C2623" s="9" t="n">
        <v>1</v>
      </c>
      <c r="D2623" s="10" t="n">
        <v>14.43</v>
      </c>
      <c r="E2623" s="10" t="n">
        <f aca="false">C2623*D2623</f>
        <v>14.43</v>
      </c>
    </row>
    <row r="2624" customFormat="false" ht="15" hidden="false" customHeight="false" outlineLevel="0" collapsed="false">
      <c r="A2624" s="9" t="s">
        <v>1298</v>
      </c>
      <c r="B2624" s="9" t="s">
        <v>1190</v>
      </c>
      <c r="C2624" s="9" t="n">
        <v>1</v>
      </c>
      <c r="D2624" s="10" t="n">
        <v>1.66</v>
      </c>
      <c r="E2624" s="10" t="n">
        <f aca="false">C2624*D2624</f>
        <v>1.66</v>
      </c>
    </row>
    <row r="2625" customFormat="false" ht="15" hidden="false" customHeight="false" outlineLevel="0" collapsed="false">
      <c r="A2625" s="9" t="s">
        <v>1298</v>
      </c>
      <c r="B2625" s="9" t="s">
        <v>1193</v>
      </c>
      <c r="C2625" s="9" t="n">
        <v>1</v>
      </c>
      <c r="D2625" s="10" t="n">
        <v>1.66</v>
      </c>
      <c r="E2625" s="10" t="n">
        <f aca="false">C2625*D2625</f>
        <v>1.66</v>
      </c>
    </row>
    <row r="2626" customFormat="false" ht="15" hidden="false" customHeight="false" outlineLevel="0" collapsed="false">
      <c r="A2626" s="9" t="s">
        <v>1298</v>
      </c>
      <c r="B2626" s="9" t="s">
        <v>1377</v>
      </c>
      <c r="C2626" s="9" t="n">
        <v>2</v>
      </c>
      <c r="D2626" s="10" t="n">
        <v>3.36</v>
      </c>
      <c r="E2626" s="10" t="n">
        <f aca="false">C2626*D2626</f>
        <v>6.72</v>
      </c>
    </row>
    <row r="2627" customFormat="false" ht="15" hidden="false" customHeight="false" outlineLevel="0" collapsed="false">
      <c r="A2627" s="9" t="s">
        <v>1298</v>
      </c>
      <c r="B2627" s="9" t="s">
        <v>623</v>
      </c>
      <c r="C2627" s="9" t="n">
        <v>1</v>
      </c>
      <c r="D2627" s="10" t="n">
        <v>3.36</v>
      </c>
      <c r="E2627" s="10" t="n">
        <f aca="false">C2627*D2627</f>
        <v>3.36</v>
      </c>
    </row>
    <row r="2628" customFormat="false" ht="15" hidden="false" customHeight="false" outlineLevel="0" collapsed="false">
      <c r="A2628" s="9" t="s">
        <v>1298</v>
      </c>
      <c r="B2628" s="9" t="s">
        <v>1281</v>
      </c>
      <c r="C2628" s="9" t="n">
        <v>1</v>
      </c>
      <c r="D2628" s="10" t="n">
        <v>6.77</v>
      </c>
      <c r="E2628" s="10" t="n">
        <f aca="false">C2628*D2628</f>
        <v>6.77</v>
      </c>
    </row>
    <row r="2629" customFormat="false" ht="15" hidden="false" customHeight="false" outlineLevel="0" collapsed="false">
      <c r="A2629" s="9" t="s">
        <v>1298</v>
      </c>
      <c r="B2629" s="9" t="s">
        <v>1378</v>
      </c>
      <c r="C2629" s="9" t="n">
        <v>2</v>
      </c>
      <c r="D2629" s="10" t="n">
        <v>1.49</v>
      </c>
      <c r="E2629" s="10" t="n">
        <f aca="false">C2629*D2629</f>
        <v>2.98</v>
      </c>
    </row>
    <row r="2630" customFormat="false" ht="15" hidden="false" customHeight="false" outlineLevel="0" collapsed="false">
      <c r="A2630" s="9" t="s">
        <v>1298</v>
      </c>
      <c r="B2630" s="9" t="s">
        <v>1379</v>
      </c>
      <c r="C2630" s="9" t="n">
        <v>1</v>
      </c>
      <c r="D2630" s="10" t="n">
        <v>1.66</v>
      </c>
      <c r="E2630" s="10" t="n">
        <f aca="false">C2630*D2630</f>
        <v>1.66</v>
      </c>
    </row>
    <row r="2631" customFormat="false" ht="15" hidden="false" customHeight="false" outlineLevel="0" collapsed="false">
      <c r="A2631" s="9" t="s">
        <v>1298</v>
      </c>
      <c r="B2631" s="9" t="s">
        <v>870</v>
      </c>
      <c r="C2631" s="9" t="n">
        <v>3</v>
      </c>
      <c r="D2631" s="10" t="n">
        <v>2.82</v>
      </c>
      <c r="E2631" s="10" t="n">
        <f aca="false">C2631*D2631</f>
        <v>8.46</v>
      </c>
    </row>
    <row r="2632" customFormat="false" ht="15" hidden="false" customHeight="false" outlineLevel="0" collapsed="false">
      <c r="A2632" s="9" t="s">
        <v>1298</v>
      </c>
      <c r="B2632" s="9" t="s">
        <v>960</v>
      </c>
      <c r="C2632" s="9" t="n">
        <v>1</v>
      </c>
      <c r="D2632" s="10" t="n">
        <v>8.47</v>
      </c>
      <c r="E2632" s="10" t="n">
        <f aca="false">C2632*D2632</f>
        <v>8.47</v>
      </c>
    </row>
    <row r="2633" customFormat="false" ht="15" hidden="false" customHeight="false" outlineLevel="0" collapsed="false">
      <c r="A2633" s="9" t="s">
        <v>1298</v>
      </c>
      <c r="B2633" s="9" t="s">
        <v>962</v>
      </c>
      <c r="C2633" s="9" t="n">
        <v>5</v>
      </c>
      <c r="D2633" s="10" t="n">
        <v>2.51</v>
      </c>
      <c r="E2633" s="10" t="n">
        <f aca="false">C2633*D2633</f>
        <v>12.55</v>
      </c>
    </row>
    <row r="2634" customFormat="false" ht="15" hidden="false" customHeight="false" outlineLevel="0" collapsed="false">
      <c r="A2634" s="9" t="s">
        <v>1298</v>
      </c>
      <c r="B2634" s="9" t="s">
        <v>970</v>
      </c>
      <c r="C2634" s="9" t="n">
        <v>1</v>
      </c>
      <c r="D2634" s="10" t="n">
        <v>4.21</v>
      </c>
      <c r="E2634" s="10" t="n">
        <f aca="false">C2634*D2634</f>
        <v>4.21</v>
      </c>
    </row>
    <row r="2635" customFormat="false" ht="15" hidden="false" customHeight="false" outlineLevel="0" collapsed="false">
      <c r="A2635" s="9" t="s">
        <v>1298</v>
      </c>
      <c r="B2635" s="9" t="s">
        <v>969</v>
      </c>
      <c r="C2635" s="9" t="n">
        <v>1</v>
      </c>
      <c r="D2635" s="10" t="n">
        <v>8.47</v>
      </c>
      <c r="E2635" s="10" t="n">
        <f aca="false">C2635*D2635</f>
        <v>8.47</v>
      </c>
    </row>
    <row r="2636" customFormat="false" ht="15" hidden="false" customHeight="false" outlineLevel="0" collapsed="false">
      <c r="A2636" s="9" t="s">
        <v>1298</v>
      </c>
      <c r="B2636" s="9" t="s">
        <v>375</v>
      </c>
      <c r="C2636" s="9" t="n">
        <v>1</v>
      </c>
      <c r="D2636" s="10" t="n">
        <v>5.06</v>
      </c>
      <c r="E2636" s="10" t="n">
        <f aca="false">C2636*D2636</f>
        <v>5.06</v>
      </c>
    </row>
    <row r="2637" customFormat="false" ht="15" hidden="false" customHeight="false" outlineLevel="0" collapsed="false">
      <c r="A2637" s="9" t="s">
        <v>1298</v>
      </c>
      <c r="B2637" s="9" t="s">
        <v>388</v>
      </c>
      <c r="C2637" s="9" t="n">
        <v>1</v>
      </c>
      <c r="D2637" s="10" t="n">
        <v>4.21</v>
      </c>
      <c r="E2637" s="10" t="n">
        <f aca="false">C2637*D2637</f>
        <v>4.21</v>
      </c>
    </row>
    <row r="2638" customFormat="false" ht="15" hidden="false" customHeight="false" outlineLevel="0" collapsed="false">
      <c r="A2638" s="9" t="s">
        <v>1298</v>
      </c>
      <c r="B2638" s="9" t="s">
        <v>135</v>
      </c>
      <c r="C2638" s="9" t="n">
        <v>1</v>
      </c>
      <c r="D2638" s="10" t="n">
        <v>1.66</v>
      </c>
      <c r="E2638" s="10" t="n">
        <f aca="false">C2638*D2638</f>
        <v>1.66</v>
      </c>
    </row>
    <row r="2639" customFormat="false" ht="15" hidden="false" customHeight="false" outlineLevel="0" collapsed="false">
      <c r="A2639" s="9" t="s">
        <v>1298</v>
      </c>
      <c r="B2639" s="9" t="s">
        <v>1380</v>
      </c>
      <c r="C2639" s="9" t="n">
        <v>1</v>
      </c>
      <c r="D2639" s="10" t="n">
        <v>11.87</v>
      </c>
      <c r="E2639" s="10" t="n">
        <f aca="false">C2639*D2639</f>
        <v>11.87</v>
      </c>
    </row>
    <row r="2640" customFormat="false" ht="15" hidden="false" customHeight="false" outlineLevel="0" collapsed="false">
      <c r="A2640" s="9" t="s">
        <v>1298</v>
      </c>
      <c r="B2640" s="9" t="s">
        <v>59</v>
      </c>
      <c r="C2640" s="9" t="n">
        <v>8</v>
      </c>
      <c r="D2640" s="10" t="n">
        <v>3.19</v>
      </c>
      <c r="E2640" s="10" t="n">
        <f aca="false">C2640*D2640</f>
        <v>25.52</v>
      </c>
    </row>
    <row r="2641" customFormat="false" ht="15" hidden="false" customHeight="false" outlineLevel="0" collapsed="false">
      <c r="A2641" s="9" t="s">
        <v>1298</v>
      </c>
      <c r="B2641" s="9" t="s">
        <v>923</v>
      </c>
      <c r="C2641" s="9" t="n">
        <v>1</v>
      </c>
      <c r="D2641" s="10" t="n">
        <v>3.36</v>
      </c>
      <c r="E2641" s="10" t="n">
        <f aca="false">C2641*D2641</f>
        <v>3.36</v>
      </c>
    </row>
    <row r="2642" customFormat="false" ht="15" hidden="false" customHeight="false" outlineLevel="0" collapsed="false">
      <c r="A2642" s="9" t="s">
        <v>1298</v>
      </c>
      <c r="B2642" s="9" t="s">
        <v>916</v>
      </c>
      <c r="C2642" s="9" t="n">
        <v>2</v>
      </c>
      <c r="D2642" s="10" t="n">
        <v>3.36</v>
      </c>
      <c r="E2642" s="10" t="n">
        <f aca="false">C2642*D2642</f>
        <v>6.72</v>
      </c>
    </row>
    <row r="2643" customFormat="false" ht="15" hidden="false" customHeight="false" outlineLevel="0" collapsed="false">
      <c r="A2643" s="9" t="s">
        <v>1298</v>
      </c>
      <c r="B2643" s="9" t="s">
        <v>1381</v>
      </c>
      <c r="C2643" s="9" t="n">
        <v>2</v>
      </c>
      <c r="D2643" s="10" t="n">
        <v>4.21</v>
      </c>
      <c r="E2643" s="10" t="n">
        <f aca="false">C2643*D2643</f>
        <v>8.42</v>
      </c>
    </row>
    <row r="2644" customFormat="false" ht="15" hidden="false" customHeight="false" outlineLevel="0" collapsed="false">
      <c r="A2644" s="9" t="s">
        <v>1298</v>
      </c>
      <c r="B2644" s="9" t="s">
        <v>921</v>
      </c>
      <c r="C2644" s="9" t="n">
        <v>1</v>
      </c>
      <c r="D2644" s="10" t="n">
        <v>4.21</v>
      </c>
      <c r="E2644" s="10" t="n">
        <f aca="false">C2644*D2644</f>
        <v>4.21</v>
      </c>
    </row>
    <row r="2645" customFormat="false" ht="15" hidden="false" customHeight="false" outlineLevel="0" collapsed="false">
      <c r="A2645" s="9" t="s">
        <v>1298</v>
      </c>
      <c r="B2645" s="9" t="s">
        <v>920</v>
      </c>
      <c r="C2645" s="9" t="n">
        <v>28</v>
      </c>
      <c r="D2645" s="10" t="n">
        <v>2.51</v>
      </c>
      <c r="E2645" s="10" t="n">
        <f aca="false">C2645*D2645</f>
        <v>70.28</v>
      </c>
    </row>
    <row r="2646" customFormat="false" ht="15" hidden="false" customHeight="false" outlineLevel="0" collapsed="false">
      <c r="A2646" s="9" t="s">
        <v>1298</v>
      </c>
      <c r="B2646" s="9" t="s">
        <v>1382</v>
      </c>
      <c r="C2646" s="9" t="n">
        <v>18</v>
      </c>
      <c r="D2646" s="10" t="n">
        <v>0.99</v>
      </c>
      <c r="E2646" s="10" t="n">
        <f aca="false">C2646*D2646</f>
        <v>17.82</v>
      </c>
    </row>
    <row r="2647" customFormat="false" ht="15" hidden="false" customHeight="false" outlineLevel="0" collapsed="false">
      <c r="A2647" s="9" t="s">
        <v>1298</v>
      </c>
      <c r="B2647" s="9" t="s">
        <v>56</v>
      </c>
      <c r="C2647" s="9" t="n">
        <v>1</v>
      </c>
      <c r="D2647" s="10" t="n">
        <v>8.47</v>
      </c>
      <c r="E2647" s="10" t="n">
        <f aca="false">C2647*D2647</f>
        <v>8.47</v>
      </c>
    </row>
    <row r="2648" customFormat="false" ht="15" hidden="false" customHeight="false" outlineLevel="0" collapsed="false">
      <c r="A2648" s="9" t="s">
        <v>1298</v>
      </c>
      <c r="B2648" s="9" t="s">
        <v>394</v>
      </c>
      <c r="C2648" s="9" t="n">
        <v>3</v>
      </c>
      <c r="D2648" s="10" t="n">
        <v>2.13</v>
      </c>
      <c r="E2648" s="10" t="n">
        <f aca="false">C2648*D2648</f>
        <v>6.39</v>
      </c>
    </row>
    <row r="2649" customFormat="false" ht="15" hidden="false" customHeight="false" outlineLevel="0" collapsed="false">
      <c r="A2649" s="9" t="s">
        <v>1298</v>
      </c>
      <c r="B2649" s="9" t="s">
        <v>226</v>
      </c>
      <c r="C2649" s="9" t="n">
        <v>1</v>
      </c>
      <c r="D2649" s="10" t="n">
        <v>2.13</v>
      </c>
      <c r="E2649" s="10" t="n">
        <f aca="false">C2649*D2649</f>
        <v>2.13</v>
      </c>
    </row>
    <row r="2650" customFormat="false" ht="15" hidden="false" customHeight="false" outlineLevel="0" collapsed="false">
      <c r="A2650" s="9" t="s">
        <v>1298</v>
      </c>
      <c r="B2650" s="9" t="s">
        <v>143</v>
      </c>
      <c r="C2650" s="9" t="n">
        <v>3</v>
      </c>
      <c r="D2650" s="10" t="n">
        <v>1.66</v>
      </c>
      <c r="E2650" s="10" t="n">
        <f aca="false">C2650*D2650</f>
        <v>4.98</v>
      </c>
    </row>
    <row r="2651" customFormat="false" ht="15" hidden="false" customHeight="false" outlineLevel="0" collapsed="false">
      <c r="A2651" s="9" t="s">
        <v>1298</v>
      </c>
      <c r="B2651" s="9" t="s">
        <v>1383</v>
      </c>
      <c r="C2651" s="9" t="n">
        <v>1</v>
      </c>
      <c r="D2651" s="10" t="n">
        <v>3.36</v>
      </c>
      <c r="E2651" s="10" t="n">
        <f aca="false">C2651*D2651</f>
        <v>3.36</v>
      </c>
    </row>
    <row r="2652" customFormat="false" ht="15" hidden="false" customHeight="false" outlineLevel="0" collapsed="false">
      <c r="A2652" s="9" t="s">
        <v>1298</v>
      </c>
      <c r="B2652" s="9" t="s">
        <v>919</v>
      </c>
      <c r="C2652" s="9" t="n">
        <v>5</v>
      </c>
      <c r="D2652" s="10" t="n">
        <v>2.98</v>
      </c>
      <c r="E2652" s="10" t="n">
        <f aca="false">C2652*D2652</f>
        <v>14.9</v>
      </c>
    </row>
    <row r="2653" customFormat="false" ht="15" hidden="false" customHeight="false" outlineLevel="0" collapsed="false">
      <c r="A2653" s="9" t="s">
        <v>1298</v>
      </c>
      <c r="B2653" s="9" t="s">
        <v>1384</v>
      </c>
      <c r="C2653" s="9" t="n">
        <v>2</v>
      </c>
      <c r="D2653" s="10" t="n">
        <v>2.51</v>
      </c>
      <c r="E2653" s="10" t="n">
        <f aca="false">C2653*D2653</f>
        <v>5.02</v>
      </c>
    </row>
    <row r="2654" customFormat="false" ht="15" hidden="false" customHeight="false" outlineLevel="0" collapsed="false">
      <c r="A2654" s="9" t="s">
        <v>1298</v>
      </c>
      <c r="B2654" s="9" t="s">
        <v>944</v>
      </c>
      <c r="C2654" s="9" t="n">
        <v>3</v>
      </c>
      <c r="D2654" s="10" t="n">
        <v>0.85</v>
      </c>
      <c r="E2654" s="10" t="n">
        <f aca="false">C2654*D2654</f>
        <v>2.55</v>
      </c>
    </row>
    <row r="2655" customFormat="false" ht="15" hidden="false" customHeight="false" outlineLevel="0" collapsed="false">
      <c r="A2655" s="9" t="s">
        <v>1298</v>
      </c>
      <c r="B2655" s="9" t="s">
        <v>183</v>
      </c>
      <c r="C2655" s="9" t="n">
        <v>4</v>
      </c>
      <c r="D2655" s="10" t="n">
        <v>1.27</v>
      </c>
      <c r="E2655" s="10" t="n">
        <f aca="false">C2655*D2655</f>
        <v>5.08</v>
      </c>
    </row>
    <row r="2656" customFormat="false" ht="15" hidden="false" customHeight="false" outlineLevel="0" collapsed="false">
      <c r="A2656" s="9" t="s">
        <v>1298</v>
      </c>
      <c r="B2656" s="9" t="s">
        <v>813</v>
      </c>
      <c r="C2656" s="9" t="n">
        <v>3</v>
      </c>
      <c r="D2656" s="10" t="n">
        <v>0.85</v>
      </c>
      <c r="E2656" s="10" t="n">
        <f aca="false">C2656*D2656</f>
        <v>2.55</v>
      </c>
    </row>
    <row r="2657" customFormat="false" ht="15" hidden="false" customHeight="false" outlineLevel="0" collapsed="false">
      <c r="A2657" s="9" t="s">
        <v>1298</v>
      </c>
      <c r="B2657" s="9" t="s">
        <v>349</v>
      </c>
      <c r="C2657" s="9" t="n">
        <v>1</v>
      </c>
      <c r="D2657" s="10" t="n">
        <v>2.51</v>
      </c>
      <c r="E2657" s="10" t="n">
        <f aca="false">C2657*D2657</f>
        <v>2.51</v>
      </c>
    </row>
    <row r="2658" customFormat="false" ht="15" hidden="false" customHeight="false" outlineLevel="0" collapsed="false">
      <c r="A2658" s="9" t="s">
        <v>1298</v>
      </c>
      <c r="B2658" s="9" t="s">
        <v>350</v>
      </c>
      <c r="C2658" s="9" t="n">
        <v>1</v>
      </c>
      <c r="D2658" s="10" t="n">
        <v>2.51</v>
      </c>
      <c r="E2658" s="10" t="n">
        <f aca="false">C2658*D2658</f>
        <v>2.51</v>
      </c>
    </row>
    <row r="2659" customFormat="false" ht="15" hidden="false" customHeight="false" outlineLevel="0" collapsed="false">
      <c r="A2659" s="9" t="s">
        <v>1298</v>
      </c>
      <c r="B2659" s="9" t="s">
        <v>1385</v>
      </c>
      <c r="C2659" s="9" t="n">
        <v>1</v>
      </c>
      <c r="D2659" s="10" t="n">
        <v>3.36</v>
      </c>
      <c r="E2659" s="10" t="n">
        <f aca="false">C2659*D2659</f>
        <v>3.36</v>
      </c>
    </row>
    <row r="2660" customFormat="false" ht="15" hidden="false" customHeight="false" outlineLevel="0" collapsed="false">
      <c r="A2660" s="9" t="s">
        <v>1298</v>
      </c>
      <c r="B2660" s="9" t="s">
        <v>319</v>
      </c>
      <c r="C2660" s="9" t="n">
        <v>2</v>
      </c>
      <c r="D2660" s="10" t="n">
        <v>7.62</v>
      </c>
      <c r="E2660" s="10" t="n">
        <f aca="false">C2660*D2660</f>
        <v>15.24</v>
      </c>
    </row>
    <row r="2661" customFormat="false" ht="15" hidden="false" customHeight="false" outlineLevel="0" collapsed="false">
      <c r="A2661" s="9" t="s">
        <v>1298</v>
      </c>
      <c r="B2661" s="9" t="s">
        <v>320</v>
      </c>
      <c r="C2661" s="9" t="n">
        <v>2</v>
      </c>
      <c r="D2661" s="10" t="n">
        <v>2.51</v>
      </c>
      <c r="E2661" s="10" t="n">
        <f aca="false">C2661*D2661</f>
        <v>5.02</v>
      </c>
    </row>
    <row r="2662" customFormat="false" ht="15" hidden="false" customHeight="false" outlineLevel="0" collapsed="false">
      <c r="A2662" s="9" t="s">
        <v>1298</v>
      </c>
      <c r="B2662" s="9" t="s">
        <v>1386</v>
      </c>
      <c r="C2662" s="9" t="n">
        <v>2</v>
      </c>
      <c r="D2662" s="10" t="n">
        <v>1.66</v>
      </c>
      <c r="E2662" s="10" t="n">
        <f aca="false">C2662*D2662</f>
        <v>3.32</v>
      </c>
    </row>
    <row r="2663" customFormat="false" ht="15" hidden="false" customHeight="false" outlineLevel="0" collapsed="false">
      <c r="A2663" s="9" t="s">
        <v>1298</v>
      </c>
      <c r="B2663" s="9" t="s">
        <v>928</v>
      </c>
      <c r="C2663" s="9" t="n">
        <v>1</v>
      </c>
      <c r="D2663" s="10" t="n">
        <v>0.85</v>
      </c>
      <c r="E2663" s="10" t="n">
        <f aca="false">C2663*D2663</f>
        <v>0.85</v>
      </c>
    </row>
    <row r="2664" customFormat="false" ht="15" hidden="false" customHeight="false" outlineLevel="0" collapsed="false">
      <c r="A2664" s="9" t="s">
        <v>1298</v>
      </c>
      <c r="B2664" s="9" t="s">
        <v>927</v>
      </c>
      <c r="C2664" s="9" t="n">
        <v>1</v>
      </c>
      <c r="D2664" s="10" t="n">
        <v>0.85</v>
      </c>
      <c r="E2664" s="10" t="n">
        <f aca="false">C2664*D2664</f>
        <v>0.85</v>
      </c>
    </row>
    <row r="2665" customFormat="false" ht="15" hidden="false" customHeight="false" outlineLevel="0" collapsed="false">
      <c r="A2665" s="9" t="s">
        <v>1298</v>
      </c>
      <c r="B2665" s="9" t="s">
        <v>1387</v>
      </c>
      <c r="C2665" s="9" t="n">
        <v>1</v>
      </c>
      <c r="D2665" s="10" t="n">
        <v>1.69</v>
      </c>
      <c r="E2665" s="10" t="n">
        <f aca="false">C2665*D2665</f>
        <v>1.69</v>
      </c>
    </row>
    <row r="2666" customFormat="false" ht="15" hidden="false" customHeight="false" outlineLevel="0" collapsed="false">
      <c r="A2666" s="9" t="s">
        <v>1298</v>
      </c>
      <c r="B2666" s="9" t="s">
        <v>1388</v>
      </c>
      <c r="C2666" s="9" t="n">
        <v>1</v>
      </c>
      <c r="D2666" s="10" t="n">
        <v>1.69</v>
      </c>
      <c r="E2666" s="10" t="n">
        <f aca="false">C2666*D2666</f>
        <v>1.69</v>
      </c>
    </row>
    <row r="2667" customFormat="false" ht="15" hidden="false" customHeight="false" outlineLevel="0" collapsed="false">
      <c r="A2667" s="9" t="s">
        <v>1298</v>
      </c>
      <c r="B2667" s="9" t="s">
        <v>926</v>
      </c>
      <c r="C2667" s="9" t="n">
        <v>2</v>
      </c>
      <c r="D2667" s="10" t="n">
        <v>4.21</v>
      </c>
      <c r="E2667" s="10" t="n">
        <f aca="false">C2667*D2667</f>
        <v>8.42</v>
      </c>
    </row>
    <row r="2668" customFormat="false" ht="15" hidden="false" customHeight="false" outlineLevel="0" collapsed="false">
      <c r="A2668" s="9" t="s">
        <v>1298</v>
      </c>
      <c r="B2668" s="9" t="s">
        <v>1389</v>
      </c>
      <c r="C2668" s="9" t="n">
        <v>1</v>
      </c>
      <c r="D2668" s="10" t="n">
        <v>2.51</v>
      </c>
      <c r="E2668" s="10" t="n">
        <f aca="false">C2668*D2668</f>
        <v>2.51</v>
      </c>
    </row>
    <row r="2669" customFormat="false" ht="15" hidden="false" customHeight="false" outlineLevel="0" collapsed="false">
      <c r="A2669" s="9" t="s">
        <v>1298</v>
      </c>
      <c r="B2669" s="9" t="s">
        <v>1390</v>
      </c>
      <c r="C2669" s="9" t="n">
        <v>1</v>
      </c>
      <c r="D2669" s="10" t="n">
        <v>16.98</v>
      </c>
      <c r="E2669" s="10" t="n">
        <f aca="false">C2669*D2669</f>
        <v>16.98</v>
      </c>
    </row>
    <row r="2670" customFormat="false" ht="15" hidden="false" customHeight="false" outlineLevel="0" collapsed="false">
      <c r="A2670" s="9" t="s">
        <v>1298</v>
      </c>
      <c r="B2670" s="9" t="s">
        <v>1391</v>
      </c>
      <c r="C2670" s="9" t="n">
        <v>3</v>
      </c>
      <c r="D2670" s="10" t="n">
        <v>2.51</v>
      </c>
      <c r="E2670" s="10" t="n">
        <f aca="false">C2670*D2670</f>
        <v>7.53</v>
      </c>
    </row>
    <row r="2671" customFormat="false" ht="15" hidden="false" customHeight="false" outlineLevel="0" collapsed="false">
      <c r="A2671" s="9" t="s">
        <v>1298</v>
      </c>
      <c r="B2671" s="9" t="s">
        <v>1392</v>
      </c>
      <c r="C2671" s="9" t="n">
        <v>1</v>
      </c>
      <c r="D2671" s="10" t="n">
        <v>5.91</v>
      </c>
      <c r="E2671" s="10" t="n">
        <f aca="false">C2671*D2671</f>
        <v>5.91</v>
      </c>
    </row>
    <row r="2672" customFormat="false" ht="15" hidden="false" customHeight="false" outlineLevel="0" collapsed="false">
      <c r="A2672" s="9" t="s">
        <v>1298</v>
      </c>
      <c r="B2672" s="9" t="s">
        <v>539</v>
      </c>
      <c r="C2672" s="9" t="n">
        <v>1</v>
      </c>
      <c r="D2672" s="10" t="n">
        <v>2.51</v>
      </c>
      <c r="E2672" s="10" t="n">
        <f aca="false">C2672*D2672</f>
        <v>2.51</v>
      </c>
    </row>
    <row r="2673" customFormat="false" ht="15" hidden="false" customHeight="false" outlineLevel="0" collapsed="false">
      <c r="A2673" s="9" t="s">
        <v>1298</v>
      </c>
      <c r="B2673" s="9" t="s">
        <v>494</v>
      </c>
      <c r="C2673" s="9" t="n">
        <v>1</v>
      </c>
      <c r="D2673" s="10" t="n">
        <v>11.87</v>
      </c>
      <c r="E2673" s="10" t="n">
        <f aca="false">C2673*D2673</f>
        <v>11.87</v>
      </c>
    </row>
    <row r="2674" customFormat="false" ht="15" hidden="false" customHeight="false" outlineLevel="0" collapsed="false">
      <c r="A2674" s="9" t="s">
        <v>1298</v>
      </c>
      <c r="B2674" s="9" t="s">
        <v>1393</v>
      </c>
      <c r="C2674" s="9" t="n">
        <v>1</v>
      </c>
      <c r="D2674" s="10" t="n">
        <v>13.57</v>
      </c>
      <c r="E2674" s="10" t="n">
        <f aca="false">C2674*D2674</f>
        <v>13.57</v>
      </c>
    </row>
    <row r="2675" customFormat="false" ht="15" hidden="false" customHeight="false" outlineLevel="0" collapsed="false">
      <c r="A2675" s="9" t="s">
        <v>1298</v>
      </c>
      <c r="B2675" s="9" t="s">
        <v>451</v>
      </c>
      <c r="C2675" s="9" t="n">
        <v>1</v>
      </c>
      <c r="D2675" s="10" t="n">
        <v>7.62</v>
      </c>
      <c r="E2675" s="10" t="n">
        <f aca="false">C2675*D2675</f>
        <v>7.62</v>
      </c>
    </row>
    <row r="2676" customFormat="false" ht="15" hidden="false" customHeight="false" outlineLevel="0" collapsed="false">
      <c r="A2676" s="9" t="s">
        <v>1298</v>
      </c>
      <c r="B2676" s="9" t="s">
        <v>262</v>
      </c>
      <c r="C2676" s="9" t="n">
        <v>2</v>
      </c>
      <c r="D2676" s="10" t="n">
        <v>7.62</v>
      </c>
      <c r="E2676" s="10" t="n">
        <f aca="false">C2676*D2676</f>
        <v>15.24</v>
      </c>
    </row>
    <row r="2677" customFormat="false" ht="15" hidden="false" customHeight="false" outlineLevel="0" collapsed="false">
      <c r="A2677" s="9" t="s">
        <v>1298</v>
      </c>
      <c r="B2677" s="9" t="s">
        <v>673</v>
      </c>
      <c r="C2677" s="9" t="n">
        <v>7</v>
      </c>
      <c r="D2677" s="10" t="n">
        <v>4.21</v>
      </c>
      <c r="E2677" s="10" t="n">
        <f aca="false">C2677*D2677</f>
        <v>29.47</v>
      </c>
    </row>
    <row r="2678" customFormat="false" ht="15" hidden="false" customHeight="false" outlineLevel="0" collapsed="false">
      <c r="A2678" s="9" t="s">
        <v>1298</v>
      </c>
      <c r="B2678" s="9" t="s">
        <v>636</v>
      </c>
      <c r="C2678" s="9" t="n">
        <v>1</v>
      </c>
      <c r="D2678" s="10" t="n">
        <v>8.47</v>
      </c>
      <c r="E2678" s="10" t="n">
        <f aca="false">C2678*D2678</f>
        <v>8.47</v>
      </c>
    </row>
    <row r="2679" customFormat="false" ht="15" hidden="false" customHeight="false" outlineLevel="0" collapsed="false">
      <c r="A2679" s="9" t="s">
        <v>1298</v>
      </c>
      <c r="B2679" s="9" t="s">
        <v>511</v>
      </c>
      <c r="C2679" s="9" t="n">
        <v>2</v>
      </c>
      <c r="D2679" s="10" t="n">
        <v>5.06</v>
      </c>
      <c r="E2679" s="10" t="n">
        <f aca="false">C2679*D2679</f>
        <v>10.12</v>
      </c>
    </row>
    <row r="2680" customFormat="false" ht="15" hidden="false" customHeight="false" outlineLevel="0" collapsed="false">
      <c r="A2680" s="9" t="s">
        <v>1298</v>
      </c>
      <c r="B2680" s="9" t="s">
        <v>789</v>
      </c>
      <c r="C2680" s="9" t="n">
        <v>1</v>
      </c>
      <c r="D2680" s="10" t="n">
        <v>0.85</v>
      </c>
      <c r="E2680" s="10" t="n">
        <f aca="false">C2680*D2680</f>
        <v>0.85</v>
      </c>
    </row>
    <row r="2681" customFormat="false" ht="15" hidden="false" customHeight="false" outlineLevel="0" collapsed="false">
      <c r="A2681" s="9" t="s">
        <v>1298</v>
      </c>
      <c r="B2681" s="9" t="s">
        <v>823</v>
      </c>
      <c r="C2681" s="9" t="n">
        <v>1</v>
      </c>
      <c r="D2681" s="10" t="n">
        <v>0.85</v>
      </c>
      <c r="E2681" s="10" t="n">
        <f aca="false">C2681*D2681</f>
        <v>0.85</v>
      </c>
    </row>
    <row r="2682" customFormat="false" ht="15" hidden="false" customHeight="false" outlineLevel="0" collapsed="false">
      <c r="A2682" s="9" t="s">
        <v>1298</v>
      </c>
      <c r="B2682" s="9" t="s">
        <v>523</v>
      </c>
      <c r="C2682" s="9" t="n">
        <v>3</v>
      </c>
      <c r="D2682" s="10" t="n">
        <v>5.91</v>
      </c>
      <c r="E2682" s="10" t="n">
        <f aca="false">C2682*D2682</f>
        <v>17.73</v>
      </c>
    </row>
    <row r="2683" customFormat="false" ht="15" hidden="false" customHeight="false" outlineLevel="0" collapsed="false">
      <c r="A2683" s="9" t="s">
        <v>1298</v>
      </c>
      <c r="B2683" s="9" t="s">
        <v>863</v>
      </c>
      <c r="C2683" s="9" t="n">
        <v>1</v>
      </c>
      <c r="D2683" s="10" t="n">
        <v>14.43</v>
      </c>
      <c r="E2683" s="10" t="n">
        <f aca="false">C2683*D2683</f>
        <v>14.43</v>
      </c>
    </row>
    <row r="2684" customFormat="false" ht="15" hidden="false" customHeight="false" outlineLevel="0" collapsed="false">
      <c r="A2684" s="9" t="s">
        <v>1298</v>
      </c>
      <c r="B2684" s="9" t="s">
        <v>385</v>
      </c>
      <c r="C2684" s="9" t="n">
        <v>1</v>
      </c>
      <c r="D2684" s="10" t="n">
        <v>1.66</v>
      </c>
      <c r="E2684" s="10" t="n">
        <f aca="false">C2684*D2684</f>
        <v>1.66</v>
      </c>
    </row>
    <row r="2685" customFormat="false" ht="15" hidden="false" customHeight="false" outlineLevel="0" collapsed="false">
      <c r="A2685" s="9" t="s">
        <v>1298</v>
      </c>
      <c r="B2685" s="9" t="s">
        <v>1394</v>
      </c>
      <c r="C2685" s="9" t="n">
        <v>1</v>
      </c>
      <c r="D2685" s="10" t="n">
        <v>5.91</v>
      </c>
      <c r="E2685" s="10" t="n">
        <f aca="false">C2685*D2685</f>
        <v>5.91</v>
      </c>
    </row>
    <row r="2686" customFormat="false" ht="15" hidden="false" customHeight="false" outlineLevel="0" collapsed="false">
      <c r="A2686" s="9" t="s">
        <v>1298</v>
      </c>
      <c r="B2686" s="9" t="s">
        <v>134</v>
      </c>
      <c r="C2686" s="9" t="n">
        <v>1</v>
      </c>
      <c r="D2686" s="10" t="n">
        <v>5.91</v>
      </c>
      <c r="E2686" s="10" t="n">
        <f aca="false">C2686*D2686</f>
        <v>5.91</v>
      </c>
    </row>
    <row r="2687" customFormat="false" ht="15" hidden="false" customHeight="false" outlineLevel="0" collapsed="false">
      <c r="A2687" s="9" t="s">
        <v>1298</v>
      </c>
      <c r="B2687" s="9" t="s">
        <v>118</v>
      </c>
      <c r="C2687" s="9" t="n">
        <v>1</v>
      </c>
      <c r="D2687" s="10" t="n">
        <v>5.06</v>
      </c>
      <c r="E2687" s="10" t="n">
        <f aca="false">C2687*D2687</f>
        <v>5.06</v>
      </c>
    </row>
    <row r="2688" customFormat="false" ht="15" hidden="false" customHeight="false" outlineLevel="0" collapsed="false">
      <c r="A2688" s="9" t="s">
        <v>1298</v>
      </c>
      <c r="B2688" s="9" t="s">
        <v>886</v>
      </c>
      <c r="C2688" s="9" t="n">
        <v>1</v>
      </c>
      <c r="D2688" s="10" t="n">
        <v>5.06</v>
      </c>
      <c r="E2688" s="10" t="n">
        <f aca="false">C2688*D2688</f>
        <v>5.06</v>
      </c>
    </row>
    <row r="2689" customFormat="false" ht="15" hidden="false" customHeight="false" outlineLevel="0" collapsed="false">
      <c r="A2689" s="9" t="s">
        <v>1298</v>
      </c>
      <c r="B2689" s="9" t="s">
        <v>1395</v>
      </c>
      <c r="C2689" s="9" t="n">
        <v>1</v>
      </c>
      <c r="D2689" s="10" t="n">
        <v>4.21</v>
      </c>
      <c r="E2689" s="10" t="n">
        <f aca="false">C2689*D2689</f>
        <v>4.21</v>
      </c>
    </row>
    <row r="2690" customFormat="false" ht="15" hidden="false" customHeight="false" outlineLevel="0" collapsed="false">
      <c r="A2690" s="9" t="s">
        <v>1298</v>
      </c>
      <c r="B2690" s="9" t="s">
        <v>1396</v>
      </c>
      <c r="C2690" s="9" t="n">
        <v>2</v>
      </c>
      <c r="D2690" s="10" t="n">
        <v>8.47</v>
      </c>
      <c r="E2690" s="10" t="n">
        <f aca="false">C2690*D2690</f>
        <v>16.94</v>
      </c>
    </row>
    <row r="2691" customFormat="false" ht="15" hidden="false" customHeight="false" outlineLevel="0" collapsed="false">
      <c r="A2691" s="9" t="s">
        <v>1298</v>
      </c>
      <c r="B2691" s="9" t="s">
        <v>269</v>
      </c>
      <c r="C2691" s="9" t="n">
        <v>8</v>
      </c>
      <c r="D2691" s="10" t="n">
        <v>7.62</v>
      </c>
      <c r="E2691" s="10" t="n">
        <f aca="false">C2691*D2691</f>
        <v>60.96</v>
      </c>
    </row>
    <row r="2692" customFormat="false" ht="15" hidden="false" customHeight="false" outlineLevel="0" collapsed="false">
      <c r="A2692" s="9" t="s">
        <v>1298</v>
      </c>
      <c r="B2692" s="9" t="s">
        <v>1397</v>
      </c>
      <c r="C2692" s="9" t="n">
        <v>1</v>
      </c>
      <c r="D2692" s="10" t="n">
        <v>2.51</v>
      </c>
      <c r="E2692" s="10" t="n">
        <f aca="false">C2692*D2692</f>
        <v>2.51</v>
      </c>
    </row>
    <row r="2693" customFormat="false" ht="15" hidden="false" customHeight="false" outlineLevel="0" collapsed="false">
      <c r="A2693" s="9" t="s">
        <v>1298</v>
      </c>
      <c r="B2693" s="9" t="s">
        <v>1398</v>
      </c>
      <c r="C2693" s="9" t="n">
        <v>1</v>
      </c>
      <c r="D2693" s="10" t="n">
        <v>2.51</v>
      </c>
      <c r="E2693" s="10" t="n">
        <f aca="false">C2693*D2693</f>
        <v>2.51</v>
      </c>
    </row>
    <row r="2694" customFormat="false" ht="15" hidden="false" customHeight="false" outlineLevel="0" collapsed="false">
      <c r="A2694" s="9" t="s">
        <v>1298</v>
      </c>
      <c r="B2694" s="9" t="s">
        <v>985</v>
      </c>
      <c r="C2694" s="9" t="n">
        <v>1</v>
      </c>
      <c r="D2694" s="10" t="n">
        <v>5.91</v>
      </c>
      <c r="E2694" s="10" t="n">
        <f aca="false">C2694*D2694</f>
        <v>5.91</v>
      </c>
    </row>
    <row r="2695" customFormat="false" ht="15" hidden="false" customHeight="false" outlineLevel="0" collapsed="false">
      <c r="A2695" s="9" t="s">
        <v>1298</v>
      </c>
      <c r="B2695" s="9" t="s">
        <v>559</v>
      </c>
      <c r="C2695" s="9" t="n">
        <v>2</v>
      </c>
      <c r="D2695" s="10" t="n">
        <v>16.13</v>
      </c>
      <c r="E2695" s="10" t="n">
        <f aca="false">C2695*D2695</f>
        <v>32.26</v>
      </c>
    </row>
    <row r="2696" customFormat="false" ht="15" hidden="false" customHeight="false" outlineLevel="0" collapsed="false">
      <c r="A2696" s="9" t="s">
        <v>1298</v>
      </c>
      <c r="B2696" s="9" t="s">
        <v>101</v>
      </c>
      <c r="C2696" s="9" t="n">
        <v>3</v>
      </c>
      <c r="D2696" s="10" t="n">
        <v>25.49</v>
      </c>
      <c r="E2696" s="10" t="n">
        <f aca="false">C2696*D2696</f>
        <v>76.47</v>
      </c>
    </row>
    <row r="2697" customFormat="false" ht="15" hidden="false" customHeight="false" outlineLevel="0" collapsed="false">
      <c r="A2697" s="9" t="s">
        <v>1298</v>
      </c>
      <c r="B2697" s="9" t="s">
        <v>984</v>
      </c>
      <c r="C2697" s="9" t="n">
        <v>1</v>
      </c>
      <c r="D2697" s="10" t="n">
        <v>7.62</v>
      </c>
      <c r="E2697" s="10" t="n">
        <f aca="false">C2697*D2697</f>
        <v>7.62</v>
      </c>
    </row>
    <row r="2698" customFormat="false" ht="15" hidden="false" customHeight="false" outlineLevel="0" collapsed="false">
      <c r="A2698" s="9" t="s">
        <v>1298</v>
      </c>
      <c r="B2698" s="9" t="s">
        <v>1399</v>
      </c>
      <c r="C2698" s="9" t="n">
        <v>1</v>
      </c>
      <c r="D2698" s="10" t="n">
        <v>2.51</v>
      </c>
      <c r="E2698" s="10" t="n">
        <f aca="false">C2698*D2698</f>
        <v>2.51</v>
      </c>
    </row>
    <row r="2699" customFormat="false" ht="15" hidden="false" customHeight="false" outlineLevel="0" collapsed="false">
      <c r="A2699" s="9" t="s">
        <v>1298</v>
      </c>
      <c r="B2699" s="9" t="s">
        <v>1400</v>
      </c>
      <c r="C2699" s="9" t="n">
        <v>1</v>
      </c>
      <c r="D2699" s="10" t="n">
        <v>5.06</v>
      </c>
      <c r="E2699" s="10" t="n">
        <f aca="false">C2699*D2699</f>
        <v>5.06</v>
      </c>
    </row>
    <row r="2700" customFormat="false" ht="15" hidden="false" customHeight="false" outlineLevel="0" collapsed="false">
      <c r="A2700" s="9" t="s">
        <v>1298</v>
      </c>
      <c r="B2700" s="9" t="s">
        <v>1401</v>
      </c>
      <c r="C2700" s="9" t="n">
        <v>1</v>
      </c>
      <c r="D2700" s="10" t="n">
        <v>5.06</v>
      </c>
      <c r="E2700" s="10" t="n">
        <f aca="false">C2700*D2700</f>
        <v>5.06</v>
      </c>
    </row>
    <row r="2701" customFormat="false" ht="15" hidden="false" customHeight="false" outlineLevel="0" collapsed="false">
      <c r="A2701" s="9" t="s">
        <v>1298</v>
      </c>
      <c r="B2701" s="9" t="s">
        <v>1402</v>
      </c>
      <c r="C2701" s="9" t="n">
        <v>1</v>
      </c>
      <c r="D2701" s="10" t="n">
        <v>5.91</v>
      </c>
      <c r="E2701" s="10" t="n">
        <f aca="false">C2701*D2701</f>
        <v>5.91</v>
      </c>
    </row>
    <row r="2702" customFormat="false" ht="15" hidden="false" customHeight="false" outlineLevel="0" collapsed="false">
      <c r="A2702" s="9" t="s">
        <v>1298</v>
      </c>
      <c r="B2702" s="9" t="s">
        <v>983</v>
      </c>
      <c r="C2702" s="9" t="n">
        <v>8</v>
      </c>
      <c r="D2702" s="10" t="n">
        <v>1.66</v>
      </c>
      <c r="E2702" s="10" t="n">
        <f aca="false">C2702*D2702</f>
        <v>13.28</v>
      </c>
    </row>
    <row r="2703" customFormat="false" ht="15" hidden="false" customHeight="false" outlineLevel="0" collapsed="false">
      <c r="A2703" s="9" t="s">
        <v>1298</v>
      </c>
      <c r="B2703" s="9" t="s">
        <v>263</v>
      </c>
      <c r="C2703" s="9" t="n">
        <v>8</v>
      </c>
      <c r="D2703" s="10" t="n">
        <v>4.21</v>
      </c>
      <c r="E2703" s="10" t="n">
        <f aca="false">C2703*D2703</f>
        <v>33.68</v>
      </c>
    </row>
    <row r="2704" customFormat="false" ht="15" hidden="false" customHeight="false" outlineLevel="0" collapsed="false">
      <c r="A2704" s="9" t="s">
        <v>1298</v>
      </c>
      <c r="B2704" s="9" t="s">
        <v>177</v>
      </c>
      <c r="C2704" s="9" t="n">
        <v>1</v>
      </c>
      <c r="D2704" s="10" t="n">
        <v>25.49</v>
      </c>
      <c r="E2704" s="10" t="n">
        <f aca="false">C2704*D2704</f>
        <v>25.49</v>
      </c>
    </row>
    <row r="2705" customFormat="false" ht="15" hidden="false" customHeight="false" outlineLevel="0" collapsed="false">
      <c r="A2705" s="9" t="s">
        <v>1298</v>
      </c>
      <c r="B2705" s="9" t="s">
        <v>982</v>
      </c>
      <c r="C2705" s="9" t="n">
        <v>3</v>
      </c>
      <c r="D2705" s="10" t="n">
        <v>13.57</v>
      </c>
      <c r="E2705" s="10" t="n">
        <f aca="false">C2705*D2705</f>
        <v>40.71</v>
      </c>
    </row>
    <row r="2706" customFormat="false" ht="15" hidden="false" customHeight="false" outlineLevel="0" collapsed="false">
      <c r="A2706" s="9" t="s">
        <v>1298</v>
      </c>
      <c r="B2706" s="9" t="s">
        <v>981</v>
      </c>
      <c r="C2706" s="9" t="n">
        <v>7</v>
      </c>
      <c r="D2706" s="10" t="n">
        <v>5.91</v>
      </c>
      <c r="E2706" s="10" t="n">
        <f aca="false">C2706*D2706</f>
        <v>41.37</v>
      </c>
    </row>
    <row r="2707" customFormat="false" ht="15" hidden="false" customHeight="false" outlineLevel="0" collapsed="false">
      <c r="A2707" s="9" t="s">
        <v>1298</v>
      </c>
      <c r="B2707" s="9" t="s">
        <v>1403</v>
      </c>
      <c r="C2707" s="9" t="n">
        <v>1</v>
      </c>
      <c r="D2707" s="10" t="n">
        <v>2.51</v>
      </c>
      <c r="E2707" s="10" t="n">
        <f aca="false">C2707*D2707</f>
        <v>2.51</v>
      </c>
    </row>
    <row r="2708" customFormat="false" ht="15" hidden="false" customHeight="false" outlineLevel="0" collapsed="false">
      <c r="A2708" s="9" t="s">
        <v>1298</v>
      </c>
      <c r="B2708" s="9" t="s">
        <v>868</v>
      </c>
      <c r="C2708" s="9" t="n">
        <v>3</v>
      </c>
      <c r="D2708" s="10" t="n">
        <v>3.36</v>
      </c>
      <c r="E2708" s="10" t="n">
        <f aca="false">C2708*D2708</f>
        <v>10.08</v>
      </c>
    </row>
    <row r="2709" customFormat="false" ht="15" hidden="false" customHeight="false" outlineLevel="0" collapsed="false">
      <c r="A2709" s="9" t="s">
        <v>1298</v>
      </c>
      <c r="B2709" s="9" t="s">
        <v>1404</v>
      </c>
      <c r="C2709" s="9" t="n">
        <v>1</v>
      </c>
      <c r="D2709" s="10" t="n">
        <v>4.21</v>
      </c>
      <c r="E2709" s="10" t="n">
        <f aca="false">C2709*D2709</f>
        <v>4.21</v>
      </c>
    </row>
    <row r="2710" customFormat="false" ht="15" hidden="false" customHeight="false" outlineLevel="0" collapsed="false">
      <c r="A2710" s="9" t="s">
        <v>1298</v>
      </c>
      <c r="B2710" s="9" t="s">
        <v>275</v>
      </c>
      <c r="C2710" s="9" t="n">
        <v>5</v>
      </c>
      <c r="D2710" s="10" t="n">
        <v>2.51</v>
      </c>
      <c r="E2710" s="10" t="n">
        <f aca="false">C2710*D2710</f>
        <v>12.55</v>
      </c>
    </row>
    <row r="2711" customFormat="false" ht="15" hidden="false" customHeight="false" outlineLevel="0" collapsed="false">
      <c r="A2711" s="9" t="s">
        <v>1298</v>
      </c>
      <c r="B2711" s="9" t="s">
        <v>1405</v>
      </c>
      <c r="C2711" s="9" t="n">
        <v>3</v>
      </c>
      <c r="D2711" s="10" t="n">
        <v>2.51</v>
      </c>
      <c r="E2711" s="10" t="n">
        <f aca="false">C2711*D2711</f>
        <v>7.53</v>
      </c>
    </row>
    <row r="2712" customFormat="false" ht="15" hidden="false" customHeight="false" outlineLevel="0" collapsed="false">
      <c r="A2712" s="9" t="s">
        <v>1298</v>
      </c>
      <c r="B2712" s="9" t="s">
        <v>768</v>
      </c>
      <c r="C2712" s="9" t="n">
        <v>1</v>
      </c>
      <c r="D2712" s="10" t="n">
        <v>8.47</v>
      </c>
      <c r="E2712" s="10" t="n">
        <f aca="false">C2712*D2712</f>
        <v>8.47</v>
      </c>
    </row>
    <row r="2713" customFormat="false" ht="15" hidden="false" customHeight="false" outlineLevel="0" collapsed="false">
      <c r="A2713" s="9" t="s">
        <v>1298</v>
      </c>
      <c r="B2713" s="9" t="s">
        <v>79</v>
      </c>
      <c r="C2713" s="9" t="n">
        <v>1</v>
      </c>
      <c r="D2713" s="10" t="n">
        <v>2.51</v>
      </c>
      <c r="E2713" s="10" t="n">
        <f aca="false">C2713*D2713</f>
        <v>2.51</v>
      </c>
    </row>
    <row r="2714" customFormat="false" ht="15" hidden="false" customHeight="false" outlineLevel="0" collapsed="false">
      <c r="A2714" s="9" t="s">
        <v>1298</v>
      </c>
      <c r="B2714" s="9" t="s">
        <v>1097</v>
      </c>
      <c r="C2714" s="9" t="n">
        <v>10</v>
      </c>
      <c r="D2714" s="10" t="n">
        <v>0.43</v>
      </c>
      <c r="E2714" s="10" t="n">
        <f aca="false">C2714*D2714</f>
        <v>4.3</v>
      </c>
    </row>
    <row r="2715" customFormat="false" ht="15" hidden="false" customHeight="false" outlineLevel="0" collapsed="false">
      <c r="A2715" s="9" t="s">
        <v>1298</v>
      </c>
      <c r="B2715" s="9" t="s">
        <v>1096</v>
      </c>
      <c r="C2715" s="9" t="n">
        <v>17</v>
      </c>
      <c r="D2715" s="10" t="n">
        <v>0.43</v>
      </c>
      <c r="E2715" s="10" t="n">
        <f aca="false">C2715*D2715</f>
        <v>7.31</v>
      </c>
    </row>
    <row r="2716" customFormat="false" ht="15" hidden="false" customHeight="false" outlineLevel="0" collapsed="false">
      <c r="A2716" s="9" t="s">
        <v>1298</v>
      </c>
      <c r="B2716" s="9" t="s">
        <v>1095</v>
      </c>
      <c r="C2716" s="9" t="n">
        <v>12</v>
      </c>
      <c r="D2716" s="10" t="n">
        <v>0.43</v>
      </c>
      <c r="E2716" s="10" t="n">
        <f aca="false">C2716*D2716</f>
        <v>5.16</v>
      </c>
    </row>
    <row r="2717" customFormat="false" ht="15" hidden="false" customHeight="false" outlineLevel="0" collapsed="false">
      <c r="A2717" s="9" t="s">
        <v>1298</v>
      </c>
      <c r="B2717" s="9" t="s">
        <v>1094</v>
      </c>
      <c r="C2717" s="9" t="n">
        <v>1</v>
      </c>
      <c r="D2717" s="10" t="n">
        <v>2.51</v>
      </c>
      <c r="E2717" s="10" t="n">
        <f aca="false">C2717*D2717</f>
        <v>2.51</v>
      </c>
    </row>
    <row r="2718" customFormat="false" ht="15" hidden="false" customHeight="false" outlineLevel="0" collapsed="false">
      <c r="A2718" s="9" t="s">
        <v>1298</v>
      </c>
      <c r="B2718" s="9" t="s">
        <v>1219</v>
      </c>
      <c r="C2718" s="9" t="n">
        <v>1</v>
      </c>
      <c r="D2718" s="10" t="n">
        <v>10.17</v>
      </c>
      <c r="E2718" s="10" t="n">
        <f aca="false">C2718*D2718</f>
        <v>10.17</v>
      </c>
    </row>
    <row r="2719" customFormat="false" ht="15" hidden="false" customHeight="false" outlineLevel="0" collapsed="false">
      <c r="A2719" s="9" t="s">
        <v>1298</v>
      </c>
      <c r="B2719" s="9" t="s">
        <v>506</v>
      </c>
      <c r="C2719" s="9" t="n">
        <v>5</v>
      </c>
      <c r="D2719" s="10" t="n">
        <v>1.66</v>
      </c>
      <c r="E2719" s="10" t="n">
        <f aca="false">C2719*D2719</f>
        <v>8.3</v>
      </c>
    </row>
    <row r="2720" customFormat="false" ht="15" hidden="false" customHeight="false" outlineLevel="0" collapsed="false">
      <c r="A2720" s="9" t="s">
        <v>1298</v>
      </c>
      <c r="B2720" s="9" t="s">
        <v>1406</v>
      </c>
      <c r="C2720" s="9" t="n">
        <v>1</v>
      </c>
      <c r="D2720" s="10" t="n">
        <v>7.62</v>
      </c>
      <c r="E2720" s="10" t="n">
        <f aca="false">C2720*D2720</f>
        <v>7.62</v>
      </c>
    </row>
    <row r="2721" customFormat="false" ht="15" hidden="false" customHeight="false" outlineLevel="0" collapsed="false">
      <c r="A2721" s="9" t="s">
        <v>1298</v>
      </c>
      <c r="B2721" s="9" t="s">
        <v>1407</v>
      </c>
      <c r="C2721" s="9" t="n">
        <v>1</v>
      </c>
      <c r="D2721" s="10" t="n">
        <v>0.85</v>
      </c>
      <c r="E2721" s="10" t="n">
        <f aca="false">C2721*D2721</f>
        <v>0.85</v>
      </c>
    </row>
    <row r="2722" customFormat="false" ht="15" hidden="false" customHeight="false" outlineLevel="0" collapsed="false">
      <c r="A2722" s="9" t="s">
        <v>1298</v>
      </c>
      <c r="B2722" s="9" t="s">
        <v>169</v>
      </c>
      <c r="C2722" s="9" t="n">
        <v>3</v>
      </c>
      <c r="D2722" s="10" t="n">
        <v>3.36</v>
      </c>
      <c r="E2722" s="10" t="n">
        <f aca="false">C2722*D2722</f>
        <v>10.08</v>
      </c>
    </row>
    <row r="2723" customFormat="false" ht="15" hidden="false" customHeight="false" outlineLevel="0" collapsed="false">
      <c r="A2723" s="9" t="s">
        <v>1298</v>
      </c>
      <c r="B2723" s="9" t="s">
        <v>881</v>
      </c>
      <c r="C2723" s="9" t="n">
        <v>2</v>
      </c>
      <c r="D2723" s="10" t="n">
        <v>3.36</v>
      </c>
      <c r="E2723" s="10" t="n">
        <f aca="false">C2723*D2723</f>
        <v>6.72</v>
      </c>
    </row>
    <row r="2724" customFormat="false" ht="15" hidden="false" customHeight="false" outlineLevel="0" collapsed="false">
      <c r="A2724" s="9" t="s">
        <v>1298</v>
      </c>
      <c r="B2724" s="9" t="s">
        <v>278</v>
      </c>
      <c r="C2724" s="9" t="n">
        <v>1</v>
      </c>
      <c r="D2724" s="10" t="n">
        <v>5.91</v>
      </c>
      <c r="E2724" s="10" t="n">
        <f aca="false">C2724*D2724</f>
        <v>5.91</v>
      </c>
    </row>
    <row r="2725" customFormat="false" ht="15" hidden="false" customHeight="false" outlineLevel="0" collapsed="false">
      <c r="A2725" s="9" t="s">
        <v>1298</v>
      </c>
      <c r="B2725" s="9" t="s">
        <v>1408</v>
      </c>
      <c r="C2725" s="9" t="n">
        <v>4</v>
      </c>
      <c r="D2725" s="10" t="n">
        <v>4.21</v>
      </c>
      <c r="E2725" s="10" t="n">
        <f aca="false">C2725*D2725</f>
        <v>16.84</v>
      </c>
    </row>
    <row r="2726" customFormat="false" ht="15" hidden="false" customHeight="false" outlineLevel="0" collapsed="false">
      <c r="A2726" s="9" t="s">
        <v>1298</v>
      </c>
      <c r="B2726" s="9" t="s">
        <v>1091</v>
      </c>
      <c r="C2726" s="9" t="n">
        <v>3</v>
      </c>
      <c r="D2726" s="10" t="n">
        <v>4.21</v>
      </c>
      <c r="E2726" s="10" t="n">
        <f aca="false">C2726*D2726</f>
        <v>12.63</v>
      </c>
    </row>
    <row r="2727" customFormat="false" ht="15" hidden="false" customHeight="false" outlineLevel="0" collapsed="false">
      <c r="A2727" s="9" t="s">
        <v>1298</v>
      </c>
      <c r="B2727" s="9" t="s">
        <v>1093</v>
      </c>
      <c r="C2727" s="9" t="n">
        <v>1</v>
      </c>
      <c r="D2727" s="10" t="n">
        <v>7.62</v>
      </c>
      <c r="E2727" s="10" t="n">
        <f aca="false">C2727*D2727</f>
        <v>7.62</v>
      </c>
    </row>
    <row r="2728" customFormat="false" ht="15" hidden="false" customHeight="false" outlineLevel="0" collapsed="false">
      <c r="A2728" s="9" t="s">
        <v>1298</v>
      </c>
      <c r="B2728" s="9" t="s">
        <v>1295</v>
      </c>
      <c r="C2728" s="9" t="n">
        <v>2</v>
      </c>
      <c r="D2728" s="10" t="n">
        <v>1.66</v>
      </c>
      <c r="E2728" s="10" t="n">
        <f aca="false">C2728*D2728</f>
        <v>3.32</v>
      </c>
    </row>
    <row r="2729" customFormat="false" ht="15" hidden="false" customHeight="false" outlineLevel="0" collapsed="false">
      <c r="A2729" s="9" t="s">
        <v>1298</v>
      </c>
      <c r="B2729" s="9" t="s">
        <v>223</v>
      </c>
      <c r="C2729" s="9" t="n">
        <v>7</v>
      </c>
      <c r="D2729" s="10" t="n">
        <v>0.85</v>
      </c>
      <c r="E2729" s="10" t="n">
        <f aca="false">C2729*D2729</f>
        <v>5.95</v>
      </c>
    </row>
    <row r="2730" customFormat="false" ht="15" hidden="false" customHeight="false" outlineLevel="0" collapsed="false">
      <c r="A2730" s="9" t="s">
        <v>1298</v>
      </c>
      <c r="B2730" s="9" t="s">
        <v>49</v>
      </c>
      <c r="C2730" s="9" t="n">
        <v>2</v>
      </c>
      <c r="D2730" s="10" t="n">
        <v>7.95</v>
      </c>
      <c r="E2730" s="10" t="n">
        <f aca="false">C2730*D2730</f>
        <v>15.9</v>
      </c>
    </row>
    <row r="2731" customFormat="false" ht="15" hidden="false" customHeight="false" outlineLevel="0" collapsed="false">
      <c r="A2731" s="9" t="s">
        <v>1298</v>
      </c>
      <c r="B2731" s="9" t="s">
        <v>1409</v>
      </c>
      <c r="C2731" s="9" t="n">
        <v>2</v>
      </c>
      <c r="D2731" s="10" t="n">
        <v>2.51</v>
      </c>
      <c r="E2731" s="10" t="n">
        <f aca="false">C2731*D2731</f>
        <v>5.02</v>
      </c>
    </row>
    <row r="2732" customFormat="false" ht="15" hidden="false" customHeight="false" outlineLevel="0" collapsed="false">
      <c r="A2732" s="9" t="s">
        <v>1298</v>
      </c>
      <c r="B2732" s="9" t="s">
        <v>1410</v>
      </c>
      <c r="C2732" s="9" t="n">
        <v>1</v>
      </c>
      <c r="D2732" s="10" t="n">
        <v>2.51</v>
      </c>
      <c r="E2732" s="10" t="n">
        <f aca="false">C2732*D2732</f>
        <v>2.51</v>
      </c>
    </row>
    <row r="2733" customFormat="false" ht="15" hidden="false" customHeight="false" outlineLevel="0" collapsed="false">
      <c r="A2733" s="9" t="s">
        <v>1298</v>
      </c>
      <c r="B2733" s="9" t="s">
        <v>1411</v>
      </c>
      <c r="C2733" s="9" t="n">
        <v>1</v>
      </c>
      <c r="D2733" s="10" t="n">
        <v>1.66</v>
      </c>
      <c r="E2733" s="10" t="n">
        <f aca="false">C2733*D2733</f>
        <v>1.66</v>
      </c>
    </row>
    <row r="2734" customFormat="false" ht="15" hidden="false" customHeight="false" outlineLevel="0" collapsed="false">
      <c r="A2734" s="9" t="s">
        <v>1298</v>
      </c>
      <c r="B2734" s="9" t="s">
        <v>1412</v>
      </c>
      <c r="C2734" s="9" t="n">
        <v>1</v>
      </c>
      <c r="D2734" s="10" t="n">
        <v>8.47</v>
      </c>
      <c r="E2734" s="10" t="n">
        <f aca="false">C2734*D2734</f>
        <v>8.47</v>
      </c>
    </row>
    <row r="2735" customFormat="false" ht="15" hidden="false" customHeight="false" outlineLevel="0" collapsed="false">
      <c r="A2735" s="9" t="s">
        <v>1298</v>
      </c>
      <c r="B2735" s="9" t="s">
        <v>378</v>
      </c>
      <c r="C2735" s="9" t="n">
        <v>2</v>
      </c>
      <c r="D2735" s="10" t="n">
        <v>3.36</v>
      </c>
      <c r="E2735" s="10" t="n">
        <f aca="false">C2735*D2735</f>
        <v>6.72</v>
      </c>
    </row>
    <row r="2736" customFormat="false" ht="15" hidden="false" customHeight="false" outlineLevel="0" collapsed="false">
      <c r="A2736" s="9" t="s">
        <v>1298</v>
      </c>
      <c r="B2736" s="9" t="s">
        <v>518</v>
      </c>
      <c r="C2736" s="9" t="n">
        <v>1</v>
      </c>
      <c r="D2736" s="10" t="n">
        <v>2.51</v>
      </c>
      <c r="E2736" s="10" t="n">
        <f aca="false">C2736*D2736</f>
        <v>2.51</v>
      </c>
    </row>
    <row r="2737" customFormat="false" ht="15" hidden="false" customHeight="false" outlineLevel="0" collapsed="false">
      <c r="A2737" s="9" t="s">
        <v>1298</v>
      </c>
      <c r="B2737" s="9" t="s">
        <v>73</v>
      </c>
      <c r="C2737" s="9" t="n">
        <v>1</v>
      </c>
      <c r="D2737" s="10" t="n">
        <v>3.36</v>
      </c>
      <c r="E2737" s="10" t="n">
        <f aca="false">C2737*D2737</f>
        <v>3.36</v>
      </c>
    </row>
    <row r="2738" customFormat="false" ht="15" hidden="false" customHeight="false" outlineLevel="0" collapsed="false">
      <c r="A2738" s="9" t="s">
        <v>1298</v>
      </c>
      <c r="B2738" s="9" t="s">
        <v>288</v>
      </c>
      <c r="C2738" s="9" t="n">
        <v>1</v>
      </c>
      <c r="D2738" s="10" t="n">
        <v>5.91</v>
      </c>
      <c r="E2738" s="10" t="n">
        <f aca="false">C2738*D2738</f>
        <v>5.91</v>
      </c>
    </row>
    <row r="2739" customFormat="false" ht="15" hidden="false" customHeight="false" outlineLevel="0" collapsed="false">
      <c r="A2739" s="9" t="s">
        <v>1298</v>
      </c>
      <c r="B2739" s="9" t="s">
        <v>1413</v>
      </c>
      <c r="C2739" s="9" t="n">
        <v>1</v>
      </c>
      <c r="D2739" s="10" t="n">
        <v>8.47</v>
      </c>
      <c r="E2739" s="10" t="n">
        <f aca="false">C2739*D2739</f>
        <v>8.47</v>
      </c>
    </row>
    <row r="2740" customFormat="false" ht="15" hidden="false" customHeight="false" outlineLevel="0" collapsed="false">
      <c r="A2740" s="9" t="s">
        <v>1298</v>
      </c>
      <c r="B2740" s="9" t="s">
        <v>53</v>
      </c>
      <c r="C2740" s="9" t="n">
        <v>1</v>
      </c>
      <c r="D2740" s="10" t="n">
        <v>11.87</v>
      </c>
      <c r="E2740" s="10" t="n">
        <f aca="false">C2740*D2740</f>
        <v>11.87</v>
      </c>
    </row>
    <row r="2741" customFormat="false" ht="15" hidden="false" customHeight="false" outlineLevel="0" collapsed="false">
      <c r="A2741" s="9" t="s">
        <v>1298</v>
      </c>
      <c r="B2741" s="9" t="s">
        <v>50</v>
      </c>
      <c r="C2741" s="9" t="n">
        <v>1</v>
      </c>
      <c r="D2741" s="10" t="n">
        <v>11.87</v>
      </c>
      <c r="E2741" s="10" t="n">
        <f aca="false">C2741*D2741</f>
        <v>11.87</v>
      </c>
    </row>
    <row r="2742" customFormat="false" ht="15" hidden="false" customHeight="false" outlineLevel="0" collapsed="false">
      <c r="A2742" s="9" t="s">
        <v>1298</v>
      </c>
      <c r="B2742" s="9" t="s">
        <v>66</v>
      </c>
      <c r="C2742" s="9" t="n">
        <v>1</v>
      </c>
      <c r="D2742" s="10" t="n">
        <v>11.87</v>
      </c>
      <c r="E2742" s="10" t="n">
        <f aca="false">C2742*D2742</f>
        <v>11.87</v>
      </c>
    </row>
    <row r="2743" customFormat="false" ht="15" hidden="false" customHeight="false" outlineLevel="0" collapsed="false">
      <c r="A2743" s="9" t="s">
        <v>1298</v>
      </c>
      <c r="B2743" s="9" t="s">
        <v>1100</v>
      </c>
      <c r="C2743" s="9" t="n">
        <v>3</v>
      </c>
      <c r="D2743" s="10" t="n">
        <v>2.51</v>
      </c>
      <c r="E2743" s="10" t="n">
        <f aca="false">C2743*D2743</f>
        <v>7.53</v>
      </c>
    </row>
    <row r="2744" customFormat="false" ht="15" hidden="false" customHeight="false" outlineLevel="0" collapsed="false">
      <c r="A2744" s="9" t="s">
        <v>1298</v>
      </c>
      <c r="B2744" s="9" t="s">
        <v>1099</v>
      </c>
      <c r="C2744" s="9" t="n">
        <v>5</v>
      </c>
      <c r="D2744" s="10" t="n">
        <v>2.51</v>
      </c>
      <c r="E2744" s="10" t="n">
        <f aca="false">C2744*D2744</f>
        <v>12.55</v>
      </c>
    </row>
    <row r="2745" customFormat="false" ht="15" hidden="false" customHeight="false" outlineLevel="0" collapsed="false">
      <c r="A2745" s="9" t="s">
        <v>1298</v>
      </c>
      <c r="B2745" s="9" t="s">
        <v>1414</v>
      </c>
      <c r="C2745" s="9" t="n">
        <v>3</v>
      </c>
      <c r="D2745" s="10" t="n">
        <v>2.51</v>
      </c>
      <c r="E2745" s="10" t="n">
        <f aca="false">C2745*D2745</f>
        <v>7.53</v>
      </c>
    </row>
    <row r="2746" customFormat="false" ht="15" hidden="false" customHeight="false" outlineLevel="0" collapsed="false">
      <c r="A2746" s="9" t="s">
        <v>1298</v>
      </c>
      <c r="B2746" s="9" t="s">
        <v>1415</v>
      </c>
      <c r="C2746" s="9" t="n">
        <v>1</v>
      </c>
      <c r="D2746" s="10" t="n">
        <v>3.36</v>
      </c>
      <c r="E2746" s="10" t="n">
        <f aca="false">C2746*D2746</f>
        <v>3.36</v>
      </c>
    </row>
    <row r="2747" customFormat="false" ht="15" hidden="false" customHeight="false" outlineLevel="0" collapsed="false">
      <c r="A2747" s="9" t="s">
        <v>1298</v>
      </c>
      <c r="B2747" s="9" t="s">
        <v>96</v>
      </c>
      <c r="C2747" s="9" t="n">
        <v>3</v>
      </c>
      <c r="D2747" s="10" t="n">
        <v>3.36</v>
      </c>
      <c r="E2747" s="10" t="n">
        <f aca="false">C2747*D2747</f>
        <v>10.08</v>
      </c>
    </row>
    <row r="2748" customFormat="false" ht="15" hidden="false" customHeight="false" outlineLevel="0" collapsed="false">
      <c r="A2748" s="9" t="s">
        <v>1298</v>
      </c>
      <c r="B2748" s="9" t="s">
        <v>987</v>
      </c>
      <c r="C2748" s="9" t="n">
        <v>8</v>
      </c>
      <c r="D2748" s="10" t="n">
        <v>2.51</v>
      </c>
      <c r="E2748" s="10" t="n">
        <f aca="false">C2748*D2748</f>
        <v>20.08</v>
      </c>
    </row>
    <row r="2749" customFormat="false" ht="15" hidden="false" customHeight="false" outlineLevel="0" collapsed="false">
      <c r="A2749" s="9" t="s">
        <v>1298</v>
      </c>
      <c r="B2749" s="9" t="s">
        <v>347</v>
      </c>
      <c r="C2749" s="9" t="n">
        <v>1</v>
      </c>
      <c r="D2749" s="10" t="n">
        <v>1.28</v>
      </c>
      <c r="E2749" s="10" t="n">
        <f aca="false">C2749*D2749</f>
        <v>1.28</v>
      </c>
    </row>
    <row r="2750" customFormat="false" ht="15" hidden="false" customHeight="false" outlineLevel="0" collapsed="false">
      <c r="A2750" s="9" t="s">
        <v>1298</v>
      </c>
      <c r="B2750" s="9" t="s">
        <v>1416</v>
      </c>
      <c r="C2750" s="9" t="n">
        <v>1</v>
      </c>
      <c r="D2750" s="10" t="n">
        <v>6.77</v>
      </c>
      <c r="E2750" s="10" t="n">
        <f aca="false">C2750*D2750</f>
        <v>6.77</v>
      </c>
    </row>
    <row r="2751" customFormat="false" ht="15" hidden="false" customHeight="false" outlineLevel="0" collapsed="false">
      <c r="A2751" s="9" t="s">
        <v>1298</v>
      </c>
      <c r="B2751" s="9" t="s">
        <v>1417</v>
      </c>
      <c r="C2751" s="9" t="n">
        <v>2</v>
      </c>
      <c r="D2751" s="10" t="n">
        <v>6.77</v>
      </c>
      <c r="E2751" s="10" t="n">
        <f aca="false">C2751*D2751</f>
        <v>13.54</v>
      </c>
    </row>
    <row r="2752" customFormat="false" ht="15" hidden="false" customHeight="false" outlineLevel="0" collapsed="false">
      <c r="A2752" s="9" t="s">
        <v>1298</v>
      </c>
      <c r="B2752" s="9" t="s">
        <v>1418</v>
      </c>
      <c r="C2752" s="9" t="n">
        <v>1</v>
      </c>
      <c r="D2752" s="10" t="n">
        <v>7.62</v>
      </c>
      <c r="E2752" s="10" t="n">
        <f aca="false">C2752*D2752</f>
        <v>7.62</v>
      </c>
    </row>
    <row r="2753" customFormat="false" ht="15" hidden="false" customHeight="false" outlineLevel="0" collapsed="false">
      <c r="A2753" s="9" t="s">
        <v>1298</v>
      </c>
      <c r="B2753" s="9" t="s">
        <v>1419</v>
      </c>
      <c r="C2753" s="9" t="n">
        <v>2</v>
      </c>
      <c r="D2753" s="10" t="n">
        <v>5.06</v>
      </c>
      <c r="E2753" s="10" t="n">
        <f aca="false">C2753*D2753</f>
        <v>10.12</v>
      </c>
    </row>
    <row r="2754" customFormat="false" ht="15" hidden="false" customHeight="false" outlineLevel="0" collapsed="false">
      <c r="A2754" s="9" t="s">
        <v>1298</v>
      </c>
      <c r="B2754" s="9" t="s">
        <v>1420</v>
      </c>
      <c r="C2754" s="9" t="n">
        <v>1</v>
      </c>
      <c r="D2754" s="10" t="n">
        <v>10.17</v>
      </c>
      <c r="E2754" s="10" t="n">
        <f aca="false">C2754*D2754</f>
        <v>10.17</v>
      </c>
    </row>
    <row r="2755" customFormat="false" ht="15" hidden="false" customHeight="false" outlineLevel="0" collapsed="false">
      <c r="A2755" s="9" t="s">
        <v>1298</v>
      </c>
      <c r="B2755" s="9" t="s">
        <v>411</v>
      </c>
      <c r="C2755" s="9" t="n">
        <v>1</v>
      </c>
      <c r="D2755" s="10" t="n">
        <v>2.51</v>
      </c>
      <c r="E2755" s="10" t="n">
        <f aca="false">C2755*D2755</f>
        <v>2.51</v>
      </c>
    </row>
    <row r="2756" customFormat="false" ht="15" hidden="false" customHeight="false" outlineLevel="0" collapsed="false">
      <c r="A2756" s="9" t="s">
        <v>1298</v>
      </c>
      <c r="B2756" s="9" t="s">
        <v>232</v>
      </c>
      <c r="C2756" s="9" t="n">
        <v>6</v>
      </c>
      <c r="D2756" s="10" t="n">
        <v>0.43</v>
      </c>
      <c r="E2756" s="10" t="n">
        <f aca="false">C2756*D2756</f>
        <v>2.58</v>
      </c>
    </row>
    <row r="2757" customFormat="false" ht="15" hidden="false" customHeight="false" outlineLevel="0" collapsed="false">
      <c r="A2757" s="9" t="s">
        <v>1298</v>
      </c>
      <c r="B2757" s="9" t="s">
        <v>1421</v>
      </c>
      <c r="C2757" s="9" t="n">
        <v>1</v>
      </c>
      <c r="D2757" s="10" t="n">
        <v>2.51</v>
      </c>
      <c r="E2757" s="10" t="n">
        <f aca="false">C2757*D2757</f>
        <v>2.51</v>
      </c>
    </row>
    <row r="2758" customFormat="false" ht="15" hidden="false" customHeight="false" outlineLevel="0" collapsed="false">
      <c r="A2758" s="9" t="s">
        <v>1298</v>
      </c>
      <c r="B2758" s="9" t="s">
        <v>1019</v>
      </c>
      <c r="C2758" s="9" t="n">
        <v>1</v>
      </c>
      <c r="D2758" s="10" t="n">
        <v>1.66</v>
      </c>
      <c r="E2758" s="10" t="n">
        <f aca="false">C2758*D2758</f>
        <v>1.66</v>
      </c>
    </row>
    <row r="2759" customFormat="false" ht="15" hidden="false" customHeight="false" outlineLevel="0" collapsed="false">
      <c r="A2759" s="9" t="s">
        <v>1298</v>
      </c>
      <c r="B2759" s="9" t="s">
        <v>119</v>
      </c>
      <c r="C2759" s="9" t="n">
        <v>2</v>
      </c>
      <c r="D2759" s="10" t="n">
        <v>4.21</v>
      </c>
      <c r="E2759" s="10" t="n">
        <f aca="false">C2759*D2759</f>
        <v>8.42</v>
      </c>
    </row>
    <row r="2760" customFormat="false" ht="15" hidden="false" customHeight="false" outlineLevel="0" collapsed="false">
      <c r="A2760" s="9" t="s">
        <v>1298</v>
      </c>
      <c r="B2760" s="9" t="s">
        <v>342</v>
      </c>
      <c r="C2760" s="9" t="n">
        <v>2</v>
      </c>
      <c r="D2760" s="10" t="n">
        <v>4.21</v>
      </c>
      <c r="E2760" s="10" t="n">
        <f aca="false">C2760*D2760</f>
        <v>8.42</v>
      </c>
    </row>
    <row r="2761" customFormat="false" ht="15" hidden="false" customHeight="false" outlineLevel="0" collapsed="false">
      <c r="A2761" s="9" t="s">
        <v>1298</v>
      </c>
      <c r="B2761" s="9" t="s">
        <v>1018</v>
      </c>
      <c r="C2761" s="9" t="n">
        <v>6</v>
      </c>
      <c r="D2761" s="10" t="n">
        <v>0.85</v>
      </c>
      <c r="E2761" s="10" t="n">
        <f aca="false">C2761*D2761</f>
        <v>5.1</v>
      </c>
    </row>
    <row r="2762" customFormat="false" ht="15" hidden="false" customHeight="false" outlineLevel="0" collapsed="false">
      <c r="A2762" s="9" t="s">
        <v>1298</v>
      </c>
      <c r="B2762" s="9" t="s">
        <v>1041</v>
      </c>
      <c r="C2762" s="9" t="n">
        <v>4</v>
      </c>
      <c r="D2762" s="10" t="n">
        <v>0.85</v>
      </c>
      <c r="E2762" s="10" t="n">
        <f aca="false">C2762*D2762</f>
        <v>3.4</v>
      </c>
    </row>
    <row r="2763" customFormat="false" ht="15" hidden="false" customHeight="false" outlineLevel="0" collapsed="false">
      <c r="A2763" s="9" t="s">
        <v>1298</v>
      </c>
      <c r="B2763" s="9" t="s">
        <v>1422</v>
      </c>
      <c r="C2763" s="9" t="n">
        <v>1</v>
      </c>
      <c r="D2763" s="10" t="n">
        <v>4.21</v>
      </c>
      <c r="E2763" s="10" t="n">
        <f aca="false">C2763*D2763</f>
        <v>4.21</v>
      </c>
    </row>
    <row r="2764" customFormat="false" ht="15" hidden="false" customHeight="false" outlineLevel="0" collapsed="false">
      <c r="A2764" s="9" t="s">
        <v>1298</v>
      </c>
      <c r="B2764" s="9" t="s">
        <v>123</v>
      </c>
      <c r="C2764" s="9" t="n">
        <v>1</v>
      </c>
      <c r="D2764" s="10" t="n">
        <v>1.66</v>
      </c>
      <c r="E2764" s="10" t="n">
        <f aca="false">C2764*D2764</f>
        <v>1.66</v>
      </c>
    </row>
    <row r="2765" customFormat="false" ht="15" hidden="false" customHeight="false" outlineLevel="0" collapsed="false">
      <c r="A2765" s="9" t="s">
        <v>1298</v>
      </c>
      <c r="B2765" s="9" t="s">
        <v>1423</v>
      </c>
      <c r="C2765" s="9" t="n">
        <v>1</v>
      </c>
      <c r="D2765" s="10" t="n">
        <v>2.51</v>
      </c>
      <c r="E2765" s="10" t="n">
        <f aca="false">C2765*D2765</f>
        <v>2.51</v>
      </c>
    </row>
    <row r="2766" customFormat="false" ht="15" hidden="false" customHeight="false" outlineLevel="0" collapsed="false">
      <c r="A2766" s="9" t="s">
        <v>1298</v>
      </c>
      <c r="B2766" s="9" t="s">
        <v>1424</v>
      </c>
      <c r="C2766" s="9" t="n">
        <v>1</v>
      </c>
      <c r="D2766" s="10" t="n">
        <v>4.21</v>
      </c>
      <c r="E2766" s="10" t="n">
        <f aca="false">C2766*D2766</f>
        <v>4.21</v>
      </c>
    </row>
    <row r="2767" customFormat="false" ht="15" hidden="false" customHeight="false" outlineLevel="0" collapsed="false">
      <c r="A2767" s="9" t="s">
        <v>1298</v>
      </c>
      <c r="B2767" s="9" t="s">
        <v>1425</v>
      </c>
      <c r="C2767" s="9" t="n">
        <v>1</v>
      </c>
      <c r="D2767" s="10" t="n">
        <v>4.21</v>
      </c>
      <c r="E2767" s="10" t="n">
        <f aca="false">C2767*D2767</f>
        <v>4.21</v>
      </c>
    </row>
    <row r="2768" customFormat="false" ht="15" hidden="false" customHeight="false" outlineLevel="0" collapsed="false">
      <c r="A2768" s="9" t="s">
        <v>1298</v>
      </c>
      <c r="B2768" s="9" t="s">
        <v>1426</v>
      </c>
      <c r="C2768" s="9" t="n">
        <v>1</v>
      </c>
      <c r="D2768" s="10" t="n">
        <v>2.51</v>
      </c>
      <c r="E2768" s="10" t="n">
        <f aca="false">C2768*D2768</f>
        <v>2.51</v>
      </c>
    </row>
    <row r="2769" customFormat="false" ht="15" hidden="false" customHeight="false" outlineLevel="0" collapsed="false">
      <c r="A2769" s="9" t="s">
        <v>1298</v>
      </c>
      <c r="B2769" s="9" t="s">
        <v>1427</v>
      </c>
      <c r="C2769" s="9" t="n">
        <v>2</v>
      </c>
      <c r="D2769" s="10" t="n">
        <v>0.85</v>
      </c>
      <c r="E2769" s="10" t="n">
        <f aca="false">C2769*D2769</f>
        <v>1.7</v>
      </c>
    </row>
    <row r="2770" customFormat="false" ht="15" hidden="false" customHeight="false" outlineLevel="0" collapsed="false">
      <c r="A2770" s="9" t="s">
        <v>1298</v>
      </c>
      <c r="B2770" s="9" t="s">
        <v>1036</v>
      </c>
      <c r="C2770" s="9" t="n">
        <v>1</v>
      </c>
      <c r="D2770" s="10" t="n">
        <v>0.43</v>
      </c>
      <c r="E2770" s="10" t="n">
        <f aca="false">C2770*D2770</f>
        <v>0.43</v>
      </c>
    </row>
    <row r="2771" customFormat="false" ht="15" hidden="false" customHeight="false" outlineLevel="0" collapsed="false">
      <c r="A2771" s="9" t="s">
        <v>1298</v>
      </c>
      <c r="B2771" s="9" t="s">
        <v>373</v>
      </c>
      <c r="C2771" s="9" t="n">
        <v>6</v>
      </c>
      <c r="D2771" s="10" t="n">
        <v>0.43</v>
      </c>
      <c r="E2771" s="10" t="n">
        <f aca="false">C2771*D2771</f>
        <v>2.58</v>
      </c>
    </row>
    <row r="2772" customFormat="false" ht="15" hidden="false" customHeight="false" outlineLevel="0" collapsed="false">
      <c r="A2772" s="9" t="s">
        <v>1298</v>
      </c>
      <c r="B2772" s="9" t="s">
        <v>398</v>
      </c>
      <c r="C2772" s="9" t="n">
        <v>5</v>
      </c>
      <c r="D2772" s="10" t="n">
        <v>0.43</v>
      </c>
      <c r="E2772" s="10" t="n">
        <f aca="false">C2772*D2772</f>
        <v>2.15</v>
      </c>
    </row>
    <row r="2773" customFormat="false" ht="15" hidden="false" customHeight="false" outlineLevel="0" collapsed="false">
      <c r="A2773" s="9" t="s">
        <v>1298</v>
      </c>
      <c r="B2773" s="9" t="s">
        <v>1033</v>
      </c>
      <c r="C2773" s="9" t="n">
        <v>1</v>
      </c>
      <c r="D2773" s="10" t="n">
        <v>2.51</v>
      </c>
      <c r="E2773" s="10" t="n">
        <f aca="false">C2773*D2773</f>
        <v>2.51</v>
      </c>
    </row>
    <row r="2774" customFormat="false" ht="15" hidden="false" customHeight="false" outlineLevel="0" collapsed="false">
      <c r="A2774" s="9" t="s">
        <v>1298</v>
      </c>
      <c r="B2774" s="9" t="s">
        <v>1032</v>
      </c>
      <c r="C2774" s="9" t="n">
        <v>1</v>
      </c>
      <c r="D2774" s="10" t="n">
        <v>2.51</v>
      </c>
      <c r="E2774" s="10" t="n">
        <f aca="false">C2774*D2774</f>
        <v>2.51</v>
      </c>
    </row>
    <row r="2775" customFormat="false" ht="15" hidden="false" customHeight="false" outlineLevel="0" collapsed="false">
      <c r="A2775" s="9" t="s">
        <v>1298</v>
      </c>
      <c r="B2775" s="9" t="s">
        <v>1031</v>
      </c>
      <c r="C2775" s="9" t="n">
        <v>1</v>
      </c>
      <c r="D2775" s="10" t="n">
        <v>2.51</v>
      </c>
      <c r="E2775" s="10" t="n">
        <f aca="false">C2775*D2775</f>
        <v>2.51</v>
      </c>
    </row>
    <row r="2776" customFormat="false" ht="15" hidden="false" customHeight="false" outlineLevel="0" collapsed="false">
      <c r="A2776" s="9" t="s">
        <v>1298</v>
      </c>
      <c r="B2776" s="9" t="s">
        <v>1030</v>
      </c>
      <c r="C2776" s="9" t="n">
        <v>1</v>
      </c>
      <c r="D2776" s="10" t="n">
        <v>2.51</v>
      </c>
      <c r="E2776" s="10" t="n">
        <f aca="false">C2776*D2776</f>
        <v>2.51</v>
      </c>
    </row>
    <row r="2777" customFormat="false" ht="15" hidden="false" customHeight="false" outlineLevel="0" collapsed="false">
      <c r="A2777" s="9" t="s">
        <v>1298</v>
      </c>
      <c r="B2777" s="9" t="s">
        <v>1029</v>
      </c>
      <c r="C2777" s="9" t="n">
        <v>1</v>
      </c>
      <c r="D2777" s="10" t="n">
        <v>2.51</v>
      </c>
      <c r="E2777" s="10" t="n">
        <f aca="false">C2777*D2777</f>
        <v>2.51</v>
      </c>
    </row>
    <row r="2778" customFormat="false" ht="15" hidden="false" customHeight="false" outlineLevel="0" collapsed="false">
      <c r="A2778" s="9" t="s">
        <v>1298</v>
      </c>
      <c r="B2778" s="9" t="s">
        <v>1028</v>
      </c>
      <c r="C2778" s="9" t="n">
        <v>1</v>
      </c>
      <c r="D2778" s="10" t="n">
        <v>2.51</v>
      </c>
      <c r="E2778" s="10" t="n">
        <f aca="false">C2778*D2778</f>
        <v>2.51</v>
      </c>
    </row>
    <row r="2779" customFormat="false" ht="15" hidden="false" customHeight="false" outlineLevel="0" collapsed="false">
      <c r="A2779" s="9" t="s">
        <v>1298</v>
      </c>
      <c r="B2779" s="9" t="s">
        <v>1428</v>
      </c>
      <c r="C2779" s="9" t="n">
        <v>1</v>
      </c>
      <c r="D2779" s="10" t="n">
        <v>3.36</v>
      </c>
      <c r="E2779" s="10" t="n">
        <f aca="false">C2779*D2779</f>
        <v>3.36</v>
      </c>
    </row>
    <row r="2780" customFormat="false" ht="15" hidden="false" customHeight="false" outlineLevel="0" collapsed="false">
      <c r="A2780" s="9" t="s">
        <v>1298</v>
      </c>
      <c r="B2780" s="9" t="s">
        <v>1429</v>
      </c>
      <c r="C2780" s="9" t="n">
        <v>2</v>
      </c>
      <c r="D2780" s="10" t="n">
        <v>0.43</v>
      </c>
      <c r="E2780" s="10" t="n">
        <f aca="false">C2780*D2780</f>
        <v>0.86</v>
      </c>
    </row>
    <row r="2781" customFormat="false" ht="15" hidden="false" customHeight="false" outlineLevel="0" collapsed="false">
      <c r="A2781" s="9" t="s">
        <v>1298</v>
      </c>
      <c r="B2781" s="9" t="s">
        <v>1430</v>
      </c>
      <c r="C2781" s="9" t="n">
        <v>1</v>
      </c>
      <c r="D2781" s="10" t="n">
        <v>0.43</v>
      </c>
      <c r="E2781" s="10" t="n">
        <f aca="false">C2781*D2781</f>
        <v>0.43</v>
      </c>
    </row>
    <row r="2782" customFormat="false" ht="15" hidden="false" customHeight="false" outlineLevel="0" collapsed="false">
      <c r="A2782" s="9" t="s">
        <v>1298</v>
      </c>
      <c r="B2782" s="9" t="s">
        <v>1169</v>
      </c>
      <c r="C2782" s="9" t="n">
        <v>1</v>
      </c>
      <c r="D2782" s="10" t="n">
        <v>4.21</v>
      </c>
      <c r="E2782" s="10" t="n">
        <f aca="false">C2782*D2782</f>
        <v>4.21</v>
      </c>
    </row>
    <row r="2783" customFormat="false" ht="15" hidden="false" customHeight="false" outlineLevel="0" collapsed="false">
      <c r="A2783" s="9" t="s">
        <v>1298</v>
      </c>
      <c r="B2783" s="9" t="s">
        <v>662</v>
      </c>
      <c r="C2783" s="9" t="n">
        <v>1</v>
      </c>
      <c r="D2783" s="10" t="n">
        <v>4.21</v>
      </c>
      <c r="E2783" s="10" t="n">
        <f aca="false">C2783*D2783</f>
        <v>4.21</v>
      </c>
    </row>
    <row r="2784" customFormat="false" ht="15" hidden="false" customHeight="false" outlineLevel="0" collapsed="false">
      <c r="A2784" s="9" t="s">
        <v>1298</v>
      </c>
      <c r="B2784" s="9" t="s">
        <v>1431</v>
      </c>
      <c r="C2784" s="9" t="n">
        <v>1</v>
      </c>
      <c r="D2784" s="10" t="n">
        <v>2.51</v>
      </c>
      <c r="E2784" s="10" t="n">
        <f aca="false">C2784*D2784</f>
        <v>2.51</v>
      </c>
    </row>
    <row r="2785" customFormat="false" ht="15" hidden="false" customHeight="false" outlineLevel="0" collapsed="false">
      <c r="A2785" s="9" t="s">
        <v>1298</v>
      </c>
      <c r="B2785" s="9" t="s">
        <v>1432</v>
      </c>
      <c r="C2785" s="9" t="n">
        <v>1</v>
      </c>
      <c r="D2785" s="10" t="n">
        <v>7.62</v>
      </c>
      <c r="E2785" s="10" t="n">
        <f aca="false">C2785*D2785</f>
        <v>7.62</v>
      </c>
    </row>
    <row r="2786" customFormat="false" ht="15" hidden="false" customHeight="false" outlineLevel="0" collapsed="false">
      <c r="A2786" s="9" t="s">
        <v>1298</v>
      </c>
      <c r="B2786" s="9" t="s">
        <v>1433</v>
      </c>
      <c r="C2786" s="9" t="n">
        <v>1</v>
      </c>
      <c r="D2786" s="10" t="n">
        <v>2.51</v>
      </c>
      <c r="E2786" s="10" t="n">
        <f aca="false">C2786*D2786</f>
        <v>2.51</v>
      </c>
    </row>
    <row r="2787" customFormat="false" ht="15" hidden="false" customHeight="false" outlineLevel="0" collapsed="false">
      <c r="A2787" s="9" t="s">
        <v>1298</v>
      </c>
      <c r="B2787" s="9" t="s">
        <v>1434</v>
      </c>
      <c r="C2787" s="9" t="n">
        <v>1</v>
      </c>
      <c r="D2787" s="10" t="n">
        <v>13.57</v>
      </c>
      <c r="E2787" s="10" t="n">
        <f aca="false">C2787*D2787</f>
        <v>13.57</v>
      </c>
    </row>
    <row r="2788" customFormat="false" ht="15" hidden="false" customHeight="false" outlineLevel="0" collapsed="false">
      <c r="A2788" s="9" t="s">
        <v>1298</v>
      </c>
      <c r="B2788" s="9" t="s">
        <v>1435</v>
      </c>
      <c r="C2788" s="9" t="n">
        <v>2</v>
      </c>
      <c r="D2788" s="10" t="n">
        <v>13.57</v>
      </c>
      <c r="E2788" s="10" t="n">
        <f aca="false">C2788*D2788</f>
        <v>27.14</v>
      </c>
    </row>
    <row r="2789" customFormat="false" ht="15" hidden="false" customHeight="false" outlineLevel="0" collapsed="false">
      <c r="A2789" s="9" t="s">
        <v>1298</v>
      </c>
      <c r="B2789" s="9" t="s">
        <v>660</v>
      </c>
      <c r="C2789" s="9" t="n">
        <v>2</v>
      </c>
      <c r="D2789" s="10" t="n">
        <v>5.91</v>
      </c>
      <c r="E2789" s="10" t="n">
        <f aca="false">C2789*D2789</f>
        <v>11.82</v>
      </c>
    </row>
    <row r="2790" customFormat="false" ht="15" hidden="false" customHeight="false" outlineLevel="0" collapsed="false">
      <c r="A2790" s="9" t="s">
        <v>1298</v>
      </c>
      <c r="B2790" s="9" t="s">
        <v>1436</v>
      </c>
      <c r="C2790" s="9" t="n">
        <v>1</v>
      </c>
      <c r="D2790" s="10" t="n">
        <v>12.72</v>
      </c>
      <c r="E2790" s="10" t="n">
        <f aca="false">C2790*D2790</f>
        <v>12.72</v>
      </c>
    </row>
    <row r="2791" customFormat="false" ht="15" hidden="false" customHeight="false" outlineLevel="0" collapsed="false">
      <c r="A2791" s="9" t="s">
        <v>1298</v>
      </c>
      <c r="B2791" s="9" t="s">
        <v>535</v>
      </c>
      <c r="C2791" s="9" t="n">
        <v>2</v>
      </c>
      <c r="D2791" s="10" t="n">
        <v>2.51</v>
      </c>
      <c r="E2791" s="10" t="n">
        <f aca="false">C2791*D2791</f>
        <v>5.02</v>
      </c>
    </row>
    <row r="2792" customFormat="false" ht="15" hidden="false" customHeight="false" outlineLevel="0" collapsed="false">
      <c r="A2792" s="9" t="s">
        <v>1298</v>
      </c>
      <c r="B2792" s="9" t="s">
        <v>1437</v>
      </c>
      <c r="C2792" s="9" t="n">
        <v>1</v>
      </c>
      <c r="D2792" s="10" t="n">
        <v>5.91</v>
      </c>
      <c r="E2792" s="10" t="n">
        <f aca="false">C2792*D2792</f>
        <v>5.91</v>
      </c>
    </row>
    <row r="2793" customFormat="false" ht="15" hidden="false" customHeight="false" outlineLevel="0" collapsed="false">
      <c r="A2793" s="9" t="s">
        <v>1298</v>
      </c>
      <c r="B2793" s="9" t="s">
        <v>302</v>
      </c>
      <c r="C2793" s="9" t="n">
        <v>19</v>
      </c>
      <c r="D2793" s="10" t="n">
        <v>5.06</v>
      </c>
      <c r="E2793" s="10" t="n">
        <f aca="false">C2793*D2793</f>
        <v>96.14</v>
      </c>
    </row>
    <row r="2794" customFormat="false" ht="15" hidden="false" customHeight="false" outlineLevel="0" collapsed="false">
      <c r="A2794" s="9" t="s">
        <v>1298</v>
      </c>
      <c r="B2794" s="9" t="s">
        <v>996</v>
      </c>
      <c r="C2794" s="9" t="n">
        <v>3</v>
      </c>
      <c r="D2794" s="10" t="n">
        <v>4.21</v>
      </c>
      <c r="E2794" s="10" t="n">
        <f aca="false">C2794*D2794</f>
        <v>12.63</v>
      </c>
    </row>
    <row r="2795" customFormat="false" ht="15" hidden="false" customHeight="false" outlineLevel="0" collapsed="false">
      <c r="A2795" s="9" t="s">
        <v>1298</v>
      </c>
      <c r="B2795" s="9" t="s">
        <v>1203</v>
      </c>
      <c r="C2795" s="9" t="n">
        <v>2</v>
      </c>
      <c r="D2795" s="10" t="n">
        <v>4.21</v>
      </c>
      <c r="E2795" s="10" t="n">
        <f aca="false">C2795*D2795</f>
        <v>8.42</v>
      </c>
    </row>
    <row r="2796" customFormat="false" ht="15" hidden="false" customHeight="false" outlineLevel="0" collapsed="false">
      <c r="A2796" s="9" t="s">
        <v>1298</v>
      </c>
      <c r="B2796" s="9" t="s">
        <v>1438</v>
      </c>
      <c r="C2796" s="9" t="n">
        <v>2</v>
      </c>
      <c r="D2796" s="10" t="n">
        <v>5.91</v>
      </c>
      <c r="E2796" s="10" t="n">
        <f aca="false">C2796*D2796</f>
        <v>11.82</v>
      </c>
    </row>
    <row r="2797" customFormat="false" ht="15" hidden="false" customHeight="false" outlineLevel="0" collapsed="false">
      <c r="A2797" s="9" t="s">
        <v>1298</v>
      </c>
      <c r="B2797" s="9" t="s">
        <v>993</v>
      </c>
      <c r="C2797" s="9" t="n">
        <v>5</v>
      </c>
      <c r="D2797" s="10" t="n">
        <v>4.21</v>
      </c>
      <c r="E2797" s="10" t="n">
        <f aca="false">C2797*D2797</f>
        <v>21.05</v>
      </c>
    </row>
    <row r="2798" customFormat="false" ht="15" hidden="false" customHeight="false" outlineLevel="0" collapsed="false">
      <c r="A2798" s="9" t="s">
        <v>1298</v>
      </c>
      <c r="B2798" s="9" t="s">
        <v>697</v>
      </c>
      <c r="C2798" s="9" t="n">
        <v>2</v>
      </c>
      <c r="D2798" s="10" t="n">
        <v>3.36</v>
      </c>
      <c r="E2798" s="10" t="n">
        <f aca="false">C2798*D2798</f>
        <v>6.72</v>
      </c>
    </row>
    <row r="2799" customFormat="false" ht="15" hidden="false" customHeight="false" outlineLevel="0" collapsed="false">
      <c r="A2799" s="9" t="s">
        <v>1298</v>
      </c>
      <c r="B2799" s="9" t="s">
        <v>1439</v>
      </c>
      <c r="C2799" s="9" t="n">
        <v>1</v>
      </c>
      <c r="D2799" s="10" t="n">
        <v>3.36</v>
      </c>
      <c r="E2799" s="10" t="n">
        <f aca="false">C2799*D2799</f>
        <v>3.36</v>
      </c>
    </row>
    <row r="2800" customFormat="false" ht="15" hidden="false" customHeight="false" outlineLevel="0" collapsed="false">
      <c r="A2800" s="9" t="s">
        <v>1298</v>
      </c>
      <c r="B2800" s="9" t="s">
        <v>116</v>
      </c>
      <c r="C2800" s="9" t="n">
        <v>12</v>
      </c>
      <c r="D2800" s="10" t="n">
        <v>1.28</v>
      </c>
      <c r="E2800" s="10" t="n">
        <f aca="false">C2800*D2800</f>
        <v>15.36</v>
      </c>
    </row>
    <row r="2801" customFormat="false" ht="15" hidden="false" customHeight="false" outlineLevel="0" collapsed="false">
      <c r="A2801" s="9" t="s">
        <v>1298</v>
      </c>
      <c r="B2801" s="9" t="s">
        <v>995</v>
      </c>
      <c r="C2801" s="9" t="n">
        <v>4</v>
      </c>
      <c r="D2801" s="10" t="n">
        <v>4.21</v>
      </c>
      <c r="E2801" s="10" t="n">
        <f aca="false">C2801*D2801</f>
        <v>16.84</v>
      </c>
    </row>
    <row r="2802" customFormat="false" ht="15" hidden="false" customHeight="false" outlineLevel="0" collapsed="false">
      <c r="A2802" s="9" t="s">
        <v>1298</v>
      </c>
      <c r="B2802" s="9" t="s">
        <v>696</v>
      </c>
      <c r="C2802" s="9" t="n">
        <v>22</v>
      </c>
      <c r="D2802" s="10" t="n">
        <v>2.51</v>
      </c>
      <c r="E2802" s="10" t="n">
        <f aca="false">C2802*D2802</f>
        <v>55.22</v>
      </c>
    </row>
    <row r="2803" customFormat="false" ht="15" hidden="false" customHeight="false" outlineLevel="0" collapsed="false">
      <c r="A2803" s="9" t="s">
        <v>1298</v>
      </c>
      <c r="B2803" s="9" t="s">
        <v>95</v>
      </c>
      <c r="C2803" s="9" t="n">
        <v>1</v>
      </c>
      <c r="D2803" s="10" t="n">
        <v>2.51</v>
      </c>
      <c r="E2803" s="10" t="n">
        <f aca="false">C2803*D2803</f>
        <v>2.51</v>
      </c>
    </row>
    <row r="2804" customFormat="false" ht="15" hidden="false" customHeight="false" outlineLevel="0" collapsed="false">
      <c r="A2804" s="9" t="s">
        <v>1298</v>
      </c>
      <c r="B2804" s="9" t="s">
        <v>1045</v>
      </c>
      <c r="C2804" s="9" t="n">
        <v>1</v>
      </c>
      <c r="D2804" s="10" t="n">
        <v>2.51</v>
      </c>
      <c r="E2804" s="10" t="n">
        <f aca="false">C2804*D2804</f>
        <v>2.51</v>
      </c>
    </row>
    <row r="2805" customFormat="false" ht="15" hidden="false" customHeight="false" outlineLevel="0" collapsed="false">
      <c r="A2805" s="9" t="s">
        <v>1298</v>
      </c>
      <c r="B2805" s="9" t="s">
        <v>363</v>
      </c>
      <c r="C2805" s="9" t="n">
        <v>1</v>
      </c>
      <c r="D2805" s="10" t="n">
        <v>5.91</v>
      </c>
      <c r="E2805" s="10" t="n">
        <f aca="false">C2805*D2805</f>
        <v>5.91</v>
      </c>
    </row>
    <row r="2806" customFormat="false" ht="15" hidden="false" customHeight="false" outlineLevel="0" collapsed="false">
      <c r="A2806" s="9" t="s">
        <v>1298</v>
      </c>
      <c r="B2806" s="9" t="s">
        <v>1440</v>
      </c>
      <c r="C2806" s="9" t="n">
        <v>2</v>
      </c>
      <c r="D2806" s="10" t="n">
        <v>7.62</v>
      </c>
      <c r="E2806" s="10" t="n">
        <f aca="false">C2806*D2806</f>
        <v>15.24</v>
      </c>
    </row>
    <row r="2807" customFormat="false" ht="15" hidden="false" customHeight="false" outlineLevel="0" collapsed="false">
      <c r="A2807" s="9" t="s">
        <v>1298</v>
      </c>
      <c r="B2807" s="9" t="s">
        <v>1053</v>
      </c>
      <c r="C2807" s="9" t="n">
        <v>2</v>
      </c>
      <c r="D2807" s="10" t="n">
        <v>2.51</v>
      </c>
      <c r="E2807" s="10" t="n">
        <f aca="false">C2807*D2807</f>
        <v>5.02</v>
      </c>
    </row>
    <row r="2808" customFormat="false" ht="15" hidden="false" customHeight="false" outlineLevel="0" collapsed="false">
      <c r="A2808" s="9" t="s">
        <v>1298</v>
      </c>
      <c r="B2808" s="9" t="s">
        <v>290</v>
      </c>
      <c r="C2808" s="9" t="n">
        <v>1</v>
      </c>
      <c r="D2808" s="10" t="n">
        <v>2.51</v>
      </c>
      <c r="E2808" s="10" t="n">
        <f aca="false">C2808*D2808</f>
        <v>2.51</v>
      </c>
    </row>
    <row r="2809" customFormat="false" ht="15" hidden="false" customHeight="false" outlineLevel="0" collapsed="false">
      <c r="A2809" s="9" t="s">
        <v>1298</v>
      </c>
      <c r="B2809" s="9" t="s">
        <v>287</v>
      </c>
      <c r="C2809" s="9" t="n">
        <v>1</v>
      </c>
      <c r="D2809" s="10" t="n">
        <v>2.51</v>
      </c>
      <c r="E2809" s="10" t="n">
        <f aca="false">C2809*D2809</f>
        <v>2.51</v>
      </c>
    </row>
    <row r="2810" customFormat="false" ht="15" hidden="false" customHeight="false" outlineLevel="0" collapsed="false">
      <c r="A2810" s="9" t="s">
        <v>1298</v>
      </c>
      <c r="B2810" s="9" t="s">
        <v>707</v>
      </c>
      <c r="C2810" s="9" t="n">
        <v>1</v>
      </c>
      <c r="D2810" s="10" t="n">
        <v>2.51</v>
      </c>
      <c r="E2810" s="10" t="n">
        <f aca="false">C2810*D2810</f>
        <v>2.51</v>
      </c>
    </row>
    <row r="2811" customFormat="false" ht="15" hidden="false" customHeight="false" outlineLevel="0" collapsed="false">
      <c r="A2811" s="9" t="s">
        <v>1298</v>
      </c>
      <c r="B2811" s="9" t="s">
        <v>727</v>
      </c>
      <c r="C2811" s="9" t="n">
        <v>15</v>
      </c>
      <c r="D2811" s="10" t="n">
        <v>1.28</v>
      </c>
      <c r="E2811" s="10" t="n">
        <f aca="false">C2811*D2811</f>
        <v>19.2</v>
      </c>
    </row>
    <row r="2812" customFormat="false" ht="15" hidden="false" customHeight="false" outlineLevel="0" collapsed="false">
      <c r="A2812" s="9" t="s">
        <v>1298</v>
      </c>
      <c r="B2812" s="9" t="s">
        <v>725</v>
      </c>
      <c r="C2812" s="9" t="n">
        <v>12</v>
      </c>
      <c r="D2812" s="10" t="n">
        <v>1.28</v>
      </c>
      <c r="E2812" s="10" t="n">
        <f aca="false">C2812*D2812</f>
        <v>15.36</v>
      </c>
    </row>
    <row r="2813" customFormat="false" ht="15" hidden="false" customHeight="false" outlineLevel="0" collapsed="false">
      <c r="A2813" s="9" t="s">
        <v>1298</v>
      </c>
      <c r="B2813" s="9" t="s">
        <v>1050</v>
      </c>
      <c r="C2813" s="9" t="n">
        <v>18</v>
      </c>
      <c r="D2813" s="10" t="n">
        <v>1.28</v>
      </c>
      <c r="E2813" s="10" t="n">
        <f aca="false">C2813*D2813</f>
        <v>23.04</v>
      </c>
    </row>
    <row r="2814" customFormat="false" ht="15" hidden="false" customHeight="false" outlineLevel="0" collapsed="false">
      <c r="A2814" s="9" t="s">
        <v>1298</v>
      </c>
      <c r="B2814" s="9" t="s">
        <v>1441</v>
      </c>
      <c r="C2814" s="9" t="n">
        <v>2</v>
      </c>
      <c r="D2814" s="10" t="n">
        <v>3.36</v>
      </c>
      <c r="E2814" s="10" t="n">
        <f aca="false">C2814*D2814</f>
        <v>6.72</v>
      </c>
    </row>
    <row r="2815" customFormat="false" ht="15" hidden="false" customHeight="false" outlineLevel="0" collapsed="false">
      <c r="A2815" s="9" t="s">
        <v>1298</v>
      </c>
      <c r="B2815" s="9" t="s">
        <v>1046</v>
      </c>
      <c r="C2815" s="9" t="n">
        <v>6</v>
      </c>
      <c r="D2815" s="10" t="n">
        <v>2.51</v>
      </c>
      <c r="E2815" s="10" t="n">
        <f aca="false">C2815*D2815</f>
        <v>15.06</v>
      </c>
    </row>
    <row r="2816" customFormat="false" ht="15" hidden="false" customHeight="false" outlineLevel="0" collapsed="false">
      <c r="A2816" s="9" t="s">
        <v>1298</v>
      </c>
      <c r="B2816" s="9" t="s">
        <v>1442</v>
      </c>
      <c r="C2816" s="9" t="n">
        <v>1</v>
      </c>
      <c r="D2816" s="10" t="n">
        <v>1.28</v>
      </c>
      <c r="E2816" s="10" t="n">
        <f aca="false">C2816*D2816</f>
        <v>1.28</v>
      </c>
    </row>
    <row r="2817" customFormat="false" ht="15" hidden="false" customHeight="false" outlineLevel="0" collapsed="false">
      <c r="A2817" s="9" t="s">
        <v>1298</v>
      </c>
      <c r="B2817" s="9" t="s">
        <v>78</v>
      </c>
      <c r="C2817" s="9" t="n">
        <v>2</v>
      </c>
      <c r="D2817" s="10" t="n">
        <v>5.91</v>
      </c>
      <c r="E2817" s="10" t="n">
        <f aca="false">C2817*D2817</f>
        <v>11.82</v>
      </c>
    </row>
    <row r="2818" customFormat="false" ht="15" hidden="false" customHeight="false" outlineLevel="0" collapsed="false">
      <c r="A2818" s="9" t="s">
        <v>1298</v>
      </c>
      <c r="B2818" s="9" t="s">
        <v>878</v>
      </c>
      <c r="C2818" s="9" t="n">
        <v>2</v>
      </c>
      <c r="D2818" s="10" t="n">
        <v>16.98</v>
      </c>
      <c r="E2818" s="10" t="n">
        <f aca="false">C2818*D2818</f>
        <v>33.96</v>
      </c>
    </row>
    <row r="2819" customFormat="false" ht="15" hidden="false" customHeight="false" outlineLevel="0" collapsed="false">
      <c r="A2819" s="9" t="s">
        <v>1298</v>
      </c>
      <c r="B2819" s="9" t="s">
        <v>1443</v>
      </c>
      <c r="C2819" s="9" t="n">
        <v>1</v>
      </c>
      <c r="D2819" s="10" t="n">
        <v>2.51</v>
      </c>
      <c r="E2819" s="10" t="n">
        <f aca="false">C2819*D2819</f>
        <v>2.51</v>
      </c>
    </row>
    <row r="2820" customFormat="false" ht="15" hidden="false" customHeight="false" outlineLevel="0" collapsed="false">
      <c r="A2820" s="9" t="s">
        <v>1298</v>
      </c>
      <c r="B2820" s="9" t="s">
        <v>1288</v>
      </c>
      <c r="C2820" s="9" t="n">
        <v>1</v>
      </c>
      <c r="D2820" s="10" t="n">
        <v>11.02</v>
      </c>
      <c r="E2820" s="10" t="n">
        <f aca="false">C2820*D2820</f>
        <v>11.02</v>
      </c>
    </row>
    <row r="2821" customFormat="false" ht="15" hidden="false" customHeight="false" outlineLevel="0" collapsed="false">
      <c r="A2821" s="9" t="s">
        <v>1298</v>
      </c>
      <c r="B2821" s="9" t="s">
        <v>1444</v>
      </c>
      <c r="C2821" s="9" t="n">
        <v>1</v>
      </c>
      <c r="D2821" s="10" t="n">
        <v>3.36</v>
      </c>
      <c r="E2821" s="10" t="n">
        <f aca="false">C2821*D2821</f>
        <v>3.36</v>
      </c>
    </row>
    <row r="2822" customFormat="false" ht="15" hidden="false" customHeight="false" outlineLevel="0" collapsed="false">
      <c r="A2822" s="9" t="s">
        <v>1298</v>
      </c>
      <c r="B2822" s="9" t="s">
        <v>1445</v>
      </c>
      <c r="C2822" s="9" t="n">
        <v>2</v>
      </c>
      <c r="D2822" s="10" t="n">
        <v>3.36</v>
      </c>
      <c r="E2822" s="10" t="n">
        <f aca="false">C2822*D2822</f>
        <v>6.72</v>
      </c>
    </row>
    <row r="2823" customFormat="false" ht="15" hidden="false" customHeight="false" outlineLevel="0" collapsed="false">
      <c r="A2823" s="9" t="s">
        <v>1298</v>
      </c>
      <c r="B2823" s="9" t="s">
        <v>243</v>
      </c>
      <c r="C2823" s="9" t="n">
        <v>2</v>
      </c>
      <c r="D2823" s="10" t="n">
        <v>2.51</v>
      </c>
      <c r="E2823" s="10" t="n">
        <f aca="false">C2823*D2823</f>
        <v>5.02</v>
      </c>
    </row>
    <row r="2824" customFormat="false" ht="15" hidden="false" customHeight="false" outlineLevel="0" collapsed="false">
      <c r="A2824" s="9" t="s">
        <v>1298</v>
      </c>
      <c r="B2824" s="9" t="s">
        <v>1446</v>
      </c>
      <c r="C2824" s="9" t="n">
        <v>2</v>
      </c>
      <c r="D2824" s="10" t="n">
        <v>5.06</v>
      </c>
      <c r="E2824" s="10" t="n">
        <f aca="false">C2824*D2824</f>
        <v>10.12</v>
      </c>
    </row>
    <row r="2825" customFormat="false" ht="15" hidden="false" customHeight="false" outlineLevel="0" collapsed="false">
      <c r="A2825" s="9" t="s">
        <v>1298</v>
      </c>
      <c r="B2825" s="9" t="s">
        <v>126</v>
      </c>
      <c r="C2825" s="9" t="n">
        <v>1</v>
      </c>
      <c r="D2825" s="10" t="n">
        <v>5.06</v>
      </c>
      <c r="E2825" s="10" t="n">
        <f aca="false">C2825*D2825</f>
        <v>5.06</v>
      </c>
    </row>
    <row r="2826" customFormat="false" ht="15" hidden="false" customHeight="false" outlineLevel="0" collapsed="false">
      <c r="A2826" s="9" t="s">
        <v>1298</v>
      </c>
      <c r="B2826" s="9" t="s">
        <v>885</v>
      </c>
      <c r="C2826" s="9" t="n">
        <v>2</v>
      </c>
      <c r="D2826" s="10" t="n">
        <v>1.66</v>
      </c>
      <c r="E2826" s="10" t="n">
        <f aca="false">C2826*D2826</f>
        <v>3.32</v>
      </c>
    </row>
    <row r="2827" customFormat="false" ht="15" hidden="false" customHeight="false" outlineLevel="0" collapsed="false">
      <c r="A2827" s="9" t="s">
        <v>1298</v>
      </c>
      <c r="B2827" s="9" t="s">
        <v>1076</v>
      </c>
      <c r="C2827" s="9" t="n">
        <v>6</v>
      </c>
      <c r="D2827" s="10" t="n">
        <v>1.66</v>
      </c>
      <c r="E2827" s="10" t="n">
        <f aca="false">C2827*D2827</f>
        <v>9.96</v>
      </c>
    </row>
    <row r="2828" customFormat="false" ht="15" hidden="false" customHeight="false" outlineLevel="0" collapsed="false">
      <c r="A2828" s="9" t="s">
        <v>1298</v>
      </c>
      <c r="B2828" s="9" t="s">
        <v>780</v>
      </c>
      <c r="C2828" s="9" t="n">
        <v>1</v>
      </c>
      <c r="D2828" s="10" t="n">
        <v>5.91</v>
      </c>
      <c r="E2828" s="10" t="n">
        <f aca="false">C2828*D2828</f>
        <v>5.91</v>
      </c>
    </row>
    <row r="2829" customFormat="false" ht="15" hidden="false" customHeight="false" outlineLevel="0" collapsed="false">
      <c r="A2829" s="9" t="s">
        <v>1298</v>
      </c>
      <c r="B2829" s="9" t="s">
        <v>371</v>
      </c>
      <c r="C2829" s="9" t="n">
        <v>3</v>
      </c>
      <c r="D2829" s="10" t="n">
        <v>8.47</v>
      </c>
      <c r="E2829" s="10" t="n">
        <f aca="false">C2829*D2829</f>
        <v>25.41</v>
      </c>
    </row>
    <row r="2830" customFormat="false" ht="15" hidden="false" customHeight="false" outlineLevel="0" collapsed="false">
      <c r="A2830" s="9" t="s">
        <v>1298</v>
      </c>
      <c r="B2830" s="9" t="s">
        <v>1077</v>
      </c>
      <c r="C2830" s="9" t="n">
        <v>2</v>
      </c>
      <c r="D2830" s="10" t="n">
        <v>1.66</v>
      </c>
      <c r="E2830" s="10" t="n">
        <f aca="false">C2830*D2830</f>
        <v>3.32</v>
      </c>
    </row>
    <row r="2831" customFormat="false" ht="15" hidden="false" customHeight="false" outlineLevel="0" collapsed="false">
      <c r="A2831" s="9" t="s">
        <v>1298</v>
      </c>
      <c r="B2831" s="9" t="s">
        <v>625</v>
      </c>
      <c r="C2831" s="9" t="n">
        <v>2</v>
      </c>
      <c r="D2831" s="10" t="n">
        <v>8.47</v>
      </c>
      <c r="E2831" s="10" t="n">
        <f aca="false">C2831*D2831</f>
        <v>16.94</v>
      </c>
    </row>
    <row r="2832" customFormat="false" ht="15" hidden="false" customHeight="false" outlineLevel="0" collapsed="false">
      <c r="A2832" s="9" t="s">
        <v>1298</v>
      </c>
      <c r="B2832" s="9" t="s">
        <v>168</v>
      </c>
      <c r="C2832" s="9" t="n">
        <v>1</v>
      </c>
      <c r="D2832" s="10" t="n">
        <v>4.21</v>
      </c>
      <c r="E2832" s="10" t="n">
        <f aca="false">C2832*D2832</f>
        <v>4.21</v>
      </c>
    </row>
    <row r="2833" customFormat="false" ht="15" hidden="false" customHeight="false" outlineLevel="0" collapsed="false">
      <c r="A2833" s="9" t="s">
        <v>1298</v>
      </c>
      <c r="B2833" s="9" t="s">
        <v>108</v>
      </c>
      <c r="C2833" s="9" t="n">
        <v>3</v>
      </c>
      <c r="D2833" s="10" t="n">
        <v>4.21</v>
      </c>
      <c r="E2833" s="10" t="n">
        <f aca="false">C2833*D2833</f>
        <v>12.63</v>
      </c>
    </row>
    <row r="2834" customFormat="false" ht="15" hidden="false" customHeight="false" outlineLevel="0" collapsed="false">
      <c r="A2834" s="9" t="s">
        <v>1298</v>
      </c>
      <c r="B2834" s="9" t="s">
        <v>1447</v>
      </c>
      <c r="C2834" s="9" t="n">
        <v>1</v>
      </c>
      <c r="D2834" s="10" t="n">
        <v>5.06</v>
      </c>
      <c r="E2834" s="10" t="n">
        <f aca="false">C2834*D2834</f>
        <v>5.06</v>
      </c>
    </row>
    <row r="2835" customFormat="false" ht="15" hidden="false" customHeight="false" outlineLevel="0" collapsed="false">
      <c r="A2835" s="9" t="s">
        <v>1298</v>
      </c>
      <c r="B2835" s="9" t="s">
        <v>1108</v>
      </c>
      <c r="C2835" s="9" t="n">
        <v>1</v>
      </c>
      <c r="D2835" s="10" t="n">
        <v>2.51</v>
      </c>
      <c r="E2835" s="10" t="n">
        <f aca="false">C2835*D2835</f>
        <v>2.51</v>
      </c>
    </row>
    <row r="2836" customFormat="false" ht="15" hidden="false" customHeight="false" outlineLevel="0" collapsed="false">
      <c r="A2836" s="9" t="s">
        <v>1298</v>
      </c>
      <c r="B2836" s="9" t="s">
        <v>1448</v>
      </c>
      <c r="C2836" s="9" t="n">
        <v>1</v>
      </c>
      <c r="D2836" s="10" t="n">
        <v>2.51</v>
      </c>
      <c r="E2836" s="10" t="n">
        <f aca="false">C2836*D2836</f>
        <v>2.51</v>
      </c>
    </row>
    <row r="2837" customFormat="false" ht="15" hidden="false" customHeight="false" outlineLevel="0" collapsed="false">
      <c r="A2837" s="9" t="s">
        <v>1298</v>
      </c>
      <c r="B2837" s="9" t="s">
        <v>1449</v>
      </c>
      <c r="C2837" s="9" t="n">
        <v>1</v>
      </c>
      <c r="D2837" s="10" t="n">
        <v>2.51</v>
      </c>
      <c r="E2837" s="10" t="n">
        <f aca="false">C2837*D2837</f>
        <v>2.51</v>
      </c>
    </row>
    <row r="2838" customFormat="false" ht="15" hidden="false" customHeight="false" outlineLevel="0" collapsed="false">
      <c r="A2838" s="9" t="s">
        <v>1298</v>
      </c>
      <c r="B2838" s="9" t="s">
        <v>171</v>
      </c>
      <c r="C2838" s="9" t="n">
        <v>2</v>
      </c>
      <c r="D2838" s="10" t="n">
        <v>4.21</v>
      </c>
      <c r="E2838" s="10" t="n">
        <f aca="false">C2838*D2838</f>
        <v>8.42</v>
      </c>
    </row>
    <row r="2839" customFormat="false" ht="15" hidden="false" customHeight="false" outlineLevel="0" collapsed="false">
      <c r="A2839" s="9" t="s">
        <v>1298</v>
      </c>
      <c r="B2839" s="9" t="s">
        <v>1450</v>
      </c>
      <c r="C2839" s="9" t="n">
        <v>1</v>
      </c>
      <c r="D2839" s="10" t="n">
        <v>3.36</v>
      </c>
      <c r="E2839" s="10" t="n">
        <f aca="false">C2839*D2839</f>
        <v>3.36</v>
      </c>
    </row>
    <row r="2840" customFormat="false" ht="15" hidden="false" customHeight="false" outlineLevel="0" collapsed="false">
      <c r="A2840" s="9" t="s">
        <v>1298</v>
      </c>
      <c r="B2840" s="9" t="s">
        <v>1451</v>
      </c>
      <c r="C2840" s="9" t="n">
        <v>1</v>
      </c>
      <c r="D2840" s="10" t="n">
        <v>3.36</v>
      </c>
      <c r="E2840" s="10" t="n">
        <f aca="false">C2840*D2840</f>
        <v>3.36</v>
      </c>
    </row>
    <row r="2841" customFormat="false" ht="15" hidden="false" customHeight="false" outlineLevel="0" collapsed="false">
      <c r="A2841" s="9" t="s">
        <v>1298</v>
      </c>
      <c r="B2841" s="9" t="s">
        <v>1452</v>
      </c>
      <c r="C2841" s="9" t="n">
        <v>1</v>
      </c>
      <c r="D2841" s="10" t="n">
        <v>11.87</v>
      </c>
      <c r="E2841" s="10" t="n">
        <f aca="false">C2841*D2841</f>
        <v>11.87</v>
      </c>
    </row>
    <row r="2842" customFormat="false" ht="15" hidden="false" customHeight="false" outlineLevel="0" collapsed="false">
      <c r="A2842" s="9" t="s">
        <v>1298</v>
      </c>
      <c r="B2842" s="9" t="s">
        <v>1090</v>
      </c>
      <c r="C2842" s="9" t="n">
        <v>1</v>
      </c>
      <c r="D2842" s="10" t="n">
        <v>1.66</v>
      </c>
      <c r="E2842" s="10" t="n">
        <f aca="false">C2842*D2842</f>
        <v>1.66</v>
      </c>
    </row>
    <row r="2843" customFormat="false" ht="15" hidden="false" customHeight="false" outlineLevel="0" collapsed="false">
      <c r="A2843" s="9" t="s">
        <v>1298</v>
      </c>
      <c r="B2843" s="9" t="s">
        <v>1168</v>
      </c>
      <c r="C2843" s="9" t="n">
        <v>1</v>
      </c>
      <c r="D2843" s="10" t="n">
        <v>11.02</v>
      </c>
      <c r="E2843" s="10" t="n">
        <f aca="false">C2843*D2843</f>
        <v>11.02</v>
      </c>
    </row>
    <row r="2844" customFormat="false" ht="15" hidden="false" customHeight="false" outlineLevel="0" collapsed="false">
      <c r="A2844" s="9" t="s">
        <v>1298</v>
      </c>
      <c r="B2844" s="9" t="s">
        <v>1453</v>
      </c>
      <c r="C2844" s="9" t="n">
        <v>1</v>
      </c>
      <c r="D2844" s="10" t="n">
        <v>16.13</v>
      </c>
      <c r="E2844" s="10" t="n">
        <f aca="false">C2844*D2844</f>
        <v>16.13</v>
      </c>
    </row>
    <row r="2845" customFormat="false" ht="15" hidden="false" customHeight="false" outlineLevel="0" collapsed="false">
      <c r="A2845" s="9" t="s">
        <v>1298</v>
      </c>
      <c r="B2845" s="9" t="s">
        <v>549</v>
      </c>
      <c r="C2845" s="9" t="n">
        <v>3</v>
      </c>
      <c r="D2845" s="10" t="n">
        <v>2.51</v>
      </c>
      <c r="E2845" s="10" t="n">
        <f aca="false">C2845*D2845</f>
        <v>7.53</v>
      </c>
    </row>
    <row r="2846" customFormat="false" ht="15" hidden="false" customHeight="false" outlineLevel="0" collapsed="false">
      <c r="A2846" s="9" t="s">
        <v>1298</v>
      </c>
      <c r="B2846" s="9" t="s">
        <v>1084</v>
      </c>
      <c r="C2846" s="9" t="n">
        <v>2</v>
      </c>
      <c r="D2846" s="10" t="n">
        <v>5.06</v>
      </c>
      <c r="E2846" s="10" t="n">
        <f aca="false">C2846*D2846</f>
        <v>10.12</v>
      </c>
    </row>
    <row r="2847" customFormat="false" ht="15" hidden="false" customHeight="false" outlineLevel="0" collapsed="false">
      <c r="A2847" s="9" t="s">
        <v>1298</v>
      </c>
      <c r="B2847" s="9" t="s">
        <v>1083</v>
      </c>
      <c r="C2847" s="9" t="n">
        <v>2</v>
      </c>
      <c r="D2847" s="10" t="n">
        <v>5.06</v>
      </c>
      <c r="E2847" s="10" t="n">
        <f aca="false">C2847*D2847</f>
        <v>10.12</v>
      </c>
    </row>
    <row r="2848" customFormat="false" ht="15" hidden="false" customHeight="false" outlineLevel="0" collapsed="false">
      <c r="A2848" s="9" t="s">
        <v>1298</v>
      </c>
      <c r="B2848" s="9" t="s">
        <v>1454</v>
      </c>
      <c r="C2848" s="9" t="n">
        <v>1</v>
      </c>
      <c r="D2848" s="10" t="n">
        <v>5.06</v>
      </c>
      <c r="E2848" s="10" t="n">
        <f aca="false">C2848*D2848</f>
        <v>5.06</v>
      </c>
    </row>
    <row r="2849" customFormat="false" ht="15" hidden="false" customHeight="false" outlineLevel="0" collapsed="false">
      <c r="A2849" s="9" t="s">
        <v>1298</v>
      </c>
      <c r="B2849" s="9" t="s">
        <v>1455</v>
      </c>
      <c r="C2849" s="9" t="n">
        <v>1</v>
      </c>
      <c r="D2849" s="10" t="n">
        <v>5.06</v>
      </c>
      <c r="E2849" s="10" t="n">
        <f aca="false">C2849*D2849</f>
        <v>5.06</v>
      </c>
    </row>
    <row r="2850" customFormat="false" ht="15" hidden="false" customHeight="false" outlineLevel="0" collapsed="false">
      <c r="A2850" s="9" t="s">
        <v>1298</v>
      </c>
      <c r="B2850" s="9" t="s">
        <v>1082</v>
      </c>
      <c r="C2850" s="9" t="n">
        <v>1</v>
      </c>
      <c r="D2850" s="10" t="n">
        <v>5.06</v>
      </c>
      <c r="E2850" s="10" t="n">
        <f aca="false">C2850*D2850</f>
        <v>5.06</v>
      </c>
    </row>
    <row r="2851" customFormat="false" ht="15" hidden="false" customHeight="false" outlineLevel="0" collapsed="false">
      <c r="A2851" s="9" t="s">
        <v>1298</v>
      </c>
      <c r="B2851" s="9" t="s">
        <v>54</v>
      </c>
      <c r="C2851" s="9" t="n">
        <v>1</v>
      </c>
      <c r="D2851" s="10" t="n">
        <v>3.36</v>
      </c>
      <c r="E2851" s="10" t="n">
        <f aca="false">C2851*D2851</f>
        <v>3.36</v>
      </c>
    </row>
    <row r="2852" customFormat="false" ht="15" hidden="false" customHeight="false" outlineLevel="0" collapsed="false">
      <c r="A2852" s="9" t="s">
        <v>1298</v>
      </c>
      <c r="B2852" s="9" t="s">
        <v>833</v>
      </c>
      <c r="C2852" s="9" t="n">
        <v>2</v>
      </c>
      <c r="D2852" s="10" t="n">
        <v>5.91</v>
      </c>
      <c r="E2852" s="10" t="n">
        <f aca="false">C2852*D2852</f>
        <v>11.82</v>
      </c>
    </row>
    <row r="2853" customFormat="false" ht="15" hidden="false" customHeight="false" outlineLevel="0" collapsed="false">
      <c r="A2853" s="9" t="s">
        <v>1298</v>
      </c>
      <c r="B2853" s="9" t="s">
        <v>580</v>
      </c>
      <c r="C2853" s="9" t="n">
        <v>1</v>
      </c>
      <c r="D2853" s="10" t="n">
        <v>5.91</v>
      </c>
      <c r="E2853" s="10" t="n">
        <f aca="false">C2853*D2853</f>
        <v>5.91</v>
      </c>
    </row>
    <row r="2854" customFormat="false" ht="15" hidden="false" customHeight="false" outlineLevel="0" collapsed="false">
      <c r="A2854" s="9" t="s">
        <v>1298</v>
      </c>
      <c r="B2854" s="9" t="s">
        <v>1081</v>
      </c>
      <c r="C2854" s="9" t="n">
        <v>1</v>
      </c>
      <c r="D2854" s="10" t="n">
        <v>5.91</v>
      </c>
      <c r="E2854" s="10" t="n">
        <f aca="false">C2854*D2854</f>
        <v>5.91</v>
      </c>
    </row>
    <row r="2855" customFormat="false" ht="15" hidden="false" customHeight="false" outlineLevel="0" collapsed="false">
      <c r="A2855" s="9" t="s">
        <v>1298</v>
      </c>
      <c r="B2855" s="9" t="s">
        <v>1456</v>
      </c>
      <c r="C2855" s="9" t="n">
        <v>2</v>
      </c>
      <c r="D2855" s="10" t="n">
        <v>5.91</v>
      </c>
      <c r="E2855" s="10" t="n">
        <f aca="false">C2855*D2855</f>
        <v>11.82</v>
      </c>
    </row>
    <row r="2856" customFormat="false" ht="15" hidden="false" customHeight="false" outlineLevel="0" collapsed="false">
      <c r="A2856" s="9" t="s">
        <v>1298</v>
      </c>
      <c r="B2856" s="9" t="s">
        <v>1457</v>
      </c>
      <c r="C2856" s="9" t="n">
        <v>1</v>
      </c>
      <c r="D2856" s="10" t="n">
        <v>4.21</v>
      </c>
      <c r="E2856" s="10" t="n">
        <f aca="false">C2856*D2856</f>
        <v>4.21</v>
      </c>
    </row>
    <row r="2857" customFormat="false" ht="15" hidden="false" customHeight="false" outlineLevel="0" collapsed="false">
      <c r="A2857" s="9" t="s">
        <v>1298</v>
      </c>
      <c r="B2857" s="9" t="s">
        <v>150</v>
      </c>
      <c r="C2857" s="9" t="n">
        <v>2</v>
      </c>
      <c r="D2857" s="10" t="n">
        <v>4.21</v>
      </c>
      <c r="E2857" s="10" t="n">
        <f aca="false">C2857*D2857</f>
        <v>8.42</v>
      </c>
    </row>
    <row r="2858" customFormat="false" ht="15" hidden="false" customHeight="false" outlineLevel="0" collapsed="false">
      <c r="A2858" s="9" t="s">
        <v>1298</v>
      </c>
      <c r="B2858" s="9" t="s">
        <v>331</v>
      </c>
      <c r="C2858" s="9" t="n">
        <v>1</v>
      </c>
      <c r="D2858" s="10" t="n">
        <v>5.91</v>
      </c>
      <c r="E2858" s="10" t="n">
        <f aca="false">C2858*D2858</f>
        <v>5.91</v>
      </c>
    </row>
    <row r="2859" customFormat="false" ht="15" hidden="false" customHeight="false" outlineLevel="0" collapsed="false">
      <c r="A2859" s="9" t="s">
        <v>1298</v>
      </c>
      <c r="B2859" s="9" t="s">
        <v>1136</v>
      </c>
      <c r="C2859" s="9" t="n">
        <v>7</v>
      </c>
      <c r="D2859" s="10" t="n">
        <v>0.85</v>
      </c>
      <c r="E2859" s="10" t="n">
        <f aca="false">C2859*D2859</f>
        <v>5.95</v>
      </c>
    </row>
    <row r="2860" customFormat="false" ht="15" hidden="false" customHeight="false" outlineLevel="0" collapsed="false">
      <c r="A2860" s="9" t="s">
        <v>1298</v>
      </c>
      <c r="B2860" s="9" t="s">
        <v>1458</v>
      </c>
      <c r="C2860" s="9" t="n">
        <v>2</v>
      </c>
      <c r="D2860" s="10" t="n">
        <v>0.85</v>
      </c>
      <c r="E2860" s="10" t="n">
        <f aca="false">C2860*D2860</f>
        <v>1.7</v>
      </c>
    </row>
    <row r="2861" customFormat="false" ht="15" hidden="false" customHeight="false" outlineLevel="0" collapsed="false">
      <c r="A2861" s="9" t="s">
        <v>1298</v>
      </c>
      <c r="B2861" s="9" t="s">
        <v>480</v>
      </c>
      <c r="C2861" s="9" t="n">
        <v>3</v>
      </c>
      <c r="D2861" s="10" t="n">
        <v>0.85</v>
      </c>
      <c r="E2861" s="10" t="n">
        <f aca="false">C2861*D2861</f>
        <v>2.55</v>
      </c>
    </row>
    <row r="2862" customFormat="false" ht="15" hidden="false" customHeight="false" outlineLevel="0" collapsed="false">
      <c r="A2862" s="9" t="s">
        <v>1298</v>
      </c>
      <c r="B2862" s="9" t="s">
        <v>427</v>
      </c>
      <c r="C2862" s="9" t="n">
        <v>1</v>
      </c>
      <c r="D2862" s="10" t="n">
        <v>0.85</v>
      </c>
      <c r="E2862" s="10" t="n">
        <f aca="false">C2862*D2862</f>
        <v>0.85</v>
      </c>
    </row>
    <row r="2863" customFormat="false" ht="15" hidden="false" customHeight="false" outlineLevel="0" collapsed="false">
      <c r="A2863" s="9" t="s">
        <v>1298</v>
      </c>
      <c r="B2863" s="9" t="s">
        <v>478</v>
      </c>
      <c r="C2863" s="9" t="n">
        <v>1</v>
      </c>
      <c r="D2863" s="10" t="n">
        <v>0.85</v>
      </c>
      <c r="E2863" s="10" t="n">
        <f aca="false">C2863*D2863</f>
        <v>0.85</v>
      </c>
    </row>
    <row r="2864" customFormat="false" ht="15" hidden="false" customHeight="false" outlineLevel="0" collapsed="false">
      <c r="A2864" s="9" t="s">
        <v>1298</v>
      </c>
      <c r="B2864" s="9" t="s">
        <v>1459</v>
      </c>
      <c r="C2864" s="9" t="n">
        <v>1</v>
      </c>
      <c r="D2864" s="10" t="n">
        <v>0.85</v>
      </c>
      <c r="E2864" s="10" t="n">
        <f aca="false">C2864*D2864</f>
        <v>0.85</v>
      </c>
    </row>
    <row r="2865" customFormat="false" ht="15" hidden="false" customHeight="false" outlineLevel="0" collapsed="false">
      <c r="A2865" s="9" t="s">
        <v>1298</v>
      </c>
      <c r="B2865" s="9" t="s">
        <v>381</v>
      </c>
      <c r="C2865" s="9" t="n">
        <v>1</v>
      </c>
      <c r="D2865" s="10" t="n">
        <v>0.85</v>
      </c>
      <c r="E2865" s="10" t="n">
        <f aca="false">C2865*D2865</f>
        <v>0.85</v>
      </c>
    </row>
    <row r="2866" customFormat="false" ht="15" hidden="false" customHeight="false" outlineLevel="0" collapsed="false">
      <c r="A2866" s="9" t="s">
        <v>1298</v>
      </c>
      <c r="B2866" s="9" t="s">
        <v>808</v>
      </c>
      <c r="C2866" s="9" t="n">
        <v>1</v>
      </c>
      <c r="D2866" s="10" t="n">
        <v>0.85</v>
      </c>
      <c r="E2866" s="10" t="n">
        <f aca="false">C2866*D2866</f>
        <v>0.85</v>
      </c>
    </row>
    <row r="2867" customFormat="false" ht="15" hidden="false" customHeight="false" outlineLevel="0" collapsed="false">
      <c r="A2867" s="9" t="s">
        <v>1298</v>
      </c>
      <c r="B2867" s="9" t="s">
        <v>70</v>
      </c>
      <c r="C2867" s="9" t="n">
        <v>1</v>
      </c>
      <c r="D2867" s="10" t="n">
        <v>0.85</v>
      </c>
      <c r="E2867" s="10" t="n">
        <f aca="false">C2867*D2867</f>
        <v>0.85</v>
      </c>
    </row>
    <row r="2868" customFormat="false" ht="15" hidden="false" customHeight="false" outlineLevel="0" collapsed="false">
      <c r="A2868" s="9" t="s">
        <v>1298</v>
      </c>
      <c r="B2868" s="9" t="s">
        <v>815</v>
      </c>
      <c r="C2868" s="9" t="n">
        <v>1</v>
      </c>
      <c r="D2868" s="10" t="n">
        <v>0.85</v>
      </c>
      <c r="E2868" s="10" t="n">
        <f aca="false">C2868*D2868</f>
        <v>0.85</v>
      </c>
    </row>
    <row r="2869" customFormat="false" ht="15" hidden="false" customHeight="false" outlineLevel="0" collapsed="false">
      <c r="A2869" s="9" t="s">
        <v>1298</v>
      </c>
      <c r="B2869" s="9" t="s">
        <v>379</v>
      </c>
      <c r="C2869" s="9" t="n">
        <v>1</v>
      </c>
      <c r="D2869" s="10" t="n">
        <v>3.36</v>
      </c>
      <c r="E2869" s="10" t="n">
        <f aca="false">C2869*D2869</f>
        <v>3.36</v>
      </c>
    </row>
    <row r="2870" customFormat="false" ht="15" hidden="false" customHeight="false" outlineLevel="0" collapsed="false">
      <c r="A2870" s="9" t="s">
        <v>1298</v>
      </c>
      <c r="B2870" s="9" t="s">
        <v>475</v>
      </c>
      <c r="C2870" s="9" t="n">
        <v>1</v>
      </c>
      <c r="D2870" s="10" t="n">
        <v>3.36</v>
      </c>
      <c r="E2870" s="10" t="n">
        <f aca="false">C2870*D2870</f>
        <v>3.36</v>
      </c>
    </row>
    <row r="2871" customFormat="false" ht="15" hidden="false" customHeight="false" outlineLevel="0" collapsed="false">
      <c r="A2871" s="9" t="s">
        <v>1298</v>
      </c>
      <c r="B2871" s="9" t="s">
        <v>1153</v>
      </c>
      <c r="C2871" s="9" t="n">
        <v>1</v>
      </c>
      <c r="D2871" s="10" t="n">
        <v>2.51</v>
      </c>
      <c r="E2871" s="10" t="n">
        <f aca="false">C2871*D2871</f>
        <v>2.51</v>
      </c>
    </row>
    <row r="2872" customFormat="false" ht="15" hidden="false" customHeight="false" outlineLevel="0" collapsed="false">
      <c r="A2872" s="9" t="s">
        <v>1298</v>
      </c>
      <c r="B2872" s="9" t="s">
        <v>817</v>
      </c>
      <c r="C2872" s="9" t="n">
        <v>1</v>
      </c>
      <c r="D2872" s="10" t="n">
        <v>3.36</v>
      </c>
      <c r="E2872" s="10" t="n">
        <f aca="false">C2872*D2872</f>
        <v>3.36</v>
      </c>
    </row>
    <row r="2873" customFormat="false" ht="15" hidden="false" customHeight="false" outlineLevel="0" collapsed="false">
      <c r="A2873" s="9" t="s">
        <v>1298</v>
      </c>
      <c r="B2873" s="9" t="s">
        <v>484</v>
      </c>
      <c r="C2873" s="9" t="n">
        <v>1</v>
      </c>
      <c r="D2873" s="10" t="n">
        <v>1.66</v>
      </c>
      <c r="E2873" s="10" t="n">
        <f aca="false">C2873*D2873</f>
        <v>1.66</v>
      </c>
    </row>
    <row r="2874" customFormat="false" ht="15" hidden="false" customHeight="false" outlineLevel="0" collapsed="false">
      <c r="A2874" s="9" t="s">
        <v>1298</v>
      </c>
      <c r="B2874" s="9" t="s">
        <v>473</v>
      </c>
      <c r="C2874" s="9" t="n">
        <v>1</v>
      </c>
      <c r="D2874" s="10" t="n">
        <v>1.66</v>
      </c>
      <c r="E2874" s="10" t="n">
        <f aca="false">C2874*D2874</f>
        <v>1.66</v>
      </c>
    </row>
    <row r="2875" customFormat="false" ht="15" hidden="false" customHeight="false" outlineLevel="0" collapsed="false">
      <c r="A2875" s="9" t="s">
        <v>1298</v>
      </c>
      <c r="B2875" s="9" t="s">
        <v>445</v>
      </c>
      <c r="C2875" s="9" t="n">
        <v>2</v>
      </c>
      <c r="D2875" s="10" t="n">
        <v>7.62</v>
      </c>
      <c r="E2875" s="10" t="n">
        <f aca="false">C2875*D2875</f>
        <v>15.24</v>
      </c>
    </row>
    <row r="2876" customFormat="false" ht="15" hidden="false" customHeight="false" outlineLevel="0" collapsed="false">
      <c r="A2876" s="9" t="s">
        <v>1298</v>
      </c>
      <c r="B2876" s="9" t="s">
        <v>527</v>
      </c>
      <c r="C2876" s="9" t="n">
        <v>2</v>
      </c>
      <c r="D2876" s="10" t="n">
        <v>7.62</v>
      </c>
      <c r="E2876" s="10" t="n">
        <f aca="false">C2876*D2876</f>
        <v>15.24</v>
      </c>
    </row>
    <row r="2877" customFormat="false" ht="15" hidden="false" customHeight="false" outlineLevel="0" collapsed="false">
      <c r="A2877" s="9" t="s">
        <v>1298</v>
      </c>
      <c r="B2877" s="9" t="s">
        <v>1086</v>
      </c>
      <c r="C2877" s="9" t="n">
        <v>2</v>
      </c>
      <c r="D2877" s="10" t="n">
        <v>5.91</v>
      </c>
      <c r="E2877" s="10" t="n">
        <f aca="false">C2877*D2877</f>
        <v>11.82</v>
      </c>
    </row>
    <row r="2878" customFormat="false" ht="15" hidden="false" customHeight="false" outlineLevel="0" collapsed="false">
      <c r="A2878" s="9" t="s">
        <v>1298</v>
      </c>
      <c r="B2878" s="9" t="s">
        <v>1460</v>
      </c>
      <c r="C2878" s="9" t="n">
        <v>1</v>
      </c>
      <c r="D2878" s="10" t="n">
        <v>59.53</v>
      </c>
      <c r="E2878" s="10" t="n">
        <f aca="false">C2878*D2878</f>
        <v>59.53</v>
      </c>
    </row>
    <row r="2879" customFormat="false" ht="15" hidden="false" customHeight="false" outlineLevel="0" collapsed="false">
      <c r="A2879" s="9" t="s">
        <v>1298</v>
      </c>
      <c r="B2879" s="9" t="s">
        <v>1461</v>
      </c>
      <c r="C2879" s="9" t="n">
        <v>1</v>
      </c>
      <c r="D2879" s="10" t="n">
        <v>12.72</v>
      </c>
      <c r="E2879" s="10" t="n">
        <f aca="false">C2879*D2879</f>
        <v>12.72</v>
      </c>
    </row>
    <row r="2880" customFormat="false" ht="15" hidden="false" customHeight="false" outlineLevel="0" collapsed="false">
      <c r="A2880" s="9" t="s">
        <v>1298</v>
      </c>
      <c r="B2880" s="9" t="s">
        <v>1275</v>
      </c>
      <c r="C2880" s="9" t="n">
        <v>3</v>
      </c>
      <c r="D2880" s="10" t="n">
        <v>0.85</v>
      </c>
      <c r="E2880" s="10" t="n">
        <f aca="false">C2880*D2880</f>
        <v>2.55</v>
      </c>
    </row>
    <row r="2881" customFormat="false" ht="15" hidden="false" customHeight="false" outlineLevel="0" collapsed="false">
      <c r="A2881" s="9" t="s">
        <v>1298</v>
      </c>
      <c r="B2881" s="9" t="s">
        <v>1120</v>
      </c>
      <c r="C2881" s="9" t="n">
        <v>2</v>
      </c>
      <c r="D2881" s="10" t="n">
        <v>1.28</v>
      </c>
      <c r="E2881" s="10" t="n">
        <f aca="false">C2881*D2881</f>
        <v>2.56</v>
      </c>
    </row>
    <row r="2882" customFormat="false" ht="15" hidden="false" customHeight="false" outlineLevel="0" collapsed="false">
      <c r="A2882" s="9" t="s">
        <v>1298</v>
      </c>
      <c r="B2882" s="9" t="s">
        <v>613</v>
      </c>
      <c r="C2882" s="9" t="n">
        <v>47</v>
      </c>
      <c r="D2882" s="10" t="n">
        <v>12.72</v>
      </c>
      <c r="E2882" s="10" t="n">
        <f aca="false">C2882*D2882</f>
        <v>597.84</v>
      </c>
    </row>
    <row r="2883" customFormat="false" ht="15" hidden="false" customHeight="false" outlineLevel="0" collapsed="false">
      <c r="A2883" s="9" t="s">
        <v>1298</v>
      </c>
      <c r="B2883" s="9" t="s">
        <v>1462</v>
      </c>
      <c r="C2883" s="9" t="n">
        <v>1</v>
      </c>
      <c r="D2883" s="10" t="n">
        <v>10.17</v>
      </c>
      <c r="E2883" s="10" t="n">
        <f aca="false">C2883*D2883</f>
        <v>10.17</v>
      </c>
    </row>
    <row r="2884" customFormat="false" ht="15" hidden="false" customHeight="false" outlineLevel="0" collapsed="false">
      <c r="A2884" s="9" t="s">
        <v>1298</v>
      </c>
      <c r="B2884" s="9" t="s">
        <v>175</v>
      </c>
      <c r="C2884" s="9" t="n">
        <v>1</v>
      </c>
      <c r="D2884" s="10" t="n">
        <v>11.87</v>
      </c>
      <c r="E2884" s="10" t="n">
        <f aca="false">C2884*D2884</f>
        <v>11.87</v>
      </c>
    </row>
    <row r="2885" customFormat="false" ht="15" hidden="false" customHeight="false" outlineLevel="0" collapsed="false">
      <c r="A2885" s="9" t="s">
        <v>1298</v>
      </c>
      <c r="B2885" s="9" t="s">
        <v>174</v>
      </c>
      <c r="C2885" s="9" t="n">
        <v>1</v>
      </c>
      <c r="D2885" s="10" t="n">
        <v>14.43</v>
      </c>
      <c r="E2885" s="10" t="n">
        <f aca="false">C2885*D2885</f>
        <v>14.43</v>
      </c>
    </row>
    <row r="2886" customFormat="false" ht="15" hidden="false" customHeight="false" outlineLevel="0" collapsed="false">
      <c r="A2886" s="9" t="s">
        <v>1298</v>
      </c>
      <c r="B2886" s="9" t="s">
        <v>273</v>
      </c>
      <c r="C2886" s="9" t="n">
        <v>1</v>
      </c>
      <c r="D2886" s="10" t="n">
        <v>6.77</v>
      </c>
      <c r="E2886" s="10" t="n">
        <f aca="false">C2886*D2886</f>
        <v>6.77</v>
      </c>
    </row>
    <row r="2887" customFormat="false" ht="15" hidden="false" customHeight="false" outlineLevel="0" collapsed="false">
      <c r="A2887" s="9" t="s">
        <v>1298</v>
      </c>
      <c r="B2887" s="9" t="s">
        <v>313</v>
      </c>
      <c r="C2887" s="9" t="n">
        <v>1</v>
      </c>
      <c r="D2887" s="10" t="n">
        <v>6.77</v>
      </c>
      <c r="E2887" s="10" t="n">
        <f aca="false">C2887*D2887</f>
        <v>6.77</v>
      </c>
    </row>
    <row r="2888" customFormat="false" ht="15" hidden="false" customHeight="false" outlineLevel="0" collapsed="false">
      <c r="A2888" s="9" t="s">
        <v>1298</v>
      </c>
      <c r="B2888" s="9" t="s">
        <v>1463</v>
      </c>
      <c r="C2888" s="9" t="n">
        <v>1</v>
      </c>
      <c r="D2888" s="10" t="n">
        <v>5.06</v>
      </c>
      <c r="E2888" s="10" t="n">
        <f aca="false">C2888*D2888</f>
        <v>5.06</v>
      </c>
    </row>
    <row r="2889" customFormat="false" ht="15" hidden="false" customHeight="false" outlineLevel="0" collapsed="false">
      <c r="A2889" s="9" t="s">
        <v>1298</v>
      </c>
      <c r="B2889" s="9" t="s">
        <v>1464</v>
      </c>
      <c r="C2889" s="9" t="n">
        <v>1</v>
      </c>
      <c r="D2889" s="10" t="n">
        <v>5.06</v>
      </c>
      <c r="E2889" s="10" t="n">
        <f aca="false">C2889*D2889</f>
        <v>5.06</v>
      </c>
    </row>
    <row r="2890" customFormat="false" ht="15" hidden="false" customHeight="false" outlineLevel="0" collapsed="false">
      <c r="A2890" s="9" t="s">
        <v>1298</v>
      </c>
      <c r="B2890" s="9" t="s">
        <v>299</v>
      </c>
      <c r="C2890" s="9" t="n">
        <v>1</v>
      </c>
      <c r="D2890" s="10" t="n">
        <v>5.06</v>
      </c>
      <c r="E2890" s="10" t="n">
        <f aca="false">C2890*D2890</f>
        <v>5.06</v>
      </c>
    </row>
    <row r="2891" customFormat="false" ht="15" hidden="false" customHeight="false" outlineLevel="0" collapsed="false">
      <c r="A2891" s="9" t="s">
        <v>1298</v>
      </c>
      <c r="B2891" s="9" t="s">
        <v>179</v>
      </c>
      <c r="C2891" s="9" t="n">
        <v>11</v>
      </c>
      <c r="D2891" s="10" t="n">
        <v>3.36</v>
      </c>
      <c r="E2891" s="10" t="n">
        <f aca="false">C2891*D2891</f>
        <v>36.96</v>
      </c>
    </row>
    <row r="2892" customFormat="false" ht="15" hidden="false" customHeight="false" outlineLevel="0" collapsed="false">
      <c r="A2892" s="9" t="s">
        <v>1298</v>
      </c>
      <c r="B2892" s="9" t="s">
        <v>474</v>
      </c>
      <c r="C2892" s="9" t="n">
        <v>3</v>
      </c>
      <c r="D2892" s="10" t="n">
        <v>11.02</v>
      </c>
      <c r="E2892" s="10" t="n">
        <f aca="false">C2892*D2892</f>
        <v>33.06</v>
      </c>
    </row>
    <row r="2893" customFormat="false" ht="15" hidden="false" customHeight="false" outlineLevel="0" collapsed="false">
      <c r="A2893" s="9" t="s">
        <v>1298</v>
      </c>
      <c r="B2893" s="9" t="s">
        <v>760</v>
      </c>
      <c r="C2893" s="9" t="n">
        <v>1</v>
      </c>
      <c r="D2893" s="10" t="n">
        <v>20.38</v>
      </c>
      <c r="E2893" s="10" t="n">
        <f aca="false">C2893*D2893</f>
        <v>20.38</v>
      </c>
    </row>
    <row r="2894" customFormat="false" ht="15" hidden="false" customHeight="false" outlineLevel="0" collapsed="false">
      <c r="A2894" s="9" t="s">
        <v>1298</v>
      </c>
      <c r="B2894" s="9" t="s">
        <v>816</v>
      </c>
      <c r="C2894" s="9" t="n">
        <v>2</v>
      </c>
      <c r="D2894" s="10" t="n">
        <v>0.85</v>
      </c>
      <c r="E2894" s="10" t="n">
        <f aca="false">C2894*D2894</f>
        <v>1.7</v>
      </c>
    </row>
    <row r="2895" customFormat="false" ht="15" hidden="false" customHeight="false" outlineLevel="0" collapsed="false">
      <c r="A2895" s="9" t="s">
        <v>1298</v>
      </c>
      <c r="B2895" s="9" t="s">
        <v>659</v>
      </c>
      <c r="C2895" s="9" t="n">
        <v>2</v>
      </c>
      <c r="D2895" s="10" t="n">
        <v>21.23</v>
      </c>
      <c r="E2895" s="10" t="n">
        <f aca="false">C2895*D2895</f>
        <v>42.46</v>
      </c>
    </row>
    <row r="2896" customFormat="false" ht="15" hidden="false" customHeight="false" outlineLevel="0" collapsed="false">
      <c r="A2896" s="9" t="s">
        <v>1298</v>
      </c>
      <c r="B2896" s="9" t="s">
        <v>161</v>
      </c>
      <c r="C2896" s="9" t="n">
        <v>3</v>
      </c>
      <c r="D2896" s="10" t="n">
        <v>1.66</v>
      </c>
      <c r="E2896" s="10" t="n">
        <f aca="false">C2896*D2896</f>
        <v>4.98</v>
      </c>
    </row>
    <row r="2897" customFormat="false" ht="15" hidden="false" customHeight="false" outlineLevel="0" collapsed="false">
      <c r="A2897" s="9" t="s">
        <v>1298</v>
      </c>
      <c r="B2897" s="9" t="s">
        <v>845</v>
      </c>
      <c r="C2897" s="9" t="n">
        <v>2</v>
      </c>
      <c r="D2897" s="10" t="n">
        <v>4.21</v>
      </c>
      <c r="E2897" s="10" t="n">
        <f aca="false">C2897*D2897</f>
        <v>8.42</v>
      </c>
    </row>
    <row r="2898" customFormat="false" ht="15" hidden="false" customHeight="false" outlineLevel="0" collapsed="false">
      <c r="A2898" s="9" t="s">
        <v>1298</v>
      </c>
      <c r="B2898" s="9" t="s">
        <v>1287</v>
      </c>
      <c r="C2898" s="9" t="n">
        <v>2</v>
      </c>
      <c r="D2898" s="10" t="n">
        <v>1.66</v>
      </c>
      <c r="E2898" s="10" t="n">
        <f aca="false">C2898*D2898</f>
        <v>3.32</v>
      </c>
    </row>
    <row r="2899" customFormat="false" ht="15" hidden="false" customHeight="false" outlineLevel="0" collapsed="false">
      <c r="A2899" s="9" t="s">
        <v>1298</v>
      </c>
      <c r="B2899" s="9" t="s">
        <v>822</v>
      </c>
      <c r="C2899" s="9" t="n">
        <v>2</v>
      </c>
      <c r="D2899" s="10" t="n">
        <v>0.85</v>
      </c>
      <c r="E2899" s="10" t="n">
        <f aca="false">C2899*D2899</f>
        <v>1.7</v>
      </c>
    </row>
    <row r="2900" customFormat="false" ht="15" hidden="false" customHeight="false" outlineLevel="0" collapsed="false">
      <c r="A2900" s="9" t="s">
        <v>1298</v>
      </c>
      <c r="B2900" s="9" t="s">
        <v>803</v>
      </c>
      <c r="C2900" s="9" t="n">
        <v>1</v>
      </c>
      <c r="D2900" s="10" t="n">
        <v>0.85</v>
      </c>
      <c r="E2900" s="10" t="n">
        <f aca="false">C2900*D2900</f>
        <v>0.85</v>
      </c>
    </row>
    <row r="2901" customFormat="false" ht="15" hidden="false" customHeight="false" outlineLevel="0" collapsed="false">
      <c r="A2901" s="9" t="s">
        <v>1298</v>
      </c>
      <c r="B2901" s="9" t="s">
        <v>601</v>
      </c>
      <c r="C2901" s="9" t="n">
        <v>1</v>
      </c>
      <c r="D2901" s="10" t="n">
        <v>0.85</v>
      </c>
      <c r="E2901" s="10" t="n">
        <f aca="false">C2901*D2901</f>
        <v>0.85</v>
      </c>
    </row>
    <row r="2902" customFormat="false" ht="15" hidden="false" customHeight="false" outlineLevel="0" collapsed="false">
      <c r="A2902" s="9" t="s">
        <v>1298</v>
      </c>
      <c r="B2902" s="9" t="s">
        <v>1114</v>
      </c>
      <c r="C2902" s="9" t="n">
        <v>2</v>
      </c>
      <c r="D2902" s="10" t="n">
        <v>2.51</v>
      </c>
      <c r="E2902" s="10" t="n">
        <f aca="false">C2902*D2902</f>
        <v>5.02</v>
      </c>
    </row>
    <row r="2903" customFormat="false" ht="15" hidden="false" customHeight="false" outlineLevel="0" collapsed="false">
      <c r="A2903" s="9" t="s">
        <v>1298</v>
      </c>
      <c r="B2903" s="9" t="s">
        <v>1113</v>
      </c>
      <c r="C2903" s="9" t="n">
        <v>2</v>
      </c>
      <c r="D2903" s="10" t="n">
        <v>2.51</v>
      </c>
      <c r="E2903" s="10" t="n">
        <f aca="false">C2903*D2903</f>
        <v>5.02</v>
      </c>
    </row>
    <row r="2904" customFormat="false" ht="15" hidden="false" customHeight="false" outlineLevel="0" collapsed="false">
      <c r="A2904" s="9" t="s">
        <v>1298</v>
      </c>
      <c r="B2904" s="9" t="s">
        <v>610</v>
      </c>
      <c r="C2904" s="9" t="n">
        <v>14</v>
      </c>
      <c r="D2904" s="10" t="n">
        <v>2.51</v>
      </c>
      <c r="E2904" s="10" t="n">
        <f aca="false">C2904*D2904</f>
        <v>35.14</v>
      </c>
    </row>
    <row r="2905" customFormat="false" ht="15" hidden="false" customHeight="false" outlineLevel="0" collapsed="false">
      <c r="A2905" s="9" t="s">
        <v>1298</v>
      </c>
      <c r="B2905" s="9" t="s">
        <v>821</v>
      </c>
      <c r="C2905" s="9" t="n">
        <v>1</v>
      </c>
      <c r="D2905" s="10" t="n">
        <v>0.85</v>
      </c>
      <c r="E2905" s="10" t="n">
        <f aca="false">C2905*D2905</f>
        <v>0.85</v>
      </c>
    </row>
    <row r="2906" customFormat="false" ht="15" hidden="false" customHeight="false" outlineLevel="0" collapsed="false">
      <c r="A2906" s="9" t="s">
        <v>1298</v>
      </c>
      <c r="B2906" s="9" t="s">
        <v>1112</v>
      </c>
      <c r="C2906" s="9" t="n">
        <v>6</v>
      </c>
      <c r="D2906" s="10" t="n">
        <v>2.51</v>
      </c>
      <c r="E2906" s="10" t="n">
        <f aca="false">C2906*D2906</f>
        <v>15.06</v>
      </c>
    </row>
    <row r="2907" customFormat="false" ht="15" hidden="false" customHeight="false" outlineLevel="0" collapsed="false">
      <c r="A2907" s="9" t="s">
        <v>1298</v>
      </c>
      <c r="B2907" s="9" t="s">
        <v>1119</v>
      </c>
      <c r="C2907" s="9" t="n">
        <v>1</v>
      </c>
      <c r="D2907" s="10" t="n">
        <v>3.36</v>
      </c>
      <c r="E2907" s="10" t="n">
        <f aca="false">C2907*D2907</f>
        <v>3.36</v>
      </c>
    </row>
    <row r="2908" customFormat="false" ht="15" hidden="false" customHeight="false" outlineLevel="0" collapsed="false">
      <c r="A2908" s="9" t="s">
        <v>1298</v>
      </c>
      <c r="B2908" s="9" t="s">
        <v>449</v>
      </c>
      <c r="C2908" s="9" t="n">
        <v>7</v>
      </c>
      <c r="D2908" s="10" t="n">
        <v>3.36</v>
      </c>
      <c r="E2908" s="10" t="n">
        <f aca="false">C2908*D2908</f>
        <v>23.52</v>
      </c>
    </row>
    <row r="2909" customFormat="false" ht="15" hidden="false" customHeight="false" outlineLevel="0" collapsed="false">
      <c r="A2909" s="9" t="s">
        <v>1298</v>
      </c>
      <c r="B2909" s="9" t="s">
        <v>1465</v>
      </c>
      <c r="C2909" s="9" t="n">
        <v>1</v>
      </c>
      <c r="D2909" s="10" t="n">
        <v>4.21</v>
      </c>
      <c r="E2909" s="10" t="n">
        <f aca="false">C2909*D2909</f>
        <v>4.21</v>
      </c>
    </row>
    <row r="2910" customFormat="false" ht="15" hidden="false" customHeight="false" outlineLevel="0" collapsed="false">
      <c r="A2910" s="9" t="s">
        <v>1298</v>
      </c>
      <c r="B2910" s="9" t="s">
        <v>1103</v>
      </c>
      <c r="C2910" s="9" t="n">
        <v>2</v>
      </c>
      <c r="D2910" s="10" t="n">
        <v>3.36</v>
      </c>
      <c r="E2910" s="10" t="n">
        <f aca="false">C2910*D2910</f>
        <v>6.72</v>
      </c>
    </row>
    <row r="2911" customFormat="false" ht="15" hidden="false" customHeight="false" outlineLevel="0" collapsed="false">
      <c r="A2911" s="9" t="s">
        <v>1298</v>
      </c>
      <c r="B2911" s="9" t="s">
        <v>146</v>
      </c>
      <c r="C2911" s="9" t="n">
        <v>2</v>
      </c>
      <c r="D2911" s="10" t="n">
        <v>1.66</v>
      </c>
      <c r="E2911" s="10" t="n">
        <f aca="false">C2911*D2911</f>
        <v>3.32</v>
      </c>
    </row>
    <row r="2912" customFormat="false" ht="15" hidden="false" customHeight="false" outlineLevel="0" collapsed="false">
      <c r="A2912" s="9" t="s">
        <v>1298</v>
      </c>
      <c r="B2912" s="9" t="s">
        <v>145</v>
      </c>
      <c r="C2912" s="9" t="n">
        <v>2</v>
      </c>
      <c r="D2912" s="10" t="n">
        <v>5.91</v>
      </c>
      <c r="E2912" s="10" t="n">
        <f aca="false">C2912*D2912</f>
        <v>11.82</v>
      </c>
    </row>
    <row r="2913" customFormat="false" ht="15" hidden="false" customHeight="false" outlineLevel="0" collapsed="false">
      <c r="A2913" s="9" t="s">
        <v>1298</v>
      </c>
      <c r="B2913" s="9" t="s">
        <v>274</v>
      </c>
      <c r="C2913" s="9" t="n">
        <v>2</v>
      </c>
      <c r="D2913" s="10" t="n">
        <v>3.36</v>
      </c>
      <c r="E2913" s="10" t="n">
        <f aca="false">C2913*D2913</f>
        <v>6.72</v>
      </c>
    </row>
    <row r="2914" customFormat="false" ht="15" hidden="false" customHeight="false" outlineLevel="0" collapsed="false">
      <c r="A2914" s="9" t="s">
        <v>1298</v>
      </c>
      <c r="B2914" s="9" t="s">
        <v>114</v>
      </c>
      <c r="C2914" s="9" t="n">
        <v>21</v>
      </c>
      <c r="D2914" s="10" t="n">
        <v>1.28</v>
      </c>
      <c r="E2914" s="10" t="n">
        <f aca="false">C2914*D2914</f>
        <v>26.88</v>
      </c>
    </row>
    <row r="2915" customFormat="false" ht="15" hidden="false" customHeight="false" outlineLevel="0" collapsed="false">
      <c r="A2915" s="9" t="s">
        <v>1298</v>
      </c>
      <c r="B2915" s="9" t="s">
        <v>470</v>
      </c>
      <c r="C2915" s="9" t="n">
        <v>1</v>
      </c>
      <c r="D2915" s="10" t="n">
        <v>1.28</v>
      </c>
      <c r="E2915" s="10" t="n">
        <f aca="false">C2915*D2915</f>
        <v>1.28</v>
      </c>
    </row>
    <row r="2916" customFormat="false" ht="15" hidden="false" customHeight="false" outlineLevel="0" collapsed="false">
      <c r="A2916" s="9" t="s">
        <v>1298</v>
      </c>
      <c r="B2916" s="9" t="s">
        <v>115</v>
      </c>
      <c r="C2916" s="9" t="n">
        <v>11</v>
      </c>
      <c r="D2916" s="10" t="n">
        <v>1.28</v>
      </c>
      <c r="E2916" s="10" t="n">
        <f aca="false">C2916*D2916</f>
        <v>14.08</v>
      </c>
    </row>
    <row r="2917" customFormat="false" ht="15" hidden="false" customHeight="false" outlineLevel="0" collapsed="false">
      <c r="A2917" s="9" t="s">
        <v>1298</v>
      </c>
      <c r="B2917" s="9" t="s">
        <v>242</v>
      </c>
      <c r="C2917" s="9" t="n">
        <v>4</v>
      </c>
      <c r="D2917" s="10" t="n">
        <v>2.51</v>
      </c>
      <c r="E2917" s="10" t="n">
        <f aca="false">C2917*D2917</f>
        <v>10.04</v>
      </c>
    </row>
    <row r="2918" customFormat="false" ht="15" hidden="false" customHeight="false" outlineLevel="0" collapsed="false">
      <c r="A2918" s="9" t="s">
        <v>1298</v>
      </c>
      <c r="B2918" s="9" t="s">
        <v>521</v>
      </c>
      <c r="C2918" s="9" t="n">
        <v>1</v>
      </c>
      <c r="D2918" s="10" t="n">
        <v>2.51</v>
      </c>
      <c r="E2918" s="10" t="n">
        <f aca="false">C2918*D2918</f>
        <v>2.51</v>
      </c>
    </row>
    <row r="2919" customFormat="false" ht="15" hidden="false" customHeight="false" outlineLevel="0" collapsed="false">
      <c r="A2919" s="9" t="s">
        <v>1298</v>
      </c>
      <c r="B2919" s="9" t="s">
        <v>1466</v>
      </c>
      <c r="C2919" s="9" t="n">
        <v>1</v>
      </c>
      <c r="D2919" s="10" t="n">
        <v>4.21</v>
      </c>
      <c r="E2919" s="10" t="n">
        <f aca="false">C2919*D2919</f>
        <v>4.21</v>
      </c>
    </row>
    <row r="2920" customFormat="false" ht="15" hidden="false" customHeight="false" outlineLevel="0" collapsed="false">
      <c r="A2920" s="9" t="s">
        <v>1298</v>
      </c>
      <c r="B2920" s="9" t="s">
        <v>1467</v>
      </c>
      <c r="C2920" s="9" t="n">
        <v>1</v>
      </c>
      <c r="D2920" s="10" t="n">
        <v>1.66</v>
      </c>
      <c r="E2920" s="10" t="n">
        <f aca="false">C2920*D2920</f>
        <v>1.66</v>
      </c>
    </row>
    <row r="2921" customFormat="false" ht="15" hidden="false" customHeight="false" outlineLevel="0" collapsed="false">
      <c r="A2921" s="9" t="s">
        <v>1298</v>
      </c>
      <c r="B2921" s="9" t="s">
        <v>614</v>
      </c>
      <c r="C2921" s="9" t="n">
        <v>1</v>
      </c>
      <c r="D2921" s="10" t="n">
        <v>1.66</v>
      </c>
      <c r="E2921" s="10" t="n">
        <f aca="false">C2921*D2921</f>
        <v>1.66</v>
      </c>
    </row>
    <row r="2922" customFormat="false" ht="15" hidden="false" customHeight="false" outlineLevel="0" collapsed="false">
      <c r="A2922" s="9" t="s">
        <v>1298</v>
      </c>
      <c r="B2922" s="9" t="s">
        <v>1468</v>
      </c>
      <c r="C2922" s="9" t="n">
        <v>1</v>
      </c>
      <c r="D2922" s="10" t="n">
        <v>4.21</v>
      </c>
      <c r="E2922" s="10" t="n">
        <f aca="false">C2922*D2922</f>
        <v>4.21</v>
      </c>
    </row>
    <row r="2923" customFormat="false" ht="15" hidden="false" customHeight="false" outlineLevel="0" collapsed="false">
      <c r="A2923" s="9" t="s">
        <v>1298</v>
      </c>
      <c r="B2923" s="9" t="s">
        <v>387</v>
      </c>
      <c r="C2923" s="9" t="n">
        <v>2</v>
      </c>
      <c r="D2923" s="10" t="n">
        <v>2.51</v>
      </c>
      <c r="E2923" s="10" t="n">
        <f aca="false">C2923*D2923</f>
        <v>5.02</v>
      </c>
    </row>
    <row r="2924" customFormat="false" ht="15" hidden="false" customHeight="false" outlineLevel="0" collapsed="false">
      <c r="A2924" s="9" t="s">
        <v>1298</v>
      </c>
      <c r="B2924" s="9" t="s">
        <v>384</v>
      </c>
      <c r="C2924" s="9" t="n">
        <v>3</v>
      </c>
      <c r="D2924" s="10" t="n">
        <v>2.51</v>
      </c>
      <c r="E2924" s="10" t="n">
        <f aca="false">C2924*D2924</f>
        <v>7.53</v>
      </c>
    </row>
    <row r="2925" customFormat="false" ht="15" hidden="false" customHeight="false" outlineLevel="0" collapsed="false">
      <c r="A2925" s="9" t="s">
        <v>1298</v>
      </c>
      <c r="B2925" s="9" t="s">
        <v>117</v>
      </c>
      <c r="C2925" s="9" t="n">
        <v>1</v>
      </c>
      <c r="D2925" s="10" t="n">
        <v>4.21</v>
      </c>
      <c r="E2925" s="10" t="n">
        <f aca="false">C2925*D2925</f>
        <v>4.21</v>
      </c>
    </row>
    <row r="2926" customFormat="false" ht="15" hidden="false" customHeight="false" outlineLevel="0" collapsed="false">
      <c r="A2926" s="9" t="s">
        <v>1298</v>
      </c>
      <c r="B2926" s="9" t="s">
        <v>109</v>
      </c>
      <c r="C2926" s="9" t="n">
        <v>1</v>
      </c>
      <c r="D2926" s="10" t="n">
        <v>4.21</v>
      </c>
      <c r="E2926" s="10" t="n">
        <f aca="false">C2926*D2926</f>
        <v>4.21</v>
      </c>
    </row>
    <row r="2927" customFormat="false" ht="15" hidden="false" customHeight="false" outlineLevel="0" collapsed="false">
      <c r="A2927" s="9" t="s">
        <v>1298</v>
      </c>
      <c r="B2927" s="9" t="s">
        <v>156</v>
      </c>
      <c r="C2927" s="9" t="n">
        <v>1</v>
      </c>
      <c r="D2927" s="10" t="n">
        <v>3.36</v>
      </c>
      <c r="E2927" s="10" t="n">
        <f aca="false">C2927*D2927</f>
        <v>3.36</v>
      </c>
    </row>
    <row r="2928" customFormat="false" ht="15" hidden="false" customHeight="false" outlineLevel="0" collapsed="false">
      <c r="A2928" s="9" t="s">
        <v>1298</v>
      </c>
      <c r="B2928" s="9" t="s">
        <v>1118</v>
      </c>
      <c r="C2928" s="9" t="n">
        <v>2</v>
      </c>
      <c r="D2928" s="10" t="n">
        <v>3.36</v>
      </c>
      <c r="E2928" s="10" t="n">
        <f aca="false">C2928*D2928</f>
        <v>6.72</v>
      </c>
    </row>
    <row r="2929" customFormat="false" ht="15" hidden="false" customHeight="false" outlineLevel="0" collapsed="false">
      <c r="A2929" s="9" t="s">
        <v>1298</v>
      </c>
      <c r="B2929" s="9" t="s">
        <v>1117</v>
      </c>
      <c r="C2929" s="9" t="n">
        <v>2</v>
      </c>
      <c r="D2929" s="10" t="n">
        <v>1.66</v>
      </c>
      <c r="E2929" s="10" t="n">
        <f aca="false">C2929*D2929</f>
        <v>3.32</v>
      </c>
    </row>
    <row r="2930" customFormat="false" ht="15" hidden="false" customHeight="false" outlineLevel="0" collapsed="false">
      <c r="A2930" s="9" t="s">
        <v>1298</v>
      </c>
      <c r="B2930" s="9" t="s">
        <v>1115</v>
      </c>
      <c r="C2930" s="9" t="n">
        <v>2</v>
      </c>
      <c r="D2930" s="10" t="n">
        <v>2.51</v>
      </c>
      <c r="E2930" s="10" t="n">
        <f aca="false">C2930*D2930</f>
        <v>5.02</v>
      </c>
    </row>
    <row r="2931" customFormat="false" ht="15" hidden="false" customHeight="false" outlineLevel="0" collapsed="false">
      <c r="A2931" s="9" t="s">
        <v>1298</v>
      </c>
      <c r="B2931" s="9" t="s">
        <v>1469</v>
      </c>
      <c r="C2931" s="9" t="n">
        <v>5</v>
      </c>
      <c r="D2931" s="10" t="n">
        <v>2.98</v>
      </c>
      <c r="E2931" s="10" t="n">
        <f aca="false">C2931*D2931</f>
        <v>14.9</v>
      </c>
    </row>
    <row r="2932" customFormat="false" ht="15" hidden="false" customHeight="false" outlineLevel="0" collapsed="false">
      <c r="A2932" s="9" t="s">
        <v>1298</v>
      </c>
      <c r="B2932" s="9" t="s">
        <v>1470</v>
      </c>
      <c r="C2932" s="9" t="n">
        <v>1</v>
      </c>
      <c r="D2932" s="10" t="n">
        <v>5.91</v>
      </c>
      <c r="E2932" s="10" t="n">
        <f aca="false">C2932*D2932</f>
        <v>5.91</v>
      </c>
    </row>
    <row r="2933" customFormat="false" ht="15" hidden="false" customHeight="false" outlineLevel="0" collapsed="false">
      <c r="A2933" s="9" t="s">
        <v>1298</v>
      </c>
      <c r="B2933" s="9" t="s">
        <v>88</v>
      </c>
      <c r="C2933" s="9" t="n">
        <v>22</v>
      </c>
      <c r="D2933" s="10" t="n">
        <v>5.91</v>
      </c>
      <c r="E2933" s="10" t="n">
        <f aca="false">C2933*D2933</f>
        <v>130.02</v>
      </c>
    </row>
    <row r="2934" customFormat="false" ht="15" hidden="false" customHeight="false" outlineLevel="0" collapsed="false">
      <c r="A2934" s="9" t="s">
        <v>1298</v>
      </c>
      <c r="B2934" s="9" t="s">
        <v>578</v>
      </c>
      <c r="C2934" s="9" t="n">
        <v>6</v>
      </c>
      <c r="D2934" s="10" t="n">
        <v>3.36</v>
      </c>
      <c r="E2934" s="10" t="n">
        <f aca="false">C2934*D2934</f>
        <v>20.16</v>
      </c>
    </row>
    <row r="2935" customFormat="false" ht="15" hidden="false" customHeight="false" outlineLevel="0" collapsed="false">
      <c r="A2935" s="9" t="s">
        <v>1298</v>
      </c>
      <c r="B2935" s="9" t="s">
        <v>1471</v>
      </c>
      <c r="C2935" s="9" t="n">
        <v>2</v>
      </c>
      <c r="D2935" s="10" t="n">
        <v>2.51</v>
      </c>
      <c r="E2935" s="10" t="n">
        <f aca="false">C2935*D2935</f>
        <v>5.02</v>
      </c>
    </row>
    <row r="2936" customFormat="false" ht="15" hidden="false" customHeight="false" outlineLevel="0" collapsed="false">
      <c r="A2936" s="9" t="s">
        <v>1298</v>
      </c>
      <c r="B2936" s="9" t="s">
        <v>1102</v>
      </c>
      <c r="C2936" s="9" t="n">
        <v>1</v>
      </c>
      <c r="D2936" s="10" t="n">
        <v>5.91</v>
      </c>
      <c r="E2936" s="10" t="n">
        <f aca="false">C2936*D2936</f>
        <v>5.91</v>
      </c>
    </row>
    <row r="2937" customFormat="false" ht="15" hidden="false" customHeight="false" outlineLevel="0" collapsed="false">
      <c r="A2937" s="9" t="s">
        <v>1298</v>
      </c>
      <c r="B2937" s="9" t="s">
        <v>395</v>
      </c>
      <c r="C2937" s="9" t="n">
        <v>8</v>
      </c>
      <c r="D2937" s="10" t="n">
        <v>2.51</v>
      </c>
      <c r="E2937" s="10" t="n">
        <f aca="false">C2937*D2937</f>
        <v>20.08</v>
      </c>
    </row>
    <row r="2938" customFormat="false" ht="15" hidden="false" customHeight="false" outlineLevel="0" collapsed="false">
      <c r="A2938" s="9" t="s">
        <v>1298</v>
      </c>
      <c r="B2938" s="9" t="s">
        <v>1060</v>
      </c>
      <c r="C2938" s="9" t="n">
        <v>1</v>
      </c>
      <c r="D2938" s="10" t="n">
        <v>4.21</v>
      </c>
      <c r="E2938" s="10" t="n">
        <f aca="false">C2938*D2938</f>
        <v>4.21</v>
      </c>
    </row>
    <row r="2939" customFormat="false" ht="15" hidden="false" customHeight="false" outlineLevel="0" collapsed="false">
      <c r="A2939" s="9" t="s">
        <v>1298</v>
      </c>
      <c r="B2939" s="9" t="s">
        <v>426</v>
      </c>
      <c r="C2939" s="9" t="n">
        <v>2</v>
      </c>
      <c r="D2939" s="10" t="n">
        <v>5.91</v>
      </c>
      <c r="E2939" s="10" t="n">
        <f aca="false">C2939*D2939</f>
        <v>11.82</v>
      </c>
    </row>
    <row r="2940" customFormat="false" ht="15" hidden="false" customHeight="false" outlineLevel="0" collapsed="false">
      <c r="A2940" s="9" t="s">
        <v>1298</v>
      </c>
      <c r="B2940" s="9" t="s">
        <v>1472</v>
      </c>
      <c r="C2940" s="9" t="n">
        <v>1</v>
      </c>
      <c r="D2940" s="10" t="n">
        <v>8.47</v>
      </c>
      <c r="E2940" s="10" t="n">
        <f aca="false">C2940*D2940</f>
        <v>8.47</v>
      </c>
    </row>
    <row r="2941" customFormat="false" ht="15" hidden="false" customHeight="false" outlineLevel="0" collapsed="false">
      <c r="A2941" s="9" t="s">
        <v>1298</v>
      </c>
      <c r="B2941" s="9" t="s">
        <v>261</v>
      </c>
      <c r="C2941" s="9" t="n">
        <v>2</v>
      </c>
      <c r="D2941" s="10" t="n">
        <v>8.47</v>
      </c>
      <c r="E2941" s="10" t="n">
        <f aca="false">C2941*D2941</f>
        <v>16.94</v>
      </c>
    </row>
    <row r="2942" customFormat="false" ht="15" hidden="false" customHeight="false" outlineLevel="0" collapsed="false">
      <c r="A2942" s="9" t="s">
        <v>1298</v>
      </c>
      <c r="B2942" s="9" t="s">
        <v>1061</v>
      </c>
      <c r="C2942" s="9" t="n">
        <v>1</v>
      </c>
      <c r="D2942" s="10" t="n">
        <v>16.98</v>
      </c>
      <c r="E2942" s="10" t="n">
        <f aca="false">C2942*D2942</f>
        <v>16.98</v>
      </c>
    </row>
    <row r="2943" customFormat="false" ht="15" hidden="false" customHeight="false" outlineLevel="0" collapsed="false">
      <c r="A2943" s="9" t="s">
        <v>1298</v>
      </c>
      <c r="B2943" s="9" t="s">
        <v>1059</v>
      </c>
      <c r="C2943" s="9" t="n">
        <v>3</v>
      </c>
      <c r="D2943" s="10" t="n">
        <v>2.51</v>
      </c>
      <c r="E2943" s="10" t="n">
        <f aca="false">C2943*D2943</f>
        <v>7.53</v>
      </c>
    </row>
    <row r="2944" customFormat="false" ht="15" hidden="false" customHeight="false" outlineLevel="0" collapsed="false">
      <c r="A2944" s="9" t="s">
        <v>1298</v>
      </c>
      <c r="B2944" s="9" t="s">
        <v>231</v>
      </c>
      <c r="C2944" s="9" t="n">
        <v>34</v>
      </c>
      <c r="D2944" s="10" t="n">
        <v>1.66</v>
      </c>
      <c r="E2944" s="10" t="n">
        <f aca="false">C2944*D2944</f>
        <v>56.44</v>
      </c>
    </row>
    <row r="2945" customFormat="false" ht="15" hidden="false" customHeight="false" outlineLevel="0" collapsed="false">
      <c r="A2945" s="9" t="s">
        <v>1298</v>
      </c>
      <c r="B2945" s="9" t="s">
        <v>230</v>
      </c>
      <c r="C2945" s="9" t="n">
        <v>2</v>
      </c>
      <c r="D2945" s="10" t="n">
        <v>3.36</v>
      </c>
      <c r="E2945" s="10" t="n">
        <f aca="false">C2945*D2945</f>
        <v>6.72</v>
      </c>
    </row>
    <row r="2946" customFormat="false" ht="15" hidden="false" customHeight="false" outlineLevel="0" collapsed="false">
      <c r="A2946" s="9" t="s">
        <v>1298</v>
      </c>
      <c r="B2946" s="9" t="s">
        <v>1057</v>
      </c>
      <c r="C2946" s="9" t="n">
        <v>1</v>
      </c>
      <c r="D2946" s="10" t="n">
        <v>8.47</v>
      </c>
      <c r="E2946" s="10" t="n">
        <f aca="false">C2946*D2946</f>
        <v>8.47</v>
      </c>
    </row>
    <row r="2947" customFormat="false" ht="15" hidden="false" customHeight="false" outlineLevel="0" collapsed="false">
      <c r="A2947" s="9" t="s">
        <v>1298</v>
      </c>
      <c r="B2947" s="9" t="s">
        <v>1473</v>
      </c>
      <c r="C2947" s="9" t="n">
        <v>1</v>
      </c>
      <c r="D2947" s="10" t="n">
        <v>3.36</v>
      </c>
      <c r="E2947" s="10" t="n">
        <f aca="false">C2947*D2947</f>
        <v>3.36</v>
      </c>
    </row>
    <row r="2948" customFormat="false" ht="15" hidden="false" customHeight="false" outlineLevel="0" collapsed="false">
      <c r="A2948" s="9" t="s">
        <v>1298</v>
      </c>
      <c r="B2948" s="9" t="s">
        <v>1474</v>
      </c>
      <c r="C2948" s="9" t="n">
        <v>2</v>
      </c>
      <c r="D2948" s="10" t="n">
        <v>1.66</v>
      </c>
      <c r="E2948" s="10" t="n">
        <f aca="false">C2948*D2948</f>
        <v>3.32</v>
      </c>
    </row>
    <row r="2949" customFormat="false" ht="15" hidden="false" customHeight="false" outlineLevel="0" collapsed="false">
      <c r="A2949" s="9" t="s">
        <v>1298</v>
      </c>
      <c r="B2949" s="9" t="s">
        <v>1475</v>
      </c>
      <c r="C2949" s="9" t="n">
        <v>2</v>
      </c>
      <c r="D2949" s="10" t="n">
        <v>4.21</v>
      </c>
      <c r="E2949" s="10" t="n">
        <f aca="false">C2949*D2949</f>
        <v>8.42</v>
      </c>
    </row>
    <row r="2950" customFormat="false" ht="15" hidden="false" customHeight="false" outlineLevel="0" collapsed="false">
      <c r="A2950" s="9" t="s">
        <v>1298</v>
      </c>
      <c r="B2950" s="9" t="s">
        <v>211</v>
      </c>
      <c r="C2950" s="9" t="n">
        <v>4</v>
      </c>
      <c r="D2950" s="10" t="n">
        <v>3.36</v>
      </c>
      <c r="E2950" s="10" t="n">
        <f aca="false">C2950*D2950</f>
        <v>13.44</v>
      </c>
    </row>
    <row r="2951" customFormat="false" ht="15" hidden="false" customHeight="false" outlineLevel="0" collapsed="false">
      <c r="A2951" s="9" t="s">
        <v>1298</v>
      </c>
      <c r="B2951" s="9" t="s">
        <v>1354</v>
      </c>
      <c r="C2951" s="9" t="n">
        <v>1</v>
      </c>
      <c r="D2951" s="10" t="n">
        <v>11.02</v>
      </c>
      <c r="E2951" s="10" t="n">
        <f aca="false">C2951*D2951</f>
        <v>11.02</v>
      </c>
    </row>
    <row r="2952" customFormat="false" ht="15" hidden="false" customHeight="false" outlineLevel="0" collapsed="false">
      <c r="A2952" s="9" t="s">
        <v>1298</v>
      </c>
      <c r="B2952" s="9" t="s">
        <v>228</v>
      </c>
      <c r="C2952" s="9" t="n">
        <v>5</v>
      </c>
      <c r="D2952" s="10" t="n">
        <v>3.36</v>
      </c>
      <c r="E2952" s="10" t="n">
        <f aca="false">C2952*D2952</f>
        <v>16.8</v>
      </c>
    </row>
    <row r="2953" customFormat="false" ht="15" hidden="false" customHeight="false" outlineLevel="0" collapsed="false">
      <c r="A2953" s="9" t="s">
        <v>1298</v>
      </c>
      <c r="B2953" s="9" t="s">
        <v>1063</v>
      </c>
      <c r="C2953" s="9" t="n">
        <v>7</v>
      </c>
      <c r="D2953" s="10" t="n">
        <v>0.81</v>
      </c>
      <c r="E2953" s="10" t="n">
        <f aca="false">C2953*D2953</f>
        <v>5.67</v>
      </c>
    </row>
    <row r="2954" customFormat="false" ht="15" hidden="false" customHeight="false" outlineLevel="0" collapsed="false">
      <c r="A2954" s="9" t="s">
        <v>1298</v>
      </c>
      <c r="B2954" s="9" t="s">
        <v>311</v>
      </c>
      <c r="C2954" s="9" t="n">
        <v>1</v>
      </c>
      <c r="D2954" s="10" t="n">
        <v>2.51</v>
      </c>
      <c r="E2954" s="10" t="n">
        <f aca="false">C2954*D2954</f>
        <v>2.51</v>
      </c>
    </row>
    <row r="2955" customFormat="false" ht="15" hidden="false" customHeight="false" outlineLevel="0" collapsed="false">
      <c r="A2955" s="9" t="s">
        <v>1298</v>
      </c>
      <c r="B2955" s="9" t="s">
        <v>429</v>
      </c>
      <c r="C2955" s="9" t="n">
        <v>2</v>
      </c>
      <c r="D2955" s="10" t="n">
        <v>7.62</v>
      </c>
      <c r="E2955" s="10" t="n">
        <f aca="false">C2955*D2955</f>
        <v>15.24</v>
      </c>
    </row>
    <row r="2956" customFormat="false" ht="15" hidden="false" customHeight="false" outlineLevel="0" collapsed="false">
      <c r="A2956" s="9" t="s">
        <v>1298</v>
      </c>
      <c r="B2956" s="9" t="s">
        <v>272</v>
      </c>
      <c r="C2956" s="9" t="n">
        <v>3</v>
      </c>
      <c r="D2956" s="10" t="n">
        <v>11.02</v>
      </c>
      <c r="E2956" s="10" t="n">
        <f aca="false">C2956*D2956</f>
        <v>33.06</v>
      </c>
    </row>
    <row r="2957" customFormat="false" ht="15" hidden="false" customHeight="false" outlineLevel="0" collapsed="false">
      <c r="A2957" s="9" t="s">
        <v>1298</v>
      </c>
      <c r="B2957" s="9" t="s">
        <v>270</v>
      </c>
      <c r="C2957" s="9" t="n">
        <v>3</v>
      </c>
      <c r="D2957" s="10" t="n">
        <v>11.02</v>
      </c>
      <c r="E2957" s="10" t="n">
        <f aca="false">C2957*D2957</f>
        <v>33.06</v>
      </c>
    </row>
    <row r="2958" customFormat="false" ht="15" hidden="false" customHeight="false" outlineLevel="0" collapsed="false">
      <c r="A2958" s="9" t="s">
        <v>1298</v>
      </c>
      <c r="B2958" s="9" t="s">
        <v>1062</v>
      </c>
      <c r="C2958" s="9" t="n">
        <v>3</v>
      </c>
      <c r="D2958" s="10" t="n">
        <v>3.36</v>
      </c>
      <c r="E2958" s="10" t="n">
        <f aca="false">C2958*D2958</f>
        <v>10.08</v>
      </c>
    </row>
    <row r="2959" customFormat="false" ht="15" hidden="false" customHeight="false" outlineLevel="0" collapsed="false">
      <c r="A2959" s="9" t="s">
        <v>1298</v>
      </c>
      <c r="B2959" s="9" t="s">
        <v>327</v>
      </c>
      <c r="C2959" s="9" t="n">
        <v>1</v>
      </c>
      <c r="D2959" s="10" t="n">
        <v>5.91</v>
      </c>
      <c r="E2959" s="10" t="n">
        <f aca="false">C2959*D2959</f>
        <v>5.91</v>
      </c>
    </row>
    <row r="2960" customFormat="false" ht="15" hidden="false" customHeight="false" outlineLevel="0" collapsed="false">
      <c r="A2960" s="9" t="s">
        <v>1298</v>
      </c>
      <c r="B2960" s="9" t="s">
        <v>835</v>
      </c>
      <c r="C2960" s="9" t="n">
        <v>1</v>
      </c>
      <c r="D2960" s="10" t="n">
        <v>11.87</v>
      </c>
      <c r="E2960" s="10" t="n">
        <f aca="false">C2960*D2960</f>
        <v>11.87</v>
      </c>
    </row>
    <row r="2961" customFormat="false" ht="15" hidden="false" customHeight="false" outlineLevel="0" collapsed="false">
      <c r="A2961" s="9" t="s">
        <v>1298</v>
      </c>
      <c r="B2961" s="9" t="s">
        <v>105</v>
      </c>
      <c r="C2961" s="9" t="n">
        <v>3</v>
      </c>
      <c r="D2961" s="10" t="n">
        <v>8.47</v>
      </c>
      <c r="E2961" s="10" t="n">
        <f aca="false">C2961*D2961</f>
        <v>25.41</v>
      </c>
    </row>
    <row r="2962" customFormat="false" ht="15" hidden="false" customHeight="false" outlineLevel="0" collapsed="false">
      <c r="A2962" s="9" t="s">
        <v>1298</v>
      </c>
      <c r="B2962" s="9" t="s">
        <v>1068</v>
      </c>
      <c r="C2962" s="9" t="n">
        <v>4</v>
      </c>
      <c r="D2962" s="10" t="n">
        <v>0.85</v>
      </c>
      <c r="E2962" s="10" t="n">
        <f aca="false">C2962*D2962</f>
        <v>3.4</v>
      </c>
    </row>
    <row r="2963" customFormat="false" ht="15" hidden="false" customHeight="false" outlineLevel="0" collapsed="false">
      <c r="A2963" s="9" t="s">
        <v>1298</v>
      </c>
      <c r="B2963" s="9" t="s">
        <v>1067</v>
      </c>
      <c r="C2963" s="9" t="n">
        <v>4</v>
      </c>
      <c r="D2963" s="10" t="n">
        <v>0.85</v>
      </c>
      <c r="E2963" s="10" t="n">
        <f aca="false">C2963*D2963</f>
        <v>3.4</v>
      </c>
    </row>
    <row r="2964" customFormat="false" ht="15" hidden="false" customHeight="false" outlineLevel="0" collapsed="false">
      <c r="A2964" s="9" t="s">
        <v>1298</v>
      </c>
      <c r="B2964" s="9" t="s">
        <v>457</v>
      </c>
      <c r="C2964" s="9" t="n">
        <v>4</v>
      </c>
      <c r="D2964" s="10" t="n">
        <v>4.21</v>
      </c>
      <c r="E2964" s="10" t="n">
        <f aca="false">C2964*D2964</f>
        <v>16.84</v>
      </c>
    </row>
    <row r="2965" customFormat="false" ht="15" hidden="false" customHeight="false" outlineLevel="0" collapsed="false">
      <c r="A2965" s="9" t="s">
        <v>1298</v>
      </c>
      <c r="B2965" s="9" t="s">
        <v>547</v>
      </c>
      <c r="C2965" s="9" t="n">
        <v>1</v>
      </c>
      <c r="D2965" s="10" t="n">
        <v>3.36</v>
      </c>
      <c r="E2965" s="10" t="n">
        <f aca="false">C2965*D2965</f>
        <v>3.36</v>
      </c>
    </row>
    <row r="2966" customFormat="false" ht="15" hidden="false" customHeight="false" outlineLevel="0" collapsed="false">
      <c r="A2966" s="9" t="s">
        <v>1298</v>
      </c>
      <c r="B2966" s="9" t="s">
        <v>444</v>
      </c>
      <c r="C2966" s="9" t="n">
        <v>2</v>
      </c>
      <c r="D2966" s="10" t="n">
        <v>4.21</v>
      </c>
      <c r="E2966" s="10" t="n">
        <f aca="false">C2966*D2966</f>
        <v>8.42</v>
      </c>
    </row>
    <row r="2967" customFormat="false" ht="15" hidden="false" customHeight="false" outlineLevel="0" collapsed="false">
      <c r="A2967" s="9" t="s">
        <v>1298</v>
      </c>
      <c r="B2967" s="9" t="s">
        <v>495</v>
      </c>
      <c r="C2967" s="9" t="n">
        <v>2</v>
      </c>
      <c r="D2967" s="10" t="n">
        <v>3.36</v>
      </c>
      <c r="E2967" s="10" t="n">
        <f aca="false">C2967*D2967</f>
        <v>6.72</v>
      </c>
    </row>
    <row r="2968" customFormat="false" ht="15" hidden="false" customHeight="false" outlineLevel="0" collapsed="false">
      <c r="A2968" s="9" t="s">
        <v>1298</v>
      </c>
      <c r="B2968" s="9" t="s">
        <v>505</v>
      </c>
      <c r="C2968" s="9" t="n">
        <v>2</v>
      </c>
      <c r="D2968" s="10" t="n">
        <v>4.21</v>
      </c>
      <c r="E2968" s="10" t="n">
        <f aca="false">C2968*D2968</f>
        <v>8.42</v>
      </c>
    </row>
    <row r="2969" customFormat="false" ht="15" hidden="false" customHeight="false" outlineLevel="0" collapsed="false">
      <c r="A2969" s="9" t="s">
        <v>1298</v>
      </c>
      <c r="B2969" s="9" t="s">
        <v>1476</v>
      </c>
      <c r="C2969" s="9" t="n">
        <v>2</v>
      </c>
      <c r="D2969" s="10" t="n">
        <v>2.51</v>
      </c>
      <c r="E2969" s="10" t="n">
        <f aca="false">C2969*D2969</f>
        <v>5.02</v>
      </c>
    </row>
    <row r="2970" customFormat="false" ht="15" hidden="false" customHeight="false" outlineLevel="0" collapsed="false">
      <c r="A2970" s="9" t="s">
        <v>1477</v>
      </c>
      <c r="B2970" s="9" t="s">
        <v>863</v>
      </c>
      <c r="C2970" s="9" t="n">
        <v>2</v>
      </c>
      <c r="D2970" s="10" t="n">
        <v>7.95</v>
      </c>
      <c r="E2970" s="10" t="n">
        <f aca="false">C2970*D2970</f>
        <v>15.9</v>
      </c>
    </row>
    <row r="2971" customFormat="false" ht="15" hidden="false" customHeight="false" outlineLevel="0" collapsed="false">
      <c r="A2971" s="9" t="s">
        <v>1477</v>
      </c>
      <c r="B2971" s="9" t="s">
        <v>1191</v>
      </c>
      <c r="C2971" s="9" t="n">
        <v>2</v>
      </c>
      <c r="D2971" s="10" t="n">
        <v>7.95</v>
      </c>
      <c r="E2971" s="10" t="n">
        <f aca="false">C2971*D2971</f>
        <v>15.9</v>
      </c>
    </row>
    <row r="2972" customFormat="false" ht="15" hidden="false" customHeight="false" outlineLevel="0" collapsed="false">
      <c r="A2972" s="9" t="s">
        <v>1477</v>
      </c>
      <c r="B2972" s="9" t="s">
        <v>1141</v>
      </c>
      <c r="C2972" s="9" t="n">
        <v>6</v>
      </c>
      <c r="D2972" s="10" t="n">
        <v>2.1</v>
      </c>
      <c r="E2972" s="10" t="n">
        <f aca="false">C2972*D2972</f>
        <v>12.6</v>
      </c>
    </row>
    <row r="2973" customFormat="false" ht="15" hidden="false" customHeight="false" outlineLevel="0" collapsed="false">
      <c r="A2973" s="9" t="s">
        <v>1477</v>
      </c>
      <c r="B2973" s="9" t="s">
        <v>765</v>
      </c>
      <c r="C2973" s="9" t="n">
        <v>3</v>
      </c>
      <c r="D2973" s="10" t="n">
        <v>4.95</v>
      </c>
      <c r="E2973" s="10" t="n">
        <f aca="false">C2973*D2973</f>
        <v>14.85</v>
      </c>
    </row>
    <row r="2974" customFormat="false" ht="15" hidden="false" customHeight="false" outlineLevel="0" collapsed="false">
      <c r="A2974" s="9" t="s">
        <v>1477</v>
      </c>
      <c r="B2974" s="9" t="s">
        <v>1478</v>
      </c>
      <c r="C2974" s="9" t="n">
        <v>6</v>
      </c>
      <c r="D2974" s="10" t="n">
        <v>3.75</v>
      </c>
      <c r="E2974" s="10" t="n">
        <f aca="false">C2974*D2974</f>
        <v>22.5</v>
      </c>
    </row>
    <row r="2975" customFormat="false" ht="15" hidden="false" customHeight="false" outlineLevel="0" collapsed="false">
      <c r="A2975" s="9" t="s">
        <v>1479</v>
      </c>
      <c r="B2975" s="9" t="s">
        <v>37</v>
      </c>
      <c r="C2975" s="9" t="n">
        <v>6</v>
      </c>
      <c r="D2975" s="10" t="n">
        <v>2.95</v>
      </c>
      <c r="E2975" s="10" t="n">
        <f aca="false">C2975*D2975</f>
        <v>17.7</v>
      </c>
    </row>
    <row r="2976" customFormat="false" ht="15" hidden="false" customHeight="false" outlineLevel="0" collapsed="false">
      <c r="A2976" s="9" t="s">
        <v>1479</v>
      </c>
      <c r="B2976" s="9" t="s">
        <v>394</v>
      </c>
      <c r="C2976" s="9" t="n">
        <v>12</v>
      </c>
      <c r="D2976" s="10" t="n">
        <v>0.95</v>
      </c>
      <c r="E2976" s="10" t="n">
        <f aca="false">C2976*D2976</f>
        <v>11.4</v>
      </c>
    </row>
    <row r="2977" customFormat="false" ht="15" hidden="false" customHeight="false" outlineLevel="0" collapsed="false">
      <c r="A2977" s="9" t="s">
        <v>1479</v>
      </c>
      <c r="B2977" s="9" t="s">
        <v>104</v>
      </c>
      <c r="C2977" s="9" t="n">
        <v>6</v>
      </c>
      <c r="D2977" s="10" t="n">
        <v>2.95</v>
      </c>
      <c r="E2977" s="10" t="n">
        <f aca="false">C2977*D2977</f>
        <v>17.7</v>
      </c>
    </row>
    <row r="2978" customFormat="false" ht="15" hidden="false" customHeight="false" outlineLevel="0" collapsed="false">
      <c r="A2978" s="9" t="s">
        <v>1479</v>
      </c>
      <c r="B2978" s="9" t="s">
        <v>515</v>
      </c>
      <c r="C2978" s="9" t="n">
        <v>4</v>
      </c>
      <c r="D2978" s="10" t="n">
        <v>3.75</v>
      </c>
      <c r="E2978" s="10" t="n">
        <f aca="false">C2978*D2978</f>
        <v>15</v>
      </c>
    </row>
    <row r="2979" customFormat="false" ht="15" hidden="false" customHeight="false" outlineLevel="0" collapsed="false">
      <c r="A2979" s="9" t="s">
        <v>1479</v>
      </c>
      <c r="B2979" s="9" t="s">
        <v>293</v>
      </c>
      <c r="C2979" s="9" t="n">
        <v>6</v>
      </c>
      <c r="D2979" s="10" t="n">
        <v>2.95</v>
      </c>
      <c r="E2979" s="10" t="n">
        <f aca="false">C2979*D2979</f>
        <v>17.7</v>
      </c>
    </row>
    <row r="2980" customFormat="false" ht="15" hidden="false" customHeight="false" outlineLevel="0" collapsed="false">
      <c r="A2980" s="9" t="s">
        <v>1480</v>
      </c>
      <c r="B2980" s="9" t="s">
        <v>1481</v>
      </c>
      <c r="C2980" s="9" t="n">
        <v>1</v>
      </c>
      <c r="D2980" s="10" t="n">
        <v>1.25</v>
      </c>
      <c r="E2980" s="10" t="n">
        <f aca="false">C2980*D2980</f>
        <v>1.25</v>
      </c>
    </row>
    <row r="2981" customFormat="false" ht="15" hidden="false" customHeight="false" outlineLevel="0" collapsed="false">
      <c r="A2981" s="9" t="s">
        <v>1480</v>
      </c>
      <c r="B2981" s="9" t="s">
        <v>615</v>
      </c>
      <c r="C2981" s="9" t="n">
        <v>60</v>
      </c>
      <c r="D2981" s="10" t="n">
        <v>3.39</v>
      </c>
      <c r="E2981" s="10" t="n">
        <f aca="false">C2981*D2981</f>
        <v>203.4</v>
      </c>
    </row>
    <row r="2982" customFormat="false" ht="15" hidden="false" customHeight="false" outlineLevel="0" collapsed="false">
      <c r="A2982" s="9" t="s">
        <v>1480</v>
      </c>
      <c r="B2982" s="9" t="s">
        <v>618</v>
      </c>
      <c r="C2982" s="9" t="n">
        <v>24</v>
      </c>
      <c r="D2982" s="10" t="n">
        <v>2.55</v>
      </c>
      <c r="E2982" s="10" t="n">
        <f aca="false">C2982*D2982</f>
        <v>61.2</v>
      </c>
    </row>
    <row r="2983" customFormat="false" ht="15" hidden="false" customHeight="false" outlineLevel="0" collapsed="false">
      <c r="A2983" s="9" t="s">
        <v>1480</v>
      </c>
      <c r="B2983" s="9" t="s">
        <v>835</v>
      </c>
      <c r="C2983" s="9" t="n">
        <v>4</v>
      </c>
      <c r="D2983" s="10" t="n">
        <v>5.95</v>
      </c>
      <c r="E2983" s="10" t="n">
        <f aca="false">C2983*D2983</f>
        <v>23.8</v>
      </c>
    </row>
    <row r="2984" customFormat="false" ht="15" hidden="false" customHeight="false" outlineLevel="0" collapsed="false">
      <c r="A2984" s="9" t="s">
        <v>1480</v>
      </c>
      <c r="B2984" s="9" t="s">
        <v>66</v>
      </c>
      <c r="C2984" s="9" t="n">
        <v>4</v>
      </c>
      <c r="D2984" s="10" t="n">
        <v>5.95</v>
      </c>
      <c r="E2984" s="10" t="n">
        <f aca="false">C2984*D2984</f>
        <v>23.8</v>
      </c>
    </row>
    <row r="2985" customFormat="false" ht="15" hidden="false" customHeight="false" outlineLevel="0" collapsed="false">
      <c r="A2985" s="9" t="s">
        <v>1480</v>
      </c>
      <c r="B2985" s="9" t="s">
        <v>378</v>
      </c>
      <c r="C2985" s="9" t="n">
        <v>5</v>
      </c>
      <c r="D2985" s="10" t="n">
        <v>1.65</v>
      </c>
      <c r="E2985" s="10" t="n">
        <f aca="false">C2985*D2985</f>
        <v>8.25</v>
      </c>
    </row>
    <row r="2986" customFormat="false" ht="15" hidden="false" customHeight="false" outlineLevel="0" collapsed="false">
      <c r="A2986" s="9" t="s">
        <v>1480</v>
      </c>
      <c r="B2986" s="9" t="s">
        <v>507</v>
      </c>
      <c r="C2986" s="9" t="n">
        <v>5</v>
      </c>
      <c r="D2986" s="10" t="n">
        <v>2.1</v>
      </c>
      <c r="E2986" s="10" t="n">
        <f aca="false">C2986*D2986</f>
        <v>10.5</v>
      </c>
    </row>
    <row r="2987" customFormat="false" ht="15" hidden="false" customHeight="false" outlineLevel="0" collapsed="false">
      <c r="A2987" s="9" t="s">
        <v>1480</v>
      </c>
      <c r="B2987" s="9" t="s">
        <v>98</v>
      </c>
      <c r="C2987" s="9" t="n">
        <v>1</v>
      </c>
      <c r="D2987" s="10" t="n">
        <v>5.95</v>
      </c>
      <c r="E2987" s="10" t="n">
        <f aca="false">C2987*D2987</f>
        <v>5.95</v>
      </c>
    </row>
    <row r="2988" customFormat="false" ht="15" hidden="false" customHeight="false" outlineLevel="0" collapsed="false">
      <c r="A2988" s="9" t="s">
        <v>1480</v>
      </c>
      <c r="B2988" s="9" t="s">
        <v>630</v>
      </c>
      <c r="C2988" s="9" t="n">
        <v>1</v>
      </c>
      <c r="D2988" s="10" t="n">
        <v>2.25</v>
      </c>
      <c r="E2988" s="10" t="n">
        <f aca="false">C2988*D2988</f>
        <v>2.25</v>
      </c>
    </row>
    <row r="2989" customFormat="false" ht="15" hidden="false" customHeight="false" outlineLevel="0" collapsed="false">
      <c r="A2989" s="9" t="s">
        <v>1480</v>
      </c>
      <c r="B2989" s="9" t="s">
        <v>1482</v>
      </c>
      <c r="C2989" s="9" t="n">
        <v>1</v>
      </c>
      <c r="D2989" s="10" t="n">
        <v>1.25</v>
      </c>
      <c r="E2989" s="10" t="n">
        <f aca="false">C2989*D2989</f>
        <v>1.25</v>
      </c>
    </row>
    <row r="2990" customFormat="false" ht="15" hidden="false" customHeight="false" outlineLevel="0" collapsed="false">
      <c r="A2990" s="9" t="s">
        <v>1480</v>
      </c>
      <c r="B2990" s="9" t="s">
        <v>1483</v>
      </c>
      <c r="C2990" s="9" t="n">
        <v>2</v>
      </c>
      <c r="D2990" s="10" t="n">
        <v>3.75</v>
      </c>
      <c r="E2990" s="10" t="n">
        <f aca="false">C2990*D2990</f>
        <v>7.5</v>
      </c>
    </row>
    <row r="2991" customFormat="false" ht="15" hidden="false" customHeight="false" outlineLevel="0" collapsed="false">
      <c r="A2991" s="9" t="s">
        <v>1484</v>
      </c>
      <c r="B2991" s="9" t="s">
        <v>1188</v>
      </c>
      <c r="C2991" s="9" t="n">
        <v>1</v>
      </c>
      <c r="D2991" s="10" t="n">
        <v>19.95</v>
      </c>
      <c r="E2991" s="10" t="n">
        <f aca="false">C2991*D2991</f>
        <v>19.95</v>
      </c>
    </row>
    <row r="2992" customFormat="false" ht="15" hidden="false" customHeight="false" outlineLevel="0" collapsed="false">
      <c r="A2992" s="9" t="s">
        <v>1484</v>
      </c>
      <c r="B2992" s="9" t="s">
        <v>1485</v>
      </c>
      <c r="C2992" s="9" t="n">
        <v>4</v>
      </c>
      <c r="D2992" s="10" t="n">
        <v>1.25</v>
      </c>
      <c r="E2992" s="10" t="n">
        <f aca="false">C2992*D2992</f>
        <v>5</v>
      </c>
    </row>
    <row r="2993" customFormat="false" ht="15" hidden="false" customHeight="false" outlineLevel="0" collapsed="false">
      <c r="A2993" s="9" t="s">
        <v>1484</v>
      </c>
      <c r="B2993" s="9" t="s">
        <v>820</v>
      </c>
      <c r="C2993" s="9" t="n">
        <v>1</v>
      </c>
      <c r="D2993" s="10" t="n">
        <v>0.29</v>
      </c>
      <c r="E2993" s="10" t="n">
        <f aca="false">C2993*D2993</f>
        <v>0.29</v>
      </c>
    </row>
    <row r="2994" customFormat="false" ht="15" hidden="false" customHeight="false" outlineLevel="0" collapsed="false">
      <c r="A2994" s="9" t="s">
        <v>1484</v>
      </c>
      <c r="B2994" s="9" t="s">
        <v>105</v>
      </c>
      <c r="C2994" s="9" t="n">
        <v>1</v>
      </c>
      <c r="D2994" s="10" t="n">
        <v>3.95</v>
      </c>
      <c r="E2994" s="10" t="n">
        <f aca="false">C2994*D2994</f>
        <v>3.95</v>
      </c>
    </row>
    <row r="2995" customFormat="false" ht="15" hidden="false" customHeight="false" outlineLevel="0" collapsed="false">
      <c r="A2995" s="9" t="s">
        <v>1484</v>
      </c>
      <c r="B2995" s="9" t="s">
        <v>72</v>
      </c>
      <c r="C2995" s="9" t="n">
        <v>1</v>
      </c>
      <c r="D2995" s="10" t="n">
        <v>2.95</v>
      </c>
      <c r="E2995" s="10" t="n">
        <f aca="false">C2995*D2995</f>
        <v>2.95</v>
      </c>
    </row>
    <row r="2996" customFormat="false" ht="15" hidden="false" customHeight="false" outlineLevel="0" collapsed="false">
      <c r="A2996" s="9" t="s">
        <v>1484</v>
      </c>
      <c r="B2996" s="9" t="s">
        <v>1486</v>
      </c>
      <c r="C2996" s="9" t="n">
        <v>1</v>
      </c>
      <c r="D2996" s="10" t="n">
        <v>5.95</v>
      </c>
      <c r="E2996" s="10" t="n">
        <f aca="false">C2996*D2996</f>
        <v>5.95</v>
      </c>
    </row>
    <row r="2997" customFormat="false" ht="15" hidden="false" customHeight="false" outlineLevel="0" collapsed="false">
      <c r="A2997" s="9" t="s">
        <v>1487</v>
      </c>
      <c r="B2997" s="9" t="s">
        <v>1488</v>
      </c>
      <c r="C2997" s="9" t="n">
        <v>6</v>
      </c>
      <c r="D2997" s="10" t="n">
        <v>0.85</v>
      </c>
      <c r="E2997" s="10" t="n">
        <f aca="false">C2997*D2997</f>
        <v>5.1</v>
      </c>
    </row>
    <row r="2998" customFormat="false" ht="15" hidden="false" customHeight="false" outlineLevel="0" collapsed="false">
      <c r="A2998" s="9" t="s">
        <v>1487</v>
      </c>
      <c r="B2998" s="9" t="s">
        <v>1489</v>
      </c>
      <c r="C2998" s="9" t="n">
        <v>5</v>
      </c>
      <c r="D2998" s="10" t="n">
        <v>1.25</v>
      </c>
      <c r="E2998" s="10" t="n">
        <f aca="false">C2998*D2998</f>
        <v>6.25</v>
      </c>
    </row>
    <row r="2999" customFormat="false" ht="15" hidden="false" customHeight="false" outlineLevel="0" collapsed="false">
      <c r="A2999" s="9" t="s">
        <v>1487</v>
      </c>
      <c r="B2999" s="9" t="s">
        <v>490</v>
      </c>
      <c r="C2999" s="9" t="n">
        <v>1</v>
      </c>
      <c r="D2999" s="10" t="n">
        <v>0.85</v>
      </c>
      <c r="E2999" s="10" t="n">
        <f aca="false">C2999*D2999</f>
        <v>0.85</v>
      </c>
    </row>
    <row r="3000" customFormat="false" ht="15" hidden="false" customHeight="false" outlineLevel="0" collapsed="false">
      <c r="A3000" s="9" t="s">
        <v>1487</v>
      </c>
      <c r="B3000" s="9" t="s">
        <v>1490</v>
      </c>
      <c r="C3000" s="9" t="n">
        <v>1</v>
      </c>
      <c r="D3000" s="10" t="n">
        <v>2.95</v>
      </c>
      <c r="E3000" s="10" t="n">
        <f aca="false">C3000*D3000</f>
        <v>2.95</v>
      </c>
    </row>
    <row r="3001" customFormat="false" ht="15" hidden="false" customHeight="false" outlineLevel="0" collapsed="false">
      <c r="A3001" s="9" t="s">
        <v>1487</v>
      </c>
      <c r="B3001" s="9" t="s">
        <v>1491</v>
      </c>
      <c r="C3001" s="9" t="n">
        <v>14</v>
      </c>
      <c r="D3001" s="10" t="n">
        <v>0.19</v>
      </c>
      <c r="E3001" s="10" t="n">
        <f aca="false">C3001*D3001</f>
        <v>2.66</v>
      </c>
    </row>
    <row r="3002" customFormat="false" ht="15" hidden="false" customHeight="false" outlineLevel="0" collapsed="false">
      <c r="A3002" s="9" t="s">
        <v>1487</v>
      </c>
      <c r="B3002" s="9" t="s">
        <v>322</v>
      </c>
      <c r="C3002" s="9" t="n">
        <v>1</v>
      </c>
      <c r="D3002" s="10" t="n">
        <v>1.25</v>
      </c>
      <c r="E3002" s="10" t="n">
        <f aca="false">C3002*D3002</f>
        <v>1.25</v>
      </c>
    </row>
    <row r="3003" customFormat="false" ht="15" hidden="false" customHeight="false" outlineLevel="0" collapsed="false">
      <c r="A3003" s="9" t="s">
        <v>1487</v>
      </c>
      <c r="B3003" s="9" t="s">
        <v>297</v>
      </c>
      <c r="C3003" s="9" t="n">
        <v>1</v>
      </c>
      <c r="D3003" s="10" t="n">
        <v>1.65</v>
      </c>
      <c r="E3003" s="10" t="n">
        <f aca="false">C3003*D3003</f>
        <v>1.65</v>
      </c>
    </row>
    <row r="3004" customFormat="false" ht="15" hidden="false" customHeight="false" outlineLevel="0" collapsed="false">
      <c r="A3004" s="9" t="s">
        <v>1487</v>
      </c>
      <c r="B3004" s="9" t="s">
        <v>231</v>
      </c>
      <c r="C3004" s="9" t="n">
        <v>6</v>
      </c>
      <c r="D3004" s="10" t="n">
        <v>0.85</v>
      </c>
      <c r="E3004" s="10" t="n">
        <f aca="false">C3004*D3004</f>
        <v>5.1</v>
      </c>
    </row>
    <row r="3005" customFormat="false" ht="15" hidden="false" customHeight="false" outlineLevel="0" collapsed="false">
      <c r="A3005" s="9" t="s">
        <v>1487</v>
      </c>
      <c r="B3005" s="9" t="s">
        <v>1492</v>
      </c>
      <c r="C3005" s="9" t="n">
        <v>1</v>
      </c>
      <c r="D3005" s="10" t="n">
        <v>1.65</v>
      </c>
      <c r="E3005" s="10" t="n">
        <f aca="false">C3005*D3005</f>
        <v>1.65</v>
      </c>
    </row>
    <row r="3006" customFormat="false" ht="15" hidden="false" customHeight="false" outlineLevel="0" collapsed="false">
      <c r="A3006" s="9" t="s">
        <v>1487</v>
      </c>
      <c r="B3006" s="9" t="s">
        <v>1493</v>
      </c>
      <c r="C3006" s="9" t="n">
        <v>1</v>
      </c>
      <c r="D3006" s="10" t="n">
        <v>4.25</v>
      </c>
      <c r="E3006" s="10" t="n">
        <f aca="false">C3006*D3006</f>
        <v>4.25</v>
      </c>
    </row>
    <row r="3007" customFormat="false" ht="15" hidden="false" customHeight="false" outlineLevel="0" collapsed="false">
      <c r="A3007" s="9" t="s">
        <v>1487</v>
      </c>
      <c r="B3007" s="9" t="s">
        <v>443</v>
      </c>
      <c r="C3007" s="9" t="n">
        <v>1</v>
      </c>
      <c r="D3007" s="10" t="n">
        <v>2.95</v>
      </c>
      <c r="E3007" s="10" t="n">
        <f aca="false">C3007*D3007</f>
        <v>2.95</v>
      </c>
    </row>
    <row r="3008" customFormat="false" ht="15" hidden="false" customHeight="false" outlineLevel="0" collapsed="false">
      <c r="A3008" s="9" t="s">
        <v>1487</v>
      </c>
      <c r="B3008" s="9" t="s">
        <v>1494</v>
      </c>
      <c r="C3008" s="9" t="n">
        <v>1</v>
      </c>
      <c r="D3008" s="10" t="n">
        <v>9.95</v>
      </c>
      <c r="E3008" s="10" t="n">
        <f aca="false">C3008*D3008</f>
        <v>9.95</v>
      </c>
    </row>
    <row r="3009" customFormat="false" ht="15" hidden="false" customHeight="false" outlineLevel="0" collapsed="false">
      <c r="A3009" s="9" t="s">
        <v>1487</v>
      </c>
      <c r="B3009" s="9" t="s">
        <v>1495</v>
      </c>
      <c r="C3009" s="9" t="n">
        <v>1</v>
      </c>
      <c r="D3009" s="10" t="n">
        <v>4.95</v>
      </c>
      <c r="E3009" s="10" t="n">
        <f aca="false">C3009*D3009</f>
        <v>4.95</v>
      </c>
    </row>
    <row r="3010" customFormat="false" ht="15" hidden="false" customHeight="false" outlineLevel="0" collapsed="false">
      <c r="A3010" s="9" t="s">
        <v>1487</v>
      </c>
      <c r="B3010" s="9" t="s">
        <v>581</v>
      </c>
      <c r="C3010" s="9" t="n">
        <v>4</v>
      </c>
      <c r="D3010" s="10" t="n">
        <v>0.85</v>
      </c>
      <c r="E3010" s="10" t="n">
        <f aca="false">C3010*D3010</f>
        <v>3.4</v>
      </c>
    </row>
    <row r="3011" customFormat="false" ht="15" hidden="false" customHeight="false" outlineLevel="0" collapsed="false">
      <c r="A3011" s="9" t="s">
        <v>1487</v>
      </c>
      <c r="B3011" s="9" t="s">
        <v>298</v>
      </c>
      <c r="C3011" s="9" t="n">
        <v>1</v>
      </c>
      <c r="D3011" s="10" t="n">
        <v>1.65</v>
      </c>
      <c r="E3011" s="10" t="n">
        <f aca="false">C3011*D3011</f>
        <v>1.65</v>
      </c>
    </row>
    <row r="3012" customFormat="false" ht="15" hidden="false" customHeight="false" outlineLevel="0" collapsed="false">
      <c r="A3012" s="9" t="s">
        <v>1487</v>
      </c>
      <c r="B3012" s="9" t="s">
        <v>487</v>
      </c>
      <c r="C3012" s="9" t="n">
        <v>4</v>
      </c>
      <c r="D3012" s="10" t="n">
        <v>0.55</v>
      </c>
      <c r="E3012" s="10" t="n">
        <f aca="false">C3012*D3012</f>
        <v>2.2</v>
      </c>
    </row>
    <row r="3013" customFormat="false" ht="15" hidden="false" customHeight="false" outlineLevel="0" collapsed="false">
      <c r="A3013" s="9" t="s">
        <v>1487</v>
      </c>
      <c r="B3013" s="9" t="s">
        <v>1005</v>
      </c>
      <c r="C3013" s="9" t="n">
        <v>1</v>
      </c>
      <c r="D3013" s="10" t="n">
        <v>0.85</v>
      </c>
      <c r="E3013" s="10" t="n">
        <f aca="false">C3013*D3013</f>
        <v>0.85</v>
      </c>
    </row>
    <row r="3014" customFormat="false" ht="15" hidden="false" customHeight="false" outlineLevel="0" collapsed="false">
      <c r="A3014" s="9" t="s">
        <v>1487</v>
      </c>
      <c r="B3014" s="9" t="s">
        <v>1006</v>
      </c>
      <c r="C3014" s="9" t="n">
        <v>4</v>
      </c>
      <c r="D3014" s="10" t="n">
        <v>0.42</v>
      </c>
      <c r="E3014" s="10" t="n">
        <f aca="false">C3014*D3014</f>
        <v>1.68</v>
      </c>
    </row>
    <row r="3015" customFormat="false" ht="15" hidden="false" customHeight="false" outlineLevel="0" collapsed="false">
      <c r="A3015" s="9" t="s">
        <v>1487</v>
      </c>
      <c r="B3015" s="9" t="s">
        <v>378</v>
      </c>
      <c r="C3015" s="9" t="n">
        <v>2</v>
      </c>
      <c r="D3015" s="10" t="n">
        <v>1.65</v>
      </c>
      <c r="E3015" s="10" t="n">
        <f aca="false">C3015*D3015</f>
        <v>3.3</v>
      </c>
    </row>
    <row r="3016" customFormat="false" ht="15" hidden="false" customHeight="false" outlineLevel="0" collapsed="false">
      <c r="A3016" s="9" t="s">
        <v>1487</v>
      </c>
      <c r="B3016" s="9" t="s">
        <v>1496</v>
      </c>
      <c r="C3016" s="9" t="n">
        <v>1</v>
      </c>
      <c r="D3016" s="10" t="n">
        <v>4.25</v>
      </c>
      <c r="E3016" s="10" t="n">
        <f aca="false">C3016*D3016</f>
        <v>4.25</v>
      </c>
    </row>
    <row r="3017" customFormat="false" ht="15" hidden="false" customHeight="false" outlineLevel="0" collapsed="false">
      <c r="A3017" s="9" t="s">
        <v>1487</v>
      </c>
      <c r="B3017" s="9" t="s">
        <v>88</v>
      </c>
      <c r="C3017" s="9" t="n">
        <v>1</v>
      </c>
      <c r="D3017" s="10" t="n">
        <v>2.95</v>
      </c>
      <c r="E3017" s="10" t="n">
        <f aca="false">C3017*D3017</f>
        <v>2.95</v>
      </c>
    </row>
    <row r="3018" customFormat="false" ht="15" hidden="false" customHeight="false" outlineLevel="0" collapsed="false">
      <c r="A3018" s="9" t="s">
        <v>1487</v>
      </c>
      <c r="B3018" s="9" t="s">
        <v>1497</v>
      </c>
      <c r="C3018" s="9" t="n">
        <v>1</v>
      </c>
      <c r="D3018" s="10" t="n">
        <v>4.25</v>
      </c>
      <c r="E3018" s="10" t="n">
        <f aca="false">C3018*D3018</f>
        <v>4.25</v>
      </c>
    </row>
    <row r="3019" customFormat="false" ht="15" hidden="false" customHeight="false" outlineLevel="0" collapsed="false">
      <c r="A3019" s="9" t="s">
        <v>1487</v>
      </c>
      <c r="B3019" s="9" t="s">
        <v>655</v>
      </c>
      <c r="C3019" s="9" t="n">
        <v>2</v>
      </c>
      <c r="D3019" s="10" t="n">
        <v>2.55</v>
      </c>
      <c r="E3019" s="10" t="n">
        <f aca="false">C3019*D3019</f>
        <v>5.1</v>
      </c>
    </row>
    <row r="3020" customFormat="false" ht="15" hidden="false" customHeight="false" outlineLevel="0" collapsed="false">
      <c r="A3020" s="9" t="s">
        <v>1487</v>
      </c>
      <c r="B3020" s="9" t="s">
        <v>570</v>
      </c>
      <c r="C3020" s="9" t="n">
        <v>1</v>
      </c>
      <c r="D3020" s="10" t="n">
        <v>1.25</v>
      </c>
      <c r="E3020" s="10" t="n">
        <f aca="false">C3020*D3020</f>
        <v>1.25</v>
      </c>
    </row>
    <row r="3021" customFormat="false" ht="15" hidden="false" customHeight="false" outlineLevel="0" collapsed="false">
      <c r="A3021" s="9" t="s">
        <v>1487</v>
      </c>
      <c r="B3021" s="9" t="s">
        <v>1417</v>
      </c>
      <c r="C3021" s="9" t="n">
        <v>1</v>
      </c>
      <c r="D3021" s="10" t="n">
        <v>3.25</v>
      </c>
      <c r="E3021" s="10" t="n">
        <f aca="false">C3021*D3021</f>
        <v>3.25</v>
      </c>
    </row>
    <row r="3022" customFormat="false" ht="15" hidden="false" customHeight="false" outlineLevel="0" collapsed="false">
      <c r="A3022" s="9" t="s">
        <v>1487</v>
      </c>
      <c r="B3022" s="9" t="s">
        <v>430</v>
      </c>
      <c r="C3022" s="9" t="n">
        <v>3</v>
      </c>
      <c r="D3022" s="10" t="n">
        <v>4.25</v>
      </c>
      <c r="E3022" s="10" t="n">
        <f aca="false">C3022*D3022</f>
        <v>12.75</v>
      </c>
    </row>
    <row r="3023" customFormat="false" ht="15" hidden="false" customHeight="false" outlineLevel="0" collapsed="false">
      <c r="A3023" s="9" t="s">
        <v>1487</v>
      </c>
      <c r="B3023" s="9" t="s">
        <v>233</v>
      </c>
      <c r="C3023" s="9" t="n">
        <v>1</v>
      </c>
      <c r="D3023" s="10" t="n">
        <v>2.95</v>
      </c>
      <c r="E3023" s="10" t="n">
        <f aca="false">C3023*D3023</f>
        <v>2.95</v>
      </c>
    </row>
    <row r="3024" customFormat="false" ht="15" hidden="false" customHeight="false" outlineLevel="0" collapsed="false">
      <c r="A3024" s="9" t="s">
        <v>1487</v>
      </c>
      <c r="B3024" s="9" t="s">
        <v>1498</v>
      </c>
      <c r="C3024" s="9" t="n">
        <v>4</v>
      </c>
      <c r="D3024" s="10" t="n">
        <v>0.85</v>
      </c>
      <c r="E3024" s="10" t="n">
        <f aca="false">C3024*D3024</f>
        <v>3.4</v>
      </c>
    </row>
    <row r="3025" customFormat="false" ht="15" hidden="false" customHeight="false" outlineLevel="0" collapsed="false">
      <c r="A3025" s="9" t="s">
        <v>1499</v>
      </c>
      <c r="B3025" s="9" t="s">
        <v>1500</v>
      </c>
      <c r="C3025" s="9" t="n">
        <v>12</v>
      </c>
      <c r="D3025" s="10" t="n">
        <v>1.25</v>
      </c>
      <c r="E3025" s="10" t="n">
        <f aca="false">C3025*D3025</f>
        <v>15</v>
      </c>
    </row>
    <row r="3026" customFormat="false" ht="15" hidden="false" customHeight="false" outlineLevel="0" collapsed="false">
      <c r="A3026" s="9" t="s">
        <v>1499</v>
      </c>
      <c r="B3026" s="9" t="s">
        <v>1501</v>
      </c>
      <c r="C3026" s="9" t="n">
        <v>16</v>
      </c>
      <c r="D3026" s="10" t="n">
        <v>0.85</v>
      </c>
      <c r="E3026" s="10" t="n">
        <f aca="false">C3026*D3026</f>
        <v>13.6</v>
      </c>
    </row>
    <row r="3027" customFormat="false" ht="15" hidden="false" customHeight="false" outlineLevel="0" collapsed="false">
      <c r="A3027" s="9" t="s">
        <v>1499</v>
      </c>
      <c r="B3027" s="9" t="s">
        <v>395</v>
      </c>
      <c r="C3027" s="9" t="n">
        <v>24</v>
      </c>
      <c r="D3027" s="10" t="n">
        <v>1.25</v>
      </c>
      <c r="E3027" s="10" t="n">
        <f aca="false">C3027*D3027</f>
        <v>30</v>
      </c>
    </row>
    <row r="3028" customFormat="false" ht="15" hidden="false" customHeight="false" outlineLevel="0" collapsed="false">
      <c r="A3028" s="9" t="s">
        <v>1499</v>
      </c>
      <c r="B3028" s="9" t="s">
        <v>1502</v>
      </c>
      <c r="C3028" s="9" t="n">
        <v>24</v>
      </c>
      <c r="D3028" s="10" t="n">
        <v>4.25</v>
      </c>
      <c r="E3028" s="10" t="n">
        <f aca="false">C3028*D3028</f>
        <v>102</v>
      </c>
    </row>
    <row r="3029" customFormat="false" ht="15" hidden="false" customHeight="false" outlineLevel="0" collapsed="false">
      <c r="A3029" s="9" t="s">
        <v>1503</v>
      </c>
      <c r="B3029" s="9" t="s">
        <v>305</v>
      </c>
      <c r="C3029" s="9" t="n">
        <v>12</v>
      </c>
      <c r="D3029" s="10" t="n">
        <v>6.35</v>
      </c>
      <c r="E3029" s="10" t="n">
        <f aca="false">C3029*D3029</f>
        <v>76.2</v>
      </c>
    </row>
    <row r="3030" customFormat="false" ht="15" hidden="false" customHeight="false" outlineLevel="0" collapsed="false">
      <c r="A3030" s="9" t="s">
        <v>1503</v>
      </c>
      <c r="B3030" s="9" t="s">
        <v>877</v>
      </c>
      <c r="C3030" s="9" t="n">
        <v>8</v>
      </c>
      <c r="D3030" s="10" t="n">
        <v>8.95</v>
      </c>
      <c r="E3030" s="10" t="n">
        <f aca="false">C3030*D3030</f>
        <v>71.6</v>
      </c>
    </row>
    <row r="3031" customFormat="false" ht="15" hidden="false" customHeight="false" outlineLevel="0" collapsed="false">
      <c r="A3031" s="9" t="s">
        <v>1503</v>
      </c>
      <c r="B3031" s="9" t="s">
        <v>742</v>
      </c>
      <c r="C3031" s="9" t="n">
        <v>36</v>
      </c>
      <c r="D3031" s="10" t="n">
        <v>0.85</v>
      </c>
      <c r="E3031" s="10" t="n">
        <f aca="false">C3031*D3031</f>
        <v>30.6</v>
      </c>
    </row>
    <row r="3032" customFormat="false" ht="15" hidden="false" customHeight="false" outlineLevel="0" collapsed="false">
      <c r="A3032" s="9" t="s">
        <v>1503</v>
      </c>
      <c r="B3032" s="9" t="s">
        <v>85</v>
      </c>
      <c r="C3032" s="9" t="n">
        <v>4</v>
      </c>
      <c r="D3032" s="10" t="n">
        <v>3.75</v>
      </c>
      <c r="E3032" s="10" t="n">
        <f aca="false">C3032*D3032</f>
        <v>15</v>
      </c>
    </row>
    <row r="3033" customFormat="false" ht="15" hidden="false" customHeight="false" outlineLevel="0" collapsed="false">
      <c r="A3033" s="9" t="s">
        <v>1503</v>
      </c>
      <c r="B3033" s="9" t="s">
        <v>234</v>
      </c>
      <c r="C3033" s="9" t="n">
        <v>8</v>
      </c>
      <c r="D3033" s="10" t="n">
        <v>8.5</v>
      </c>
      <c r="E3033" s="10" t="n">
        <f aca="false">C3033*D3033</f>
        <v>68</v>
      </c>
    </row>
    <row r="3034" customFormat="false" ht="15" hidden="false" customHeight="false" outlineLevel="0" collapsed="false">
      <c r="A3034" s="9" t="s">
        <v>1503</v>
      </c>
      <c r="B3034" s="9" t="s">
        <v>84</v>
      </c>
      <c r="C3034" s="9" t="n">
        <v>12</v>
      </c>
      <c r="D3034" s="10" t="n">
        <v>3.75</v>
      </c>
      <c r="E3034" s="10" t="n">
        <f aca="false">C3034*D3034</f>
        <v>45</v>
      </c>
    </row>
    <row r="3035" customFormat="false" ht="15" hidden="false" customHeight="false" outlineLevel="0" collapsed="false">
      <c r="A3035" s="9" t="s">
        <v>1504</v>
      </c>
      <c r="B3035" s="9" t="s">
        <v>43</v>
      </c>
      <c r="C3035" s="9" t="n">
        <v>4</v>
      </c>
      <c r="D3035" s="10" t="n">
        <v>4.25</v>
      </c>
      <c r="E3035" s="10" t="n">
        <f aca="false">C3035*D3035</f>
        <v>17</v>
      </c>
    </row>
    <row r="3036" customFormat="false" ht="15" hidden="false" customHeight="false" outlineLevel="0" collapsed="false">
      <c r="A3036" s="9" t="s">
        <v>1504</v>
      </c>
      <c r="B3036" s="9" t="s">
        <v>265</v>
      </c>
      <c r="C3036" s="9" t="n">
        <v>2</v>
      </c>
      <c r="D3036" s="10" t="n">
        <v>35.75</v>
      </c>
      <c r="E3036" s="10" t="n">
        <f aca="false">C3036*D3036</f>
        <v>71.5</v>
      </c>
    </row>
    <row r="3037" customFormat="false" ht="15" hidden="false" customHeight="false" outlineLevel="0" collapsed="false">
      <c r="A3037" s="9" t="s">
        <v>1504</v>
      </c>
      <c r="B3037" s="9" t="s">
        <v>42</v>
      </c>
      <c r="C3037" s="9" t="n">
        <v>2</v>
      </c>
      <c r="D3037" s="10" t="n">
        <v>7.65</v>
      </c>
      <c r="E3037" s="10" t="n">
        <f aca="false">C3037*D3037</f>
        <v>15.3</v>
      </c>
    </row>
    <row r="3038" customFormat="false" ht="15" hidden="false" customHeight="false" outlineLevel="0" collapsed="false">
      <c r="A3038" s="9" t="s">
        <v>1504</v>
      </c>
      <c r="B3038" s="9" t="s">
        <v>41</v>
      </c>
      <c r="C3038" s="9" t="n">
        <v>6</v>
      </c>
      <c r="D3038" s="10" t="n">
        <v>3.39</v>
      </c>
      <c r="E3038" s="10" t="n">
        <f aca="false">C3038*D3038</f>
        <v>20.34</v>
      </c>
    </row>
    <row r="3039" customFormat="false" ht="15" hidden="false" customHeight="false" outlineLevel="0" collapsed="false">
      <c r="A3039" s="9" t="s">
        <v>1504</v>
      </c>
      <c r="B3039" s="9" t="s">
        <v>150</v>
      </c>
      <c r="C3039" s="9" t="n">
        <v>6</v>
      </c>
      <c r="D3039" s="10" t="n">
        <v>1.65</v>
      </c>
      <c r="E3039" s="10" t="n">
        <f aca="false">C3039*D3039</f>
        <v>9.9</v>
      </c>
    </row>
    <row r="3040" customFormat="false" ht="15" hidden="false" customHeight="false" outlineLevel="0" collapsed="false">
      <c r="A3040" s="9" t="s">
        <v>1504</v>
      </c>
      <c r="B3040" s="9" t="s">
        <v>40</v>
      </c>
      <c r="C3040" s="9" t="n">
        <v>6</v>
      </c>
      <c r="D3040" s="10" t="n">
        <v>3.39</v>
      </c>
      <c r="E3040" s="10" t="n">
        <f aca="false">C3040*D3040</f>
        <v>20.34</v>
      </c>
    </row>
    <row r="3041" customFormat="false" ht="15" hidden="false" customHeight="false" outlineLevel="0" collapsed="false">
      <c r="A3041" s="9" t="s">
        <v>1504</v>
      </c>
      <c r="B3041" s="9" t="s">
        <v>91</v>
      </c>
      <c r="C3041" s="9" t="n">
        <v>6</v>
      </c>
      <c r="D3041" s="10" t="n">
        <v>2.1</v>
      </c>
      <c r="E3041" s="10" t="n">
        <f aca="false">C3041*D3041</f>
        <v>12.6</v>
      </c>
    </row>
    <row r="3042" customFormat="false" ht="15" hidden="false" customHeight="false" outlineLevel="0" collapsed="false">
      <c r="A3042" s="9" t="s">
        <v>1504</v>
      </c>
      <c r="B3042" s="9" t="s">
        <v>92</v>
      </c>
      <c r="C3042" s="9" t="n">
        <v>2</v>
      </c>
      <c r="D3042" s="10" t="n">
        <v>6.95</v>
      </c>
      <c r="E3042" s="10" t="n">
        <f aca="false">C3042*D3042</f>
        <v>13.9</v>
      </c>
    </row>
    <row r="3043" customFormat="false" ht="15" hidden="false" customHeight="false" outlineLevel="0" collapsed="false">
      <c r="A3043" s="9" t="s">
        <v>1504</v>
      </c>
      <c r="B3043" s="9" t="s">
        <v>93</v>
      </c>
      <c r="C3043" s="9" t="n">
        <v>4</v>
      </c>
      <c r="D3043" s="10" t="n">
        <v>4.95</v>
      </c>
      <c r="E3043" s="10" t="n">
        <f aca="false">C3043*D3043</f>
        <v>19.8</v>
      </c>
    </row>
    <row r="3044" customFormat="false" ht="15" hidden="false" customHeight="false" outlineLevel="0" collapsed="false">
      <c r="A3044" s="9" t="s">
        <v>1504</v>
      </c>
      <c r="B3044" s="9" t="s">
        <v>38</v>
      </c>
      <c r="C3044" s="9" t="n">
        <v>6</v>
      </c>
      <c r="D3044" s="10" t="n">
        <v>3.39</v>
      </c>
      <c r="E3044" s="10" t="n">
        <f aca="false">C3044*D3044</f>
        <v>20.34</v>
      </c>
    </row>
    <row r="3045" customFormat="false" ht="15" hidden="false" customHeight="false" outlineLevel="0" collapsed="false">
      <c r="A3045" s="9" t="s">
        <v>1504</v>
      </c>
      <c r="B3045" s="9" t="s">
        <v>37</v>
      </c>
      <c r="C3045" s="9" t="n">
        <v>6</v>
      </c>
      <c r="D3045" s="10" t="n">
        <v>2.55</v>
      </c>
      <c r="E3045" s="10" t="n">
        <f aca="false">C3045*D3045</f>
        <v>15.3</v>
      </c>
    </row>
    <row r="3046" customFormat="false" ht="15" hidden="false" customHeight="false" outlineLevel="0" collapsed="false">
      <c r="A3046" s="9" t="s">
        <v>1504</v>
      </c>
      <c r="B3046" s="9" t="s">
        <v>94</v>
      </c>
      <c r="C3046" s="9" t="n">
        <v>6</v>
      </c>
      <c r="D3046" s="10" t="n">
        <v>2.55</v>
      </c>
      <c r="E3046" s="10" t="n">
        <f aca="false">C3046*D3046</f>
        <v>15.3</v>
      </c>
    </row>
    <row r="3047" customFormat="false" ht="15" hidden="false" customHeight="false" outlineLevel="0" collapsed="false">
      <c r="A3047" s="9" t="s">
        <v>1505</v>
      </c>
      <c r="B3047" s="9" t="s">
        <v>46</v>
      </c>
      <c r="C3047" s="9" t="n">
        <v>6</v>
      </c>
      <c r="D3047" s="10" t="n">
        <v>1.85</v>
      </c>
      <c r="E3047" s="10" t="n">
        <f aca="false">C3047*D3047</f>
        <v>11.1</v>
      </c>
    </row>
    <row r="3048" customFormat="false" ht="15" hidden="false" customHeight="false" outlineLevel="0" collapsed="false">
      <c r="A3048" s="9" t="s">
        <v>1505</v>
      </c>
      <c r="B3048" s="9" t="s">
        <v>45</v>
      </c>
      <c r="C3048" s="9" t="n">
        <v>6</v>
      </c>
      <c r="D3048" s="10" t="n">
        <v>1.85</v>
      </c>
      <c r="E3048" s="10" t="n">
        <f aca="false">C3048*D3048</f>
        <v>11.1</v>
      </c>
    </row>
    <row r="3049" customFormat="false" ht="15" hidden="false" customHeight="false" outlineLevel="0" collapsed="false">
      <c r="A3049" s="9" t="s">
        <v>1506</v>
      </c>
      <c r="B3049" s="9" t="s">
        <v>43</v>
      </c>
      <c r="C3049" s="9" t="n">
        <v>4</v>
      </c>
      <c r="D3049" s="10" t="n">
        <v>4.25</v>
      </c>
      <c r="E3049" s="10" t="n">
        <f aca="false">C3049*D3049</f>
        <v>17</v>
      </c>
    </row>
    <row r="3050" customFormat="false" ht="15" hidden="false" customHeight="false" outlineLevel="0" collapsed="false">
      <c r="A3050" s="9" t="s">
        <v>1506</v>
      </c>
      <c r="B3050" s="9" t="s">
        <v>38</v>
      </c>
      <c r="C3050" s="9" t="n">
        <v>6</v>
      </c>
      <c r="D3050" s="10" t="n">
        <v>3.39</v>
      </c>
      <c r="E3050" s="10" t="n">
        <f aca="false">C3050*D3050</f>
        <v>20.34</v>
      </c>
    </row>
    <row r="3051" customFormat="false" ht="15" hidden="false" customHeight="false" outlineLevel="0" collapsed="false">
      <c r="A3051" s="9" t="s">
        <v>1506</v>
      </c>
      <c r="B3051" s="9" t="s">
        <v>37</v>
      </c>
      <c r="C3051" s="9" t="n">
        <v>6</v>
      </c>
      <c r="D3051" s="10" t="n">
        <v>2.55</v>
      </c>
      <c r="E3051" s="10" t="n">
        <f aca="false">C3051*D3051</f>
        <v>15.3</v>
      </c>
    </row>
    <row r="3052" customFormat="false" ht="15" hidden="false" customHeight="false" outlineLevel="0" collapsed="false">
      <c r="A3052" s="9" t="s">
        <v>1506</v>
      </c>
      <c r="B3052" s="9" t="s">
        <v>42</v>
      </c>
      <c r="C3052" s="9" t="n">
        <v>2</v>
      </c>
      <c r="D3052" s="10" t="n">
        <v>7.65</v>
      </c>
      <c r="E3052" s="10" t="n">
        <f aca="false">C3052*D3052</f>
        <v>15.3</v>
      </c>
    </row>
    <row r="3053" customFormat="false" ht="15" hidden="false" customHeight="false" outlineLevel="0" collapsed="false">
      <c r="A3053" s="9" t="s">
        <v>1506</v>
      </c>
      <c r="B3053" s="9" t="s">
        <v>41</v>
      </c>
      <c r="C3053" s="9" t="n">
        <v>6</v>
      </c>
      <c r="D3053" s="10" t="n">
        <v>3.39</v>
      </c>
      <c r="E3053" s="10" t="n">
        <f aca="false">C3053*D3053</f>
        <v>20.34</v>
      </c>
    </row>
    <row r="3054" customFormat="false" ht="15" hidden="false" customHeight="false" outlineLevel="0" collapsed="false">
      <c r="A3054" s="9" t="s">
        <v>1506</v>
      </c>
      <c r="B3054" s="9" t="s">
        <v>40</v>
      </c>
      <c r="C3054" s="9" t="n">
        <v>6</v>
      </c>
      <c r="D3054" s="10" t="n">
        <v>3.39</v>
      </c>
      <c r="E3054" s="10" t="n">
        <f aca="false">C3054*D3054</f>
        <v>20.34</v>
      </c>
    </row>
    <row r="3055" customFormat="false" ht="15" hidden="false" customHeight="false" outlineLevel="0" collapsed="false">
      <c r="A3055" s="9" t="s">
        <v>1506</v>
      </c>
      <c r="B3055" s="9" t="s">
        <v>150</v>
      </c>
      <c r="C3055" s="9" t="n">
        <v>6</v>
      </c>
      <c r="D3055" s="10" t="n">
        <v>1.65</v>
      </c>
      <c r="E3055" s="10" t="n">
        <f aca="false">C3055*D3055</f>
        <v>9.9</v>
      </c>
    </row>
    <row r="3056" customFormat="false" ht="15" hidden="false" customHeight="false" outlineLevel="0" collapsed="false">
      <c r="A3056" s="9" t="s">
        <v>1506</v>
      </c>
      <c r="B3056" s="9" t="s">
        <v>93</v>
      </c>
      <c r="C3056" s="9" t="n">
        <v>4</v>
      </c>
      <c r="D3056" s="10" t="n">
        <v>4.95</v>
      </c>
      <c r="E3056" s="10" t="n">
        <f aca="false">C3056*D3056</f>
        <v>19.8</v>
      </c>
    </row>
    <row r="3057" customFormat="false" ht="15" hidden="false" customHeight="false" outlineLevel="0" collapsed="false">
      <c r="A3057" s="9" t="s">
        <v>1506</v>
      </c>
      <c r="B3057" s="9" t="s">
        <v>99</v>
      </c>
      <c r="C3057" s="9" t="n">
        <v>6</v>
      </c>
      <c r="D3057" s="10" t="n">
        <v>1.06</v>
      </c>
      <c r="E3057" s="10" t="n">
        <f aca="false">C3057*D3057</f>
        <v>6.36</v>
      </c>
    </row>
    <row r="3058" customFormat="false" ht="15" hidden="false" customHeight="false" outlineLevel="0" collapsed="false">
      <c r="A3058" s="9" t="s">
        <v>1506</v>
      </c>
      <c r="B3058" s="9" t="s">
        <v>95</v>
      </c>
      <c r="C3058" s="9" t="n">
        <v>6</v>
      </c>
      <c r="D3058" s="10" t="n">
        <v>1.06</v>
      </c>
      <c r="E3058" s="10" t="n">
        <f aca="false">C3058*D3058</f>
        <v>6.36</v>
      </c>
    </row>
    <row r="3059" customFormat="false" ht="15" hidden="false" customHeight="false" outlineLevel="0" collapsed="false">
      <c r="A3059" s="9" t="s">
        <v>1506</v>
      </c>
      <c r="B3059" s="9" t="s">
        <v>96</v>
      </c>
      <c r="C3059" s="9" t="n">
        <v>6</v>
      </c>
      <c r="D3059" s="10" t="n">
        <v>1.06</v>
      </c>
      <c r="E3059" s="10" t="n">
        <f aca="false">C3059*D3059</f>
        <v>6.36</v>
      </c>
    </row>
    <row r="3060" customFormat="false" ht="15" hidden="false" customHeight="false" outlineLevel="0" collapsed="false">
      <c r="A3060" s="9" t="s">
        <v>1506</v>
      </c>
      <c r="B3060" s="9" t="s">
        <v>97</v>
      </c>
      <c r="C3060" s="9" t="n">
        <v>6</v>
      </c>
      <c r="D3060" s="10" t="n">
        <v>1.06</v>
      </c>
      <c r="E3060" s="10" t="n">
        <f aca="false">C3060*D3060</f>
        <v>6.36</v>
      </c>
    </row>
    <row r="3061" customFormat="false" ht="15" hidden="false" customHeight="false" outlineLevel="0" collapsed="false">
      <c r="A3061" s="9" t="s">
        <v>1507</v>
      </c>
      <c r="B3061" s="9" t="s">
        <v>46</v>
      </c>
      <c r="C3061" s="9" t="n">
        <v>6</v>
      </c>
      <c r="D3061" s="10" t="n">
        <v>1.85</v>
      </c>
      <c r="E3061" s="10" t="n">
        <f aca="false">C3061*D3061</f>
        <v>11.1</v>
      </c>
    </row>
    <row r="3062" customFormat="false" ht="15" hidden="false" customHeight="false" outlineLevel="0" collapsed="false">
      <c r="A3062" s="9" t="s">
        <v>1507</v>
      </c>
      <c r="B3062" s="9" t="s">
        <v>45</v>
      </c>
      <c r="C3062" s="9" t="n">
        <v>6</v>
      </c>
      <c r="D3062" s="10" t="n">
        <v>1.85</v>
      </c>
      <c r="E3062" s="10" t="n">
        <f aca="false">C3062*D3062</f>
        <v>11.1</v>
      </c>
    </row>
    <row r="3063" customFormat="false" ht="15" hidden="false" customHeight="false" outlineLevel="0" collapsed="false">
      <c r="A3063" s="9" t="s">
        <v>1508</v>
      </c>
      <c r="B3063" s="9" t="s">
        <v>128</v>
      </c>
      <c r="C3063" s="9" t="n">
        <v>24</v>
      </c>
      <c r="D3063" s="10" t="n">
        <v>1.45</v>
      </c>
      <c r="E3063" s="10" t="n">
        <f aca="false">C3063*D3063</f>
        <v>34.8</v>
      </c>
    </row>
    <row r="3064" customFormat="false" ht="15" hidden="false" customHeight="false" outlineLevel="0" collapsed="false">
      <c r="A3064" s="9" t="s">
        <v>1508</v>
      </c>
      <c r="B3064" s="9" t="s">
        <v>870</v>
      </c>
      <c r="C3064" s="9" t="n">
        <v>18</v>
      </c>
      <c r="D3064" s="10" t="n">
        <v>1.45</v>
      </c>
      <c r="E3064" s="10" t="n">
        <f aca="false">C3064*D3064</f>
        <v>26.1</v>
      </c>
    </row>
    <row r="3065" customFormat="false" ht="15" hidden="false" customHeight="false" outlineLevel="0" collapsed="false">
      <c r="A3065" s="9" t="s">
        <v>1508</v>
      </c>
      <c r="B3065" s="9" t="s">
        <v>226</v>
      </c>
      <c r="C3065" s="9" t="n">
        <v>12</v>
      </c>
      <c r="D3065" s="10" t="n">
        <v>0.85</v>
      </c>
      <c r="E3065" s="10" t="n">
        <f aca="false">C3065*D3065</f>
        <v>10.2</v>
      </c>
    </row>
    <row r="3066" customFormat="false" ht="15" hidden="false" customHeight="false" outlineLevel="0" collapsed="false">
      <c r="A3066" s="9" t="s">
        <v>1508</v>
      </c>
      <c r="B3066" s="9" t="s">
        <v>1121</v>
      </c>
      <c r="C3066" s="9" t="n">
        <v>12</v>
      </c>
      <c r="D3066" s="10" t="n">
        <v>0.85</v>
      </c>
      <c r="E3066" s="10" t="n">
        <f aca="false">C3066*D3066</f>
        <v>10.2</v>
      </c>
    </row>
    <row r="3067" customFormat="false" ht="15" hidden="false" customHeight="false" outlineLevel="0" collapsed="false">
      <c r="A3067" s="9" t="s">
        <v>1508</v>
      </c>
      <c r="B3067" s="9" t="s">
        <v>1301</v>
      </c>
      <c r="C3067" s="9" t="n">
        <v>6</v>
      </c>
      <c r="D3067" s="10" t="n">
        <v>2.95</v>
      </c>
      <c r="E3067" s="10" t="n">
        <f aca="false">C3067*D3067</f>
        <v>17.7</v>
      </c>
    </row>
    <row r="3068" customFormat="false" ht="15" hidden="false" customHeight="false" outlineLevel="0" collapsed="false">
      <c r="A3068" s="9" t="s">
        <v>1508</v>
      </c>
      <c r="B3068" s="9" t="s">
        <v>180</v>
      </c>
      <c r="C3068" s="9" t="n">
        <v>6</v>
      </c>
      <c r="D3068" s="10" t="n">
        <v>2.95</v>
      </c>
      <c r="E3068" s="10" t="n">
        <f aca="false">C3068*D3068</f>
        <v>17.7</v>
      </c>
    </row>
    <row r="3069" customFormat="false" ht="15" hidden="false" customHeight="false" outlineLevel="0" collapsed="false">
      <c r="A3069" s="9" t="s">
        <v>1508</v>
      </c>
      <c r="B3069" s="9" t="s">
        <v>176</v>
      </c>
      <c r="C3069" s="9" t="n">
        <v>12</v>
      </c>
      <c r="D3069" s="10" t="n">
        <v>3.95</v>
      </c>
      <c r="E3069" s="10" t="n">
        <f aca="false">C3069*D3069</f>
        <v>47.4</v>
      </c>
    </row>
    <row r="3070" customFormat="false" ht="15" hidden="false" customHeight="false" outlineLevel="0" collapsed="false">
      <c r="A3070" s="9" t="s">
        <v>1508</v>
      </c>
      <c r="B3070" s="9" t="s">
        <v>135</v>
      </c>
      <c r="C3070" s="9" t="n">
        <v>12</v>
      </c>
      <c r="D3070" s="10" t="n">
        <v>0.85</v>
      </c>
      <c r="E3070" s="10" t="n">
        <f aca="false">C3070*D3070</f>
        <v>10.2</v>
      </c>
    </row>
    <row r="3071" customFormat="false" ht="15" hidden="false" customHeight="false" outlineLevel="0" collapsed="false">
      <c r="A3071" s="9" t="s">
        <v>1508</v>
      </c>
      <c r="B3071" s="9" t="s">
        <v>576</v>
      </c>
      <c r="C3071" s="9" t="n">
        <v>12</v>
      </c>
      <c r="D3071" s="10" t="n">
        <v>0.85</v>
      </c>
      <c r="E3071" s="10" t="n">
        <f aca="false">C3071*D3071</f>
        <v>10.2</v>
      </c>
    </row>
    <row r="3072" customFormat="false" ht="15" hidden="false" customHeight="false" outlineLevel="0" collapsed="false">
      <c r="A3072" s="9" t="s">
        <v>1509</v>
      </c>
      <c r="B3072" s="9" t="s">
        <v>438</v>
      </c>
      <c r="C3072" s="9" t="n">
        <v>6</v>
      </c>
      <c r="D3072" s="10" t="n">
        <v>2.95</v>
      </c>
      <c r="E3072" s="10" t="n">
        <f aca="false">C3072*D3072</f>
        <v>17.7</v>
      </c>
    </row>
    <row r="3073" customFormat="false" ht="15" hidden="false" customHeight="false" outlineLevel="0" collapsed="false">
      <c r="A3073" s="9" t="s">
        <v>1509</v>
      </c>
      <c r="B3073" s="9" t="s">
        <v>1510</v>
      </c>
      <c r="C3073" s="9" t="n">
        <v>6</v>
      </c>
      <c r="D3073" s="10" t="n">
        <v>2.95</v>
      </c>
      <c r="E3073" s="10" t="n">
        <f aca="false">C3073*D3073</f>
        <v>17.7</v>
      </c>
    </row>
    <row r="3074" customFormat="false" ht="15" hidden="false" customHeight="false" outlineLevel="0" collapsed="false">
      <c r="A3074" s="9" t="s">
        <v>1509</v>
      </c>
      <c r="B3074" s="9" t="s">
        <v>671</v>
      </c>
      <c r="C3074" s="9" t="n">
        <v>8</v>
      </c>
      <c r="D3074" s="10" t="n">
        <v>3.75</v>
      </c>
      <c r="E3074" s="10" t="n">
        <f aca="false">C3074*D3074</f>
        <v>30</v>
      </c>
    </row>
    <row r="3075" customFormat="false" ht="15" hidden="false" customHeight="false" outlineLevel="0" collapsed="false">
      <c r="A3075" s="9" t="s">
        <v>1509</v>
      </c>
      <c r="B3075" s="9" t="s">
        <v>291</v>
      </c>
      <c r="C3075" s="9" t="n">
        <v>10</v>
      </c>
      <c r="D3075" s="10" t="n">
        <v>1.25</v>
      </c>
      <c r="E3075" s="10" t="n">
        <f aca="false">C3075*D3075</f>
        <v>12.5</v>
      </c>
    </row>
    <row r="3076" customFormat="false" ht="15" hidden="false" customHeight="false" outlineLevel="0" collapsed="false">
      <c r="A3076" s="9" t="s">
        <v>1509</v>
      </c>
      <c r="B3076" s="9" t="s">
        <v>1511</v>
      </c>
      <c r="C3076" s="9" t="n">
        <v>12</v>
      </c>
      <c r="D3076" s="10" t="n">
        <v>1.45</v>
      </c>
      <c r="E3076" s="10" t="n">
        <f aca="false">C3076*D3076</f>
        <v>17.4</v>
      </c>
    </row>
    <row r="3077" customFormat="false" ht="15" hidden="false" customHeight="false" outlineLevel="0" collapsed="false">
      <c r="A3077" s="9" t="s">
        <v>1509</v>
      </c>
      <c r="B3077" s="9" t="s">
        <v>434</v>
      </c>
      <c r="C3077" s="9" t="n">
        <v>6</v>
      </c>
      <c r="D3077" s="10" t="n">
        <v>2.95</v>
      </c>
      <c r="E3077" s="10" t="n">
        <f aca="false">C3077*D3077</f>
        <v>17.7</v>
      </c>
    </row>
    <row r="3078" customFormat="false" ht="15" hidden="false" customHeight="false" outlineLevel="0" collapsed="false">
      <c r="A3078" s="9" t="s">
        <v>1509</v>
      </c>
      <c r="B3078" s="9" t="s">
        <v>437</v>
      </c>
      <c r="C3078" s="9" t="n">
        <v>6</v>
      </c>
      <c r="D3078" s="10" t="n">
        <v>2.95</v>
      </c>
      <c r="E3078" s="10" t="n">
        <f aca="false">C3078*D3078</f>
        <v>17.7</v>
      </c>
    </row>
    <row r="3079" customFormat="false" ht="15" hidden="false" customHeight="false" outlineLevel="0" collapsed="false">
      <c r="A3079" s="9" t="s">
        <v>1509</v>
      </c>
      <c r="B3079" s="9" t="s">
        <v>272</v>
      </c>
      <c r="C3079" s="9" t="n">
        <v>3</v>
      </c>
      <c r="D3079" s="10" t="n">
        <v>4.95</v>
      </c>
      <c r="E3079" s="10" t="n">
        <f aca="false">C3079*D3079</f>
        <v>14.85</v>
      </c>
    </row>
    <row r="3080" customFormat="false" ht="15" hidden="false" customHeight="false" outlineLevel="0" collapsed="false">
      <c r="A3080" s="9" t="s">
        <v>1509</v>
      </c>
      <c r="B3080" s="9" t="s">
        <v>1512</v>
      </c>
      <c r="C3080" s="9" t="n">
        <v>2</v>
      </c>
      <c r="D3080" s="10" t="n">
        <v>6.75</v>
      </c>
      <c r="E3080" s="10" t="n">
        <f aca="false">C3080*D3080</f>
        <v>13.5</v>
      </c>
    </row>
    <row r="3081" customFormat="false" ht="15" hidden="false" customHeight="false" outlineLevel="0" collapsed="false">
      <c r="A3081" s="9" t="s">
        <v>1509</v>
      </c>
      <c r="B3081" s="9" t="s">
        <v>1513</v>
      </c>
      <c r="C3081" s="9" t="n">
        <v>3</v>
      </c>
      <c r="D3081" s="10" t="n">
        <v>5.95</v>
      </c>
      <c r="E3081" s="10" t="n">
        <f aca="false">C3081*D3081</f>
        <v>17.85</v>
      </c>
    </row>
    <row r="3082" customFormat="false" ht="15" hidden="false" customHeight="false" outlineLevel="0" collapsed="false">
      <c r="A3082" s="9" t="s">
        <v>1509</v>
      </c>
      <c r="B3082" s="9" t="s">
        <v>1203</v>
      </c>
      <c r="C3082" s="9" t="n">
        <v>12</v>
      </c>
      <c r="D3082" s="10" t="n">
        <v>2.1</v>
      </c>
      <c r="E3082" s="10" t="n">
        <f aca="false">C3082*D3082</f>
        <v>25.2</v>
      </c>
    </row>
    <row r="3083" customFormat="false" ht="15" hidden="false" customHeight="false" outlineLevel="0" collapsed="false">
      <c r="A3083" s="9" t="s">
        <v>1509</v>
      </c>
      <c r="B3083" s="9" t="s">
        <v>429</v>
      </c>
      <c r="C3083" s="9" t="n">
        <v>8</v>
      </c>
      <c r="D3083" s="10" t="n">
        <v>3.75</v>
      </c>
      <c r="E3083" s="10" t="n">
        <f aca="false">C3083*D3083</f>
        <v>30</v>
      </c>
    </row>
    <row r="3084" customFormat="false" ht="15" hidden="false" customHeight="false" outlineLevel="0" collapsed="false">
      <c r="A3084" s="9" t="s">
        <v>1509</v>
      </c>
      <c r="B3084" s="9" t="s">
        <v>287</v>
      </c>
      <c r="C3084" s="9" t="n">
        <v>10</v>
      </c>
      <c r="D3084" s="10" t="n">
        <v>1.25</v>
      </c>
      <c r="E3084" s="10" t="n">
        <f aca="false">C3084*D3084</f>
        <v>12.5</v>
      </c>
    </row>
    <row r="3085" customFormat="false" ht="15" hidden="false" customHeight="false" outlineLevel="0" collapsed="false">
      <c r="A3085" s="9" t="s">
        <v>1509</v>
      </c>
      <c r="B3085" s="9" t="s">
        <v>380</v>
      </c>
      <c r="C3085" s="9" t="n">
        <v>12</v>
      </c>
      <c r="D3085" s="10" t="n">
        <v>0.85</v>
      </c>
      <c r="E3085" s="10" t="n">
        <f aca="false">C3085*D3085</f>
        <v>10.2</v>
      </c>
    </row>
    <row r="3086" customFormat="false" ht="15" hidden="false" customHeight="false" outlineLevel="0" collapsed="false">
      <c r="A3086" s="9" t="s">
        <v>1509</v>
      </c>
      <c r="B3086" s="9" t="s">
        <v>1313</v>
      </c>
      <c r="C3086" s="9" t="n">
        <v>3</v>
      </c>
      <c r="D3086" s="10" t="n">
        <v>5.95</v>
      </c>
      <c r="E3086" s="10" t="n">
        <f aca="false">C3086*D3086</f>
        <v>17.85</v>
      </c>
    </row>
    <row r="3087" customFormat="false" ht="15" hidden="false" customHeight="false" outlineLevel="0" collapsed="false">
      <c r="A3087" s="9" t="s">
        <v>1514</v>
      </c>
      <c r="B3087" s="9" t="s">
        <v>732</v>
      </c>
      <c r="C3087" s="9" t="n">
        <v>2</v>
      </c>
      <c r="D3087" s="10" t="n">
        <v>8.5</v>
      </c>
      <c r="E3087" s="10" t="n">
        <f aca="false">C3087*D3087</f>
        <v>17</v>
      </c>
    </row>
    <row r="3088" customFormat="false" ht="15" hidden="false" customHeight="false" outlineLevel="0" collapsed="false">
      <c r="A3088" s="9" t="s">
        <v>1514</v>
      </c>
      <c r="B3088" s="9" t="s">
        <v>613</v>
      </c>
      <c r="C3088" s="9" t="n">
        <v>1</v>
      </c>
      <c r="D3088" s="10" t="n">
        <v>12.75</v>
      </c>
      <c r="E3088" s="10" t="n">
        <f aca="false">C3088*D3088</f>
        <v>12.75</v>
      </c>
    </row>
    <row r="3089" customFormat="false" ht="15" hidden="false" customHeight="false" outlineLevel="0" collapsed="false">
      <c r="A3089" s="9" t="s">
        <v>1514</v>
      </c>
      <c r="B3089" s="9" t="s">
        <v>1515</v>
      </c>
      <c r="C3089" s="9" t="n">
        <v>4</v>
      </c>
      <c r="D3089" s="10" t="n">
        <v>4.95</v>
      </c>
      <c r="E3089" s="10" t="n">
        <f aca="false">C3089*D3089</f>
        <v>19.8</v>
      </c>
    </row>
    <row r="3090" customFormat="false" ht="15" hidden="false" customHeight="false" outlineLevel="0" collapsed="false">
      <c r="A3090" s="9" t="s">
        <v>1514</v>
      </c>
      <c r="B3090" s="9" t="s">
        <v>108</v>
      </c>
      <c r="C3090" s="9" t="n">
        <v>10</v>
      </c>
      <c r="D3090" s="10" t="n">
        <v>1.95</v>
      </c>
      <c r="E3090" s="10" t="n">
        <f aca="false">C3090*D3090</f>
        <v>19.5</v>
      </c>
    </row>
    <row r="3091" customFormat="false" ht="15" hidden="false" customHeight="false" outlineLevel="0" collapsed="false">
      <c r="A3091" s="9" t="s">
        <v>1514</v>
      </c>
      <c r="B3091" s="9" t="s">
        <v>293</v>
      </c>
      <c r="C3091" s="9" t="n">
        <v>6</v>
      </c>
      <c r="D3091" s="10" t="n">
        <v>2.95</v>
      </c>
      <c r="E3091" s="10" t="n">
        <f aca="false">C3091*D3091</f>
        <v>17.7</v>
      </c>
    </row>
    <row r="3092" customFormat="false" ht="15" hidden="false" customHeight="false" outlineLevel="0" collapsed="false">
      <c r="A3092" s="9" t="s">
        <v>1514</v>
      </c>
      <c r="B3092" s="9" t="s">
        <v>37</v>
      </c>
      <c r="C3092" s="9" t="n">
        <v>6</v>
      </c>
      <c r="D3092" s="10" t="n">
        <v>2.95</v>
      </c>
      <c r="E3092" s="10" t="n">
        <f aca="false">C3092*D3092</f>
        <v>17.7</v>
      </c>
    </row>
    <row r="3093" customFormat="false" ht="15" hidden="false" customHeight="false" outlineLevel="0" collapsed="false">
      <c r="A3093" s="9" t="s">
        <v>1514</v>
      </c>
      <c r="B3093" s="9" t="s">
        <v>59</v>
      </c>
      <c r="C3093" s="9" t="n">
        <v>8</v>
      </c>
      <c r="D3093" s="10" t="n">
        <v>1.69</v>
      </c>
      <c r="E3093" s="10" t="n">
        <f aca="false">C3093*D3093</f>
        <v>13.52</v>
      </c>
    </row>
    <row r="3094" customFormat="false" ht="15" hidden="false" customHeight="false" outlineLevel="0" collapsed="false">
      <c r="A3094" s="9" t="s">
        <v>1514</v>
      </c>
      <c r="B3094" s="9" t="s">
        <v>180</v>
      </c>
      <c r="C3094" s="9" t="n">
        <v>6</v>
      </c>
      <c r="D3094" s="10" t="n">
        <v>2.95</v>
      </c>
      <c r="E3094" s="10" t="n">
        <f aca="false">C3094*D3094</f>
        <v>17.7</v>
      </c>
    </row>
    <row r="3095" customFormat="false" ht="15" hidden="false" customHeight="false" outlineLevel="0" collapsed="false">
      <c r="A3095" s="9" t="s">
        <v>1514</v>
      </c>
      <c r="B3095" s="9" t="s">
        <v>104</v>
      </c>
      <c r="C3095" s="9" t="n">
        <v>6</v>
      </c>
      <c r="D3095" s="10" t="n">
        <v>2.95</v>
      </c>
      <c r="E3095" s="10" t="n">
        <f aca="false">C3095*D3095</f>
        <v>17.7</v>
      </c>
    </row>
    <row r="3096" customFormat="false" ht="15" hidden="false" customHeight="false" outlineLevel="0" collapsed="false">
      <c r="A3096" s="9" t="s">
        <v>1514</v>
      </c>
      <c r="B3096" s="9" t="s">
        <v>523</v>
      </c>
      <c r="C3096" s="9" t="n">
        <v>6</v>
      </c>
      <c r="D3096" s="10" t="n">
        <v>2.95</v>
      </c>
      <c r="E3096" s="10" t="n">
        <f aca="false">C3096*D3096</f>
        <v>17.7</v>
      </c>
    </row>
    <row r="3097" customFormat="false" ht="15" hidden="false" customHeight="false" outlineLevel="0" collapsed="false">
      <c r="A3097" s="9" t="s">
        <v>1514</v>
      </c>
      <c r="B3097" s="9" t="s">
        <v>1516</v>
      </c>
      <c r="C3097" s="9" t="n">
        <v>2</v>
      </c>
      <c r="D3097" s="10" t="n">
        <v>7.95</v>
      </c>
      <c r="E3097" s="10" t="n">
        <f aca="false">C3097*D3097</f>
        <v>15.9</v>
      </c>
    </row>
    <row r="3098" customFormat="false" ht="15" hidden="false" customHeight="false" outlineLevel="0" collapsed="false">
      <c r="A3098" s="9" t="s">
        <v>1514</v>
      </c>
      <c r="B3098" s="9" t="s">
        <v>193</v>
      </c>
      <c r="C3098" s="9" t="n">
        <v>10</v>
      </c>
      <c r="D3098" s="10" t="n">
        <v>1.95</v>
      </c>
      <c r="E3098" s="10" t="n">
        <f aca="false">C3098*D3098</f>
        <v>19.5</v>
      </c>
    </row>
    <row r="3099" customFormat="false" ht="15" hidden="false" customHeight="false" outlineLevel="0" collapsed="false">
      <c r="A3099" s="9" t="s">
        <v>1514</v>
      </c>
      <c r="B3099" s="9" t="s">
        <v>105</v>
      </c>
      <c r="C3099" s="9" t="n">
        <v>4</v>
      </c>
      <c r="D3099" s="10" t="n">
        <v>3.95</v>
      </c>
      <c r="E3099" s="10" t="n">
        <f aca="false">C3099*D3099</f>
        <v>15.8</v>
      </c>
    </row>
    <row r="3100" customFormat="false" ht="15" hidden="false" customHeight="false" outlineLevel="0" collapsed="false">
      <c r="A3100" s="9" t="s">
        <v>1514</v>
      </c>
      <c r="B3100" s="9" t="s">
        <v>431</v>
      </c>
      <c r="C3100" s="9" t="n">
        <v>2</v>
      </c>
      <c r="D3100" s="10" t="n">
        <v>7.95</v>
      </c>
      <c r="E3100" s="10" t="n">
        <f aca="false">C3100*D3100</f>
        <v>15.9</v>
      </c>
    </row>
    <row r="3101" customFormat="false" ht="15" hidden="false" customHeight="false" outlineLevel="0" collapsed="false">
      <c r="A3101" s="9" t="s">
        <v>1514</v>
      </c>
      <c r="B3101" s="9" t="s">
        <v>66</v>
      </c>
      <c r="C3101" s="9" t="n">
        <v>3</v>
      </c>
      <c r="D3101" s="10" t="n">
        <v>5.95</v>
      </c>
      <c r="E3101" s="10" t="n">
        <f aca="false">C3101*D3101</f>
        <v>17.85</v>
      </c>
    </row>
    <row r="3102" customFormat="false" ht="15" hidden="false" customHeight="false" outlineLevel="0" collapsed="false">
      <c r="A3102" s="9" t="s">
        <v>1514</v>
      </c>
      <c r="B3102" s="9" t="s">
        <v>53</v>
      </c>
      <c r="C3102" s="9" t="n">
        <v>3</v>
      </c>
      <c r="D3102" s="10" t="n">
        <v>5.95</v>
      </c>
      <c r="E3102" s="10" t="n">
        <f aca="false">C3102*D3102</f>
        <v>17.85</v>
      </c>
    </row>
    <row r="3103" customFormat="false" ht="15" hidden="false" customHeight="false" outlineLevel="0" collapsed="false">
      <c r="A3103" s="9" t="s">
        <v>1514</v>
      </c>
      <c r="B3103" s="9" t="s">
        <v>1327</v>
      </c>
      <c r="C3103" s="9" t="n">
        <v>12</v>
      </c>
      <c r="D3103" s="10" t="n">
        <v>0.85</v>
      </c>
      <c r="E3103" s="10" t="n">
        <f aca="false">C3103*D3103</f>
        <v>10.2</v>
      </c>
    </row>
    <row r="3104" customFormat="false" ht="15" hidden="false" customHeight="false" outlineLevel="0" collapsed="false">
      <c r="A3104" s="9" t="s">
        <v>1514</v>
      </c>
      <c r="B3104" s="9" t="s">
        <v>1517</v>
      </c>
      <c r="C3104" s="9" t="n">
        <v>2</v>
      </c>
      <c r="D3104" s="10" t="n">
        <v>9.95</v>
      </c>
      <c r="E3104" s="10" t="n">
        <f aca="false">C3104*D3104</f>
        <v>19.9</v>
      </c>
    </row>
    <row r="3105" customFormat="false" ht="15" hidden="false" customHeight="false" outlineLevel="0" collapsed="false">
      <c r="A3105" s="9" t="s">
        <v>1518</v>
      </c>
      <c r="B3105" s="9" t="s">
        <v>235</v>
      </c>
      <c r="C3105" s="9" t="n">
        <v>12</v>
      </c>
      <c r="D3105" s="10" t="n">
        <v>0.85</v>
      </c>
      <c r="E3105" s="10" t="n">
        <f aca="false">C3105*D3105</f>
        <v>10.2</v>
      </c>
    </row>
    <row r="3106" customFormat="false" ht="15" hidden="false" customHeight="false" outlineLevel="0" collapsed="false">
      <c r="A3106" s="9" t="s">
        <v>1518</v>
      </c>
      <c r="B3106" s="9" t="s">
        <v>236</v>
      </c>
      <c r="C3106" s="9" t="n">
        <v>12</v>
      </c>
      <c r="D3106" s="10" t="n">
        <v>0.85</v>
      </c>
      <c r="E3106" s="10" t="n">
        <f aca="false">C3106*D3106</f>
        <v>10.2</v>
      </c>
    </row>
    <row r="3107" customFormat="false" ht="15" hidden="false" customHeight="false" outlineLevel="0" collapsed="false">
      <c r="A3107" s="9" t="s">
        <v>1518</v>
      </c>
      <c r="B3107" s="9" t="s">
        <v>1301</v>
      </c>
      <c r="C3107" s="9" t="n">
        <v>6</v>
      </c>
      <c r="D3107" s="10" t="n">
        <v>2.95</v>
      </c>
      <c r="E3107" s="10" t="n">
        <f aca="false">C3107*D3107</f>
        <v>17.7</v>
      </c>
    </row>
    <row r="3108" customFormat="false" ht="15" hidden="false" customHeight="false" outlineLevel="0" collapsed="false">
      <c r="A3108" s="9" t="s">
        <v>1519</v>
      </c>
      <c r="B3108" s="9" t="s">
        <v>42</v>
      </c>
      <c r="C3108" s="9" t="n">
        <v>2</v>
      </c>
      <c r="D3108" s="10" t="n">
        <v>7.65</v>
      </c>
      <c r="E3108" s="10" t="n">
        <f aca="false">C3108*D3108</f>
        <v>15.3</v>
      </c>
    </row>
    <row r="3109" customFormat="false" ht="15" hidden="false" customHeight="false" outlineLevel="0" collapsed="false">
      <c r="A3109" s="9" t="s">
        <v>1519</v>
      </c>
      <c r="B3109" s="9" t="s">
        <v>41</v>
      </c>
      <c r="C3109" s="9" t="n">
        <v>6</v>
      </c>
      <c r="D3109" s="10" t="n">
        <v>3.39</v>
      </c>
      <c r="E3109" s="10" t="n">
        <f aca="false">C3109*D3109</f>
        <v>20.34</v>
      </c>
    </row>
    <row r="3110" customFormat="false" ht="15" hidden="false" customHeight="false" outlineLevel="0" collapsed="false">
      <c r="A3110" s="9" t="s">
        <v>1519</v>
      </c>
      <c r="B3110" s="9" t="s">
        <v>40</v>
      </c>
      <c r="C3110" s="9" t="n">
        <v>6</v>
      </c>
      <c r="D3110" s="10" t="n">
        <v>3.39</v>
      </c>
      <c r="E3110" s="10" t="n">
        <f aca="false">C3110*D3110</f>
        <v>20.34</v>
      </c>
    </row>
    <row r="3111" customFormat="false" ht="15" hidden="false" customHeight="false" outlineLevel="0" collapsed="false">
      <c r="A3111" s="9" t="s">
        <v>1519</v>
      </c>
      <c r="B3111" s="9" t="s">
        <v>150</v>
      </c>
      <c r="C3111" s="9" t="n">
        <v>6</v>
      </c>
      <c r="D3111" s="10" t="n">
        <v>1.65</v>
      </c>
      <c r="E3111" s="10" t="n">
        <f aca="false">C3111*D3111</f>
        <v>9.9</v>
      </c>
    </row>
    <row r="3112" customFormat="false" ht="15" hidden="false" customHeight="false" outlineLevel="0" collapsed="false">
      <c r="A3112" s="9" t="s">
        <v>1519</v>
      </c>
      <c r="B3112" s="9" t="s">
        <v>43</v>
      </c>
      <c r="C3112" s="9" t="n">
        <v>6</v>
      </c>
      <c r="D3112" s="10" t="n">
        <v>4.25</v>
      </c>
      <c r="E3112" s="10" t="n">
        <f aca="false">C3112*D3112</f>
        <v>25.5</v>
      </c>
    </row>
    <row r="3113" customFormat="false" ht="15" hidden="false" customHeight="false" outlineLevel="0" collapsed="false">
      <c r="A3113" s="9" t="s">
        <v>1519</v>
      </c>
      <c r="B3113" s="9" t="s">
        <v>94</v>
      </c>
      <c r="C3113" s="9" t="n">
        <v>6</v>
      </c>
      <c r="D3113" s="10" t="n">
        <v>2.55</v>
      </c>
      <c r="E3113" s="10" t="n">
        <f aca="false">C3113*D3113</f>
        <v>15.3</v>
      </c>
    </row>
    <row r="3114" customFormat="false" ht="15" hidden="false" customHeight="false" outlineLevel="0" collapsed="false">
      <c r="A3114" s="9" t="s">
        <v>1519</v>
      </c>
      <c r="B3114" s="9" t="s">
        <v>91</v>
      </c>
      <c r="C3114" s="9" t="n">
        <v>6</v>
      </c>
      <c r="D3114" s="10" t="n">
        <v>2.1</v>
      </c>
      <c r="E3114" s="10" t="n">
        <f aca="false">C3114*D3114</f>
        <v>12.6</v>
      </c>
    </row>
    <row r="3115" customFormat="false" ht="15" hidden="false" customHeight="false" outlineLevel="0" collapsed="false">
      <c r="A3115" s="9" t="s">
        <v>1519</v>
      </c>
      <c r="B3115" s="9" t="s">
        <v>92</v>
      </c>
      <c r="C3115" s="9" t="n">
        <v>4</v>
      </c>
      <c r="D3115" s="10" t="n">
        <v>6.95</v>
      </c>
      <c r="E3115" s="10" t="n">
        <f aca="false">C3115*D3115</f>
        <v>27.8</v>
      </c>
    </row>
    <row r="3116" customFormat="false" ht="15" hidden="false" customHeight="false" outlineLevel="0" collapsed="false">
      <c r="A3116" s="9" t="s">
        <v>1519</v>
      </c>
      <c r="B3116" s="9" t="s">
        <v>96</v>
      </c>
      <c r="C3116" s="9" t="n">
        <v>6</v>
      </c>
      <c r="D3116" s="10" t="n">
        <v>1.06</v>
      </c>
      <c r="E3116" s="10" t="n">
        <f aca="false">C3116*D3116</f>
        <v>6.36</v>
      </c>
    </row>
    <row r="3117" customFormat="false" ht="15" hidden="false" customHeight="false" outlineLevel="0" collapsed="false">
      <c r="A3117" s="9" t="s">
        <v>1519</v>
      </c>
      <c r="B3117" s="9" t="s">
        <v>99</v>
      </c>
      <c r="C3117" s="9" t="n">
        <v>6</v>
      </c>
      <c r="D3117" s="10" t="n">
        <v>1.06</v>
      </c>
      <c r="E3117" s="10" t="n">
        <f aca="false">C3117*D3117</f>
        <v>6.36</v>
      </c>
    </row>
    <row r="3118" customFormat="false" ht="15" hidden="false" customHeight="false" outlineLevel="0" collapsed="false">
      <c r="A3118" s="9" t="s">
        <v>1519</v>
      </c>
      <c r="B3118" s="9" t="s">
        <v>95</v>
      </c>
      <c r="C3118" s="9" t="n">
        <v>6</v>
      </c>
      <c r="D3118" s="10" t="n">
        <v>1.06</v>
      </c>
      <c r="E3118" s="10" t="n">
        <f aca="false">C3118*D3118</f>
        <v>6.36</v>
      </c>
    </row>
    <row r="3119" customFormat="false" ht="15" hidden="false" customHeight="false" outlineLevel="0" collapsed="false">
      <c r="A3119" s="9" t="s">
        <v>1519</v>
      </c>
      <c r="B3119" s="9" t="s">
        <v>97</v>
      </c>
      <c r="C3119" s="9" t="n">
        <v>6</v>
      </c>
      <c r="D3119" s="10" t="n">
        <v>1.06</v>
      </c>
      <c r="E3119" s="10" t="n">
        <f aca="false">C3119*D3119</f>
        <v>6.36</v>
      </c>
    </row>
    <row r="3120" customFormat="false" ht="15" hidden="false" customHeight="false" outlineLevel="0" collapsed="false">
      <c r="A3120" s="9" t="s">
        <v>1519</v>
      </c>
      <c r="B3120" s="9" t="s">
        <v>39</v>
      </c>
      <c r="C3120" s="9" t="n">
        <v>6</v>
      </c>
      <c r="D3120" s="10" t="n">
        <v>2.75</v>
      </c>
      <c r="E3120" s="10" t="n">
        <f aca="false">C3120*D3120</f>
        <v>16.5</v>
      </c>
    </row>
    <row r="3121" customFormat="false" ht="15" hidden="false" customHeight="false" outlineLevel="0" collapsed="false">
      <c r="A3121" s="9" t="s">
        <v>1519</v>
      </c>
      <c r="B3121" s="9" t="s">
        <v>38</v>
      </c>
      <c r="C3121" s="9" t="n">
        <v>6</v>
      </c>
      <c r="D3121" s="10" t="n">
        <v>3.39</v>
      </c>
      <c r="E3121" s="10" t="n">
        <f aca="false">C3121*D3121</f>
        <v>20.34</v>
      </c>
    </row>
    <row r="3122" customFormat="false" ht="15" hidden="false" customHeight="false" outlineLevel="0" collapsed="false">
      <c r="A3122" s="9" t="s">
        <v>1519</v>
      </c>
      <c r="B3122" s="9" t="s">
        <v>37</v>
      </c>
      <c r="C3122" s="9" t="n">
        <v>6</v>
      </c>
      <c r="D3122" s="10" t="n">
        <v>2.55</v>
      </c>
      <c r="E3122" s="10" t="n">
        <f aca="false">C3122*D3122</f>
        <v>15.3</v>
      </c>
    </row>
    <row r="3123" customFormat="false" ht="15" hidden="false" customHeight="false" outlineLevel="0" collapsed="false">
      <c r="A3123" s="9" t="s">
        <v>1519</v>
      </c>
      <c r="B3123" s="9" t="s">
        <v>93</v>
      </c>
      <c r="C3123" s="9" t="n">
        <v>4</v>
      </c>
      <c r="D3123" s="10" t="n">
        <v>4.95</v>
      </c>
      <c r="E3123" s="10" t="n">
        <f aca="false">C3123*D3123</f>
        <v>19.8</v>
      </c>
    </row>
    <row r="3124" customFormat="false" ht="15" hidden="false" customHeight="false" outlineLevel="0" collapsed="false">
      <c r="A3124" s="9" t="s">
        <v>1520</v>
      </c>
      <c r="B3124" s="9" t="s">
        <v>46</v>
      </c>
      <c r="C3124" s="9" t="n">
        <v>6</v>
      </c>
      <c r="D3124" s="10" t="n">
        <v>1.85</v>
      </c>
      <c r="E3124" s="10" t="n">
        <f aca="false">C3124*D3124</f>
        <v>11.1</v>
      </c>
    </row>
    <row r="3125" customFormat="false" ht="15" hidden="false" customHeight="false" outlineLevel="0" collapsed="false">
      <c r="A3125" s="9" t="s">
        <v>1520</v>
      </c>
      <c r="B3125" s="9" t="s">
        <v>45</v>
      </c>
      <c r="C3125" s="9" t="n">
        <v>6</v>
      </c>
      <c r="D3125" s="10" t="n">
        <v>1.85</v>
      </c>
      <c r="E3125" s="10" t="n">
        <f aca="false">C3125*D3125</f>
        <v>11.1</v>
      </c>
    </row>
    <row r="3126" customFormat="false" ht="15" hidden="false" customHeight="false" outlineLevel="0" collapsed="false">
      <c r="A3126" s="9" t="s">
        <v>1521</v>
      </c>
      <c r="B3126" s="9" t="s">
        <v>1522</v>
      </c>
      <c r="C3126" s="9" t="n">
        <v>6</v>
      </c>
      <c r="D3126" s="10" t="n">
        <v>1.25</v>
      </c>
      <c r="E3126" s="10" t="n">
        <f aca="false">C3126*D3126</f>
        <v>7.5</v>
      </c>
    </row>
    <row r="3127" customFormat="false" ht="15" hidden="false" customHeight="false" outlineLevel="0" collapsed="false">
      <c r="A3127" s="9" t="s">
        <v>1521</v>
      </c>
      <c r="B3127" s="9" t="s">
        <v>1523</v>
      </c>
      <c r="C3127" s="9" t="n">
        <v>6</v>
      </c>
      <c r="D3127" s="10" t="n">
        <v>2.55</v>
      </c>
      <c r="E3127" s="10" t="n">
        <f aca="false">C3127*D3127</f>
        <v>15.3</v>
      </c>
    </row>
    <row r="3128" customFormat="false" ht="15" hidden="false" customHeight="false" outlineLevel="0" collapsed="false">
      <c r="A3128" s="9" t="s">
        <v>1521</v>
      </c>
      <c r="B3128" s="9" t="s">
        <v>971</v>
      </c>
      <c r="C3128" s="9" t="n">
        <v>6</v>
      </c>
      <c r="D3128" s="10" t="n">
        <v>2.95</v>
      </c>
      <c r="E3128" s="10" t="n">
        <f aca="false">C3128*D3128</f>
        <v>17.7</v>
      </c>
    </row>
    <row r="3129" customFormat="false" ht="15" hidden="false" customHeight="false" outlineLevel="0" collapsed="false">
      <c r="A3129" s="9" t="s">
        <v>1521</v>
      </c>
      <c r="B3129" s="9" t="s">
        <v>1399</v>
      </c>
      <c r="C3129" s="9" t="n">
        <v>12</v>
      </c>
      <c r="D3129" s="10" t="n">
        <v>1.25</v>
      </c>
      <c r="E3129" s="10" t="n">
        <f aca="false">C3129*D3129</f>
        <v>15</v>
      </c>
    </row>
    <row r="3130" customFormat="false" ht="15" hidden="false" customHeight="false" outlineLevel="0" collapsed="false">
      <c r="A3130" s="9" t="s">
        <v>1521</v>
      </c>
      <c r="B3130" s="9" t="s">
        <v>329</v>
      </c>
      <c r="C3130" s="9" t="n">
        <v>12</v>
      </c>
      <c r="D3130" s="10" t="n">
        <v>0.55</v>
      </c>
      <c r="E3130" s="10" t="n">
        <f aca="false">C3130*D3130</f>
        <v>6.6</v>
      </c>
    </row>
    <row r="3131" customFormat="false" ht="15" hidden="false" customHeight="false" outlineLevel="0" collapsed="false">
      <c r="A3131" s="9" t="s">
        <v>1521</v>
      </c>
      <c r="B3131" s="9" t="s">
        <v>384</v>
      </c>
      <c r="C3131" s="9" t="n">
        <v>12</v>
      </c>
      <c r="D3131" s="10" t="n">
        <v>1.25</v>
      </c>
      <c r="E3131" s="10" t="n">
        <f aca="false">C3131*D3131</f>
        <v>15</v>
      </c>
    </row>
    <row r="3132" customFormat="false" ht="15" hidden="false" customHeight="false" outlineLevel="0" collapsed="false">
      <c r="A3132" s="9" t="s">
        <v>1521</v>
      </c>
      <c r="B3132" s="9" t="s">
        <v>973</v>
      </c>
      <c r="C3132" s="9" t="n">
        <v>3</v>
      </c>
      <c r="D3132" s="10" t="n">
        <v>4.65</v>
      </c>
      <c r="E3132" s="10" t="n">
        <f aca="false">C3132*D3132</f>
        <v>13.95</v>
      </c>
    </row>
    <row r="3133" customFormat="false" ht="15" hidden="false" customHeight="false" outlineLevel="0" collapsed="false">
      <c r="A3133" s="9" t="s">
        <v>1521</v>
      </c>
      <c r="B3133" s="9" t="s">
        <v>254</v>
      </c>
      <c r="C3133" s="9" t="n">
        <v>12</v>
      </c>
      <c r="D3133" s="10" t="n">
        <v>2.1</v>
      </c>
      <c r="E3133" s="10" t="n">
        <f aca="false">C3133*D3133</f>
        <v>25.2</v>
      </c>
    </row>
    <row r="3134" customFormat="false" ht="15" hidden="false" customHeight="false" outlineLevel="0" collapsed="false">
      <c r="A3134" s="9" t="s">
        <v>1521</v>
      </c>
      <c r="B3134" s="9" t="s">
        <v>243</v>
      </c>
      <c r="C3134" s="9" t="n">
        <v>12</v>
      </c>
      <c r="D3134" s="10" t="n">
        <v>1.25</v>
      </c>
      <c r="E3134" s="10" t="n">
        <f aca="false">C3134*D3134</f>
        <v>15</v>
      </c>
    </row>
    <row r="3135" customFormat="false" ht="15" hidden="false" customHeight="false" outlineLevel="0" collapsed="false">
      <c r="A3135" s="9" t="s">
        <v>1521</v>
      </c>
      <c r="B3135" s="9" t="s">
        <v>506</v>
      </c>
      <c r="C3135" s="9" t="n">
        <v>12</v>
      </c>
      <c r="D3135" s="10" t="n">
        <v>0.85</v>
      </c>
      <c r="E3135" s="10" t="n">
        <f aca="false">C3135*D3135</f>
        <v>10.2</v>
      </c>
    </row>
    <row r="3136" customFormat="false" ht="15" hidden="false" customHeight="false" outlineLevel="0" collapsed="false">
      <c r="A3136" s="9" t="s">
        <v>1521</v>
      </c>
      <c r="B3136" s="9" t="s">
        <v>45</v>
      </c>
      <c r="C3136" s="9" t="n">
        <v>12</v>
      </c>
      <c r="D3136" s="10" t="n">
        <v>2.1</v>
      </c>
      <c r="E3136" s="10" t="n">
        <f aca="false">C3136*D3136</f>
        <v>25.2</v>
      </c>
    </row>
    <row r="3137" customFormat="false" ht="15" hidden="false" customHeight="false" outlineLevel="0" collapsed="false">
      <c r="A3137" s="9" t="s">
        <v>1521</v>
      </c>
      <c r="B3137" s="9" t="s">
        <v>46</v>
      </c>
      <c r="C3137" s="9" t="n">
        <v>24</v>
      </c>
      <c r="D3137" s="10" t="n">
        <v>2.1</v>
      </c>
      <c r="E3137" s="10" t="n">
        <f aca="false">C3137*D3137</f>
        <v>50.4</v>
      </c>
    </row>
    <row r="3138" customFormat="false" ht="15" hidden="false" customHeight="false" outlineLevel="0" collapsed="false">
      <c r="A3138" s="9" t="s">
        <v>1521</v>
      </c>
      <c r="B3138" s="9" t="s">
        <v>255</v>
      </c>
      <c r="C3138" s="9" t="n">
        <v>12</v>
      </c>
      <c r="D3138" s="10" t="n">
        <v>2.1</v>
      </c>
      <c r="E3138" s="10" t="n">
        <f aca="false">C3138*D3138</f>
        <v>25.2</v>
      </c>
    </row>
    <row r="3139" customFormat="false" ht="15" hidden="false" customHeight="false" outlineLevel="0" collapsed="false">
      <c r="A3139" s="9" t="s">
        <v>1521</v>
      </c>
      <c r="B3139" s="9" t="s">
        <v>314</v>
      </c>
      <c r="C3139" s="9" t="n">
        <v>12</v>
      </c>
      <c r="D3139" s="10" t="n">
        <v>1.45</v>
      </c>
      <c r="E3139" s="10" t="n">
        <f aca="false">C3139*D3139</f>
        <v>17.4</v>
      </c>
    </row>
    <row r="3140" customFormat="false" ht="15" hidden="false" customHeight="false" outlineLevel="0" collapsed="false">
      <c r="A3140" s="9" t="s">
        <v>1524</v>
      </c>
      <c r="B3140" s="9" t="s">
        <v>43</v>
      </c>
      <c r="C3140" s="9" t="n">
        <v>4</v>
      </c>
      <c r="D3140" s="10" t="n">
        <v>4.25</v>
      </c>
      <c r="E3140" s="10" t="n">
        <f aca="false">C3140*D3140</f>
        <v>17</v>
      </c>
    </row>
    <row r="3141" customFormat="false" ht="15" hidden="false" customHeight="false" outlineLevel="0" collapsed="false">
      <c r="A3141" s="9" t="s">
        <v>1524</v>
      </c>
      <c r="B3141" s="9" t="s">
        <v>41</v>
      </c>
      <c r="C3141" s="9" t="n">
        <v>6</v>
      </c>
      <c r="D3141" s="10" t="n">
        <v>3.39</v>
      </c>
      <c r="E3141" s="10" t="n">
        <f aca="false">C3141*D3141</f>
        <v>20.34</v>
      </c>
    </row>
    <row r="3142" customFormat="false" ht="15" hidden="false" customHeight="false" outlineLevel="0" collapsed="false">
      <c r="A3142" s="9" t="s">
        <v>1524</v>
      </c>
      <c r="B3142" s="9" t="s">
        <v>40</v>
      </c>
      <c r="C3142" s="9" t="n">
        <v>6</v>
      </c>
      <c r="D3142" s="10" t="n">
        <v>3.39</v>
      </c>
      <c r="E3142" s="10" t="n">
        <f aca="false">C3142*D3142</f>
        <v>20.34</v>
      </c>
    </row>
    <row r="3143" customFormat="false" ht="15" hidden="false" customHeight="false" outlineLevel="0" collapsed="false">
      <c r="A3143" s="9" t="s">
        <v>1524</v>
      </c>
      <c r="B3143" s="9" t="s">
        <v>150</v>
      </c>
      <c r="C3143" s="9" t="n">
        <v>6</v>
      </c>
      <c r="D3143" s="10" t="n">
        <v>1.65</v>
      </c>
      <c r="E3143" s="10" t="n">
        <f aca="false">C3143*D3143</f>
        <v>9.9</v>
      </c>
    </row>
    <row r="3144" customFormat="false" ht="15" hidden="false" customHeight="false" outlineLevel="0" collapsed="false">
      <c r="A3144" s="9" t="s">
        <v>1524</v>
      </c>
      <c r="B3144" s="9" t="s">
        <v>94</v>
      </c>
      <c r="C3144" s="9" t="n">
        <v>6</v>
      </c>
      <c r="D3144" s="10" t="n">
        <v>2.55</v>
      </c>
      <c r="E3144" s="10" t="n">
        <f aca="false">C3144*D3144</f>
        <v>15.3</v>
      </c>
    </row>
    <row r="3145" customFormat="false" ht="15" hidden="false" customHeight="false" outlineLevel="0" collapsed="false">
      <c r="A3145" s="9" t="s">
        <v>1524</v>
      </c>
      <c r="B3145" s="9" t="s">
        <v>91</v>
      </c>
      <c r="C3145" s="9" t="n">
        <v>6</v>
      </c>
      <c r="D3145" s="10" t="n">
        <v>2.1</v>
      </c>
      <c r="E3145" s="10" t="n">
        <f aca="false">C3145*D3145</f>
        <v>12.6</v>
      </c>
    </row>
    <row r="3146" customFormat="false" ht="15" hidden="false" customHeight="false" outlineLevel="0" collapsed="false">
      <c r="A3146" s="9" t="s">
        <v>1524</v>
      </c>
      <c r="B3146" s="9" t="s">
        <v>93</v>
      </c>
      <c r="C3146" s="9" t="n">
        <v>4</v>
      </c>
      <c r="D3146" s="10" t="n">
        <v>4.95</v>
      </c>
      <c r="E3146" s="10" t="n">
        <f aca="false">C3146*D3146</f>
        <v>19.8</v>
      </c>
    </row>
    <row r="3147" customFormat="false" ht="15" hidden="false" customHeight="false" outlineLevel="0" collapsed="false">
      <c r="A3147" s="9" t="s">
        <v>1524</v>
      </c>
      <c r="B3147" s="9" t="s">
        <v>92</v>
      </c>
      <c r="C3147" s="9" t="n">
        <v>2</v>
      </c>
      <c r="D3147" s="10" t="n">
        <v>6.95</v>
      </c>
      <c r="E3147" s="10" t="n">
        <f aca="false">C3147*D3147</f>
        <v>13.9</v>
      </c>
    </row>
    <row r="3148" customFormat="false" ht="15" hidden="false" customHeight="false" outlineLevel="0" collapsed="false">
      <c r="A3148" s="9" t="s">
        <v>1524</v>
      </c>
      <c r="B3148" s="9" t="s">
        <v>95</v>
      </c>
      <c r="C3148" s="9" t="n">
        <v>6</v>
      </c>
      <c r="D3148" s="10" t="n">
        <v>1.06</v>
      </c>
      <c r="E3148" s="10" t="n">
        <f aca="false">C3148*D3148</f>
        <v>6.36</v>
      </c>
    </row>
    <row r="3149" customFormat="false" ht="15" hidden="false" customHeight="false" outlineLevel="0" collapsed="false">
      <c r="A3149" s="9" t="s">
        <v>1524</v>
      </c>
      <c r="B3149" s="9" t="s">
        <v>96</v>
      </c>
      <c r="C3149" s="9" t="n">
        <v>6</v>
      </c>
      <c r="D3149" s="10" t="n">
        <v>1.06</v>
      </c>
      <c r="E3149" s="10" t="n">
        <f aca="false">C3149*D3149</f>
        <v>6.36</v>
      </c>
    </row>
    <row r="3150" customFormat="false" ht="15" hidden="false" customHeight="false" outlineLevel="0" collapsed="false">
      <c r="A3150" s="9" t="s">
        <v>1524</v>
      </c>
      <c r="B3150" s="9" t="s">
        <v>97</v>
      </c>
      <c r="C3150" s="9" t="n">
        <v>6</v>
      </c>
      <c r="D3150" s="10" t="n">
        <v>1.06</v>
      </c>
      <c r="E3150" s="10" t="n">
        <f aca="false">C3150*D3150</f>
        <v>6.36</v>
      </c>
    </row>
    <row r="3151" customFormat="false" ht="15" hidden="false" customHeight="false" outlineLevel="0" collapsed="false">
      <c r="A3151" s="9" t="s">
        <v>1524</v>
      </c>
      <c r="B3151" s="9" t="s">
        <v>39</v>
      </c>
      <c r="C3151" s="9" t="n">
        <v>6</v>
      </c>
      <c r="D3151" s="10" t="n">
        <v>2.75</v>
      </c>
      <c r="E3151" s="10" t="n">
        <f aca="false">C3151*D3151</f>
        <v>16.5</v>
      </c>
    </row>
    <row r="3152" customFormat="false" ht="15" hidden="false" customHeight="false" outlineLevel="0" collapsed="false">
      <c r="A3152" s="9" t="s">
        <v>1524</v>
      </c>
      <c r="B3152" s="9" t="s">
        <v>38</v>
      </c>
      <c r="C3152" s="9" t="n">
        <v>6</v>
      </c>
      <c r="D3152" s="10" t="n">
        <v>3.39</v>
      </c>
      <c r="E3152" s="10" t="n">
        <f aca="false">C3152*D3152</f>
        <v>20.34</v>
      </c>
    </row>
    <row r="3153" customFormat="false" ht="15" hidden="false" customHeight="false" outlineLevel="0" collapsed="false">
      <c r="A3153" s="9" t="s">
        <v>1524</v>
      </c>
      <c r="B3153" s="9" t="s">
        <v>37</v>
      </c>
      <c r="C3153" s="9" t="n">
        <v>6</v>
      </c>
      <c r="D3153" s="10" t="n">
        <v>2.55</v>
      </c>
      <c r="E3153" s="10" t="n">
        <f aca="false">C3153*D3153</f>
        <v>15.3</v>
      </c>
    </row>
    <row r="3154" customFormat="false" ht="15" hidden="false" customHeight="false" outlineLevel="0" collapsed="false">
      <c r="A3154" s="9" t="s">
        <v>1524</v>
      </c>
      <c r="B3154" s="9" t="s">
        <v>99</v>
      </c>
      <c r="C3154" s="9" t="n">
        <v>6</v>
      </c>
      <c r="D3154" s="10" t="n">
        <v>1.06</v>
      </c>
      <c r="E3154" s="10" t="n">
        <f aca="false">C3154*D3154</f>
        <v>6.36</v>
      </c>
    </row>
    <row r="3155" customFormat="false" ht="15" hidden="false" customHeight="false" outlineLevel="0" collapsed="false">
      <c r="A3155" s="9" t="s">
        <v>1525</v>
      </c>
      <c r="B3155" s="9" t="s">
        <v>1526</v>
      </c>
      <c r="C3155" s="9" t="n">
        <v>12</v>
      </c>
      <c r="D3155" s="10" t="n">
        <v>0.42</v>
      </c>
      <c r="E3155" s="10" t="n">
        <f aca="false">C3155*D3155</f>
        <v>5.04</v>
      </c>
    </row>
    <row r="3156" customFormat="false" ht="15" hidden="false" customHeight="false" outlineLevel="0" collapsed="false">
      <c r="A3156" s="9" t="s">
        <v>1525</v>
      </c>
      <c r="B3156" s="9" t="s">
        <v>606</v>
      </c>
      <c r="C3156" s="9" t="n">
        <v>12</v>
      </c>
      <c r="D3156" s="10" t="n">
        <v>0.85</v>
      </c>
      <c r="E3156" s="10" t="n">
        <f aca="false">C3156*D3156</f>
        <v>10.2</v>
      </c>
    </row>
    <row r="3157" customFormat="false" ht="15" hidden="false" customHeight="false" outlineLevel="0" collapsed="false">
      <c r="A3157" s="9" t="s">
        <v>1525</v>
      </c>
      <c r="B3157" s="9" t="s">
        <v>376</v>
      </c>
      <c r="C3157" s="9" t="n">
        <v>10</v>
      </c>
      <c r="D3157" s="10" t="n">
        <v>1.65</v>
      </c>
      <c r="E3157" s="10" t="n">
        <f aca="false">C3157*D3157</f>
        <v>16.5</v>
      </c>
    </row>
    <row r="3158" customFormat="false" ht="15" hidden="false" customHeight="false" outlineLevel="0" collapsed="false">
      <c r="A3158" s="9" t="s">
        <v>1525</v>
      </c>
      <c r="B3158" s="9" t="s">
        <v>233</v>
      </c>
      <c r="C3158" s="9" t="n">
        <v>6</v>
      </c>
      <c r="D3158" s="10" t="n">
        <v>2.95</v>
      </c>
      <c r="E3158" s="10" t="n">
        <f aca="false">C3158*D3158</f>
        <v>17.7</v>
      </c>
    </row>
    <row r="3159" customFormat="false" ht="15" hidden="false" customHeight="false" outlineLevel="0" collapsed="false">
      <c r="A3159" s="9" t="s">
        <v>1525</v>
      </c>
      <c r="B3159" s="9" t="s">
        <v>553</v>
      </c>
      <c r="C3159" s="9" t="n">
        <v>12</v>
      </c>
      <c r="D3159" s="10" t="n">
        <v>1.25</v>
      </c>
      <c r="E3159" s="10" t="n">
        <f aca="false">C3159*D3159</f>
        <v>15</v>
      </c>
    </row>
    <row r="3160" customFormat="false" ht="15" hidden="false" customHeight="false" outlineLevel="0" collapsed="false">
      <c r="A3160" s="9" t="s">
        <v>1525</v>
      </c>
      <c r="B3160" s="9" t="s">
        <v>251</v>
      </c>
      <c r="C3160" s="9" t="n">
        <v>10</v>
      </c>
      <c r="D3160" s="10" t="n">
        <v>1.65</v>
      </c>
      <c r="E3160" s="10" t="n">
        <f aca="false">C3160*D3160</f>
        <v>16.5</v>
      </c>
    </row>
    <row r="3161" customFormat="false" ht="15" hidden="false" customHeight="false" outlineLevel="0" collapsed="false">
      <c r="A3161" s="9" t="s">
        <v>1525</v>
      </c>
      <c r="B3161" s="9" t="s">
        <v>1111</v>
      </c>
      <c r="C3161" s="9" t="n">
        <v>12</v>
      </c>
      <c r="D3161" s="10" t="n">
        <v>0.42</v>
      </c>
      <c r="E3161" s="10" t="n">
        <f aca="false">C3161*D3161</f>
        <v>5.04</v>
      </c>
    </row>
    <row r="3162" customFormat="false" ht="15" hidden="false" customHeight="false" outlineLevel="0" collapsed="false">
      <c r="A3162" s="9" t="s">
        <v>1525</v>
      </c>
      <c r="B3162" s="9" t="s">
        <v>79</v>
      </c>
      <c r="C3162" s="9" t="n">
        <v>12</v>
      </c>
      <c r="D3162" s="10" t="n">
        <v>1.25</v>
      </c>
      <c r="E3162" s="10" t="n">
        <f aca="false">C3162*D3162</f>
        <v>15</v>
      </c>
    </row>
    <row r="3163" customFormat="false" ht="15" hidden="false" customHeight="false" outlineLevel="0" collapsed="false">
      <c r="A3163" s="9" t="s">
        <v>1525</v>
      </c>
      <c r="B3163" s="9" t="s">
        <v>1527</v>
      </c>
      <c r="C3163" s="9" t="n">
        <v>1</v>
      </c>
      <c r="D3163" s="10" t="n">
        <v>9.95</v>
      </c>
      <c r="E3163" s="10" t="n">
        <f aca="false">C3163*D3163</f>
        <v>9.95</v>
      </c>
    </row>
    <row r="3164" customFormat="false" ht="15" hidden="false" customHeight="false" outlineLevel="0" collapsed="false">
      <c r="A3164" s="9" t="s">
        <v>1525</v>
      </c>
      <c r="B3164" s="9" t="s">
        <v>1528</v>
      </c>
      <c r="C3164" s="9" t="n">
        <v>24</v>
      </c>
      <c r="D3164" s="10" t="n">
        <v>0.42</v>
      </c>
      <c r="E3164" s="10" t="n">
        <f aca="false">C3164*D3164</f>
        <v>10.08</v>
      </c>
    </row>
    <row r="3165" customFormat="false" ht="15" hidden="false" customHeight="false" outlineLevel="0" collapsed="false">
      <c r="A3165" s="9" t="s">
        <v>1525</v>
      </c>
      <c r="B3165" s="9" t="s">
        <v>377</v>
      </c>
      <c r="C3165" s="9" t="n">
        <v>12</v>
      </c>
      <c r="D3165" s="10" t="n">
        <v>1.25</v>
      </c>
      <c r="E3165" s="10" t="n">
        <f aca="false">C3165*D3165</f>
        <v>15</v>
      </c>
    </row>
    <row r="3166" customFormat="false" ht="15" hidden="false" customHeight="false" outlineLevel="0" collapsed="false">
      <c r="A3166" s="9" t="s">
        <v>1525</v>
      </c>
      <c r="B3166" s="9" t="s">
        <v>244</v>
      </c>
      <c r="C3166" s="9" t="n">
        <v>8</v>
      </c>
      <c r="D3166" s="10" t="n">
        <v>3.75</v>
      </c>
      <c r="E3166" s="10" t="n">
        <f aca="false">C3166*D3166</f>
        <v>30</v>
      </c>
    </row>
    <row r="3167" customFormat="false" ht="15" hidden="false" customHeight="false" outlineLevel="0" collapsed="false">
      <c r="A3167" s="9" t="s">
        <v>1525</v>
      </c>
      <c r="B3167" s="9" t="s">
        <v>506</v>
      </c>
      <c r="C3167" s="9" t="n">
        <v>12</v>
      </c>
      <c r="D3167" s="10" t="n">
        <v>0.85</v>
      </c>
      <c r="E3167" s="10" t="n">
        <f aca="false">C3167*D3167</f>
        <v>10.2</v>
      </c>
    </row>
    <row r="3168" customFormat="false" ht="15" hidden="false" customHeight="false" outlineLevel="0" collapsed="false">
      <c r="A3168" s="9" t="s">
        <v>1525</v>
      </c>
      <c r="B3168" s="9" t="s">
        <v>1529</v>
      </c>
      <c r="C3168" s="9" t="n">
        <v>12</v>
      </c>
      <c r="D3168" s="10" t="n">
        <v>0.42</v>
      </c>
      <c r="E3168" s="10" t="n">
        <f aca="false">C3168*D3168</f>
        <v>5.04</v>
      </c>
    </row>
    <row r="3169" customFormat="false" ht="15" hidden="false" customHeight="false" outlineLevel="0" collapsed="false">
      <c r="A3169" s="9" t="s">
        <v>1525</v>
      </c>
      <c r="B3169" s="9" t="s">
        <v>1130</v>
      </c>
      <c r="C3169" s="9" t="n">
        <v>12</v>
      </c>
      <c r="D3169" s="10" t="n">
        <v>0.42</v>
      </c>
      <c r="E3169" s="10" t="n">
        <f aca="false">C3169*D3169</f>
        <v>5.04</v>
      </c>
    </row>
    <row r="3170" customFormat="false" ht="15" hidden="false" customHeight="false" outlineLevel="0" collapsed="false">
      <c r="A3170" s="9" t="s">
        <v>1525</v>
      </c>
      <c r="B3170" s="9" t="s">
        <v>70</v>
      </c>
      <c r="C3170" s="9" t="n">
        <v>24</v>
      </c>
      <c r="D3170" s="10" t="n">
        <v>0.42</v>
      </c>
      <c r="E3170" s="10" t="n">
        <f aca="false">C3170*D3170</f>
        <v>10.08</v>
      </c>
    </row>
    <row r="3171" customFormat="false" ht="15" hidden="false" customHeight="false" outlineLevel="0" collapsed="false">
      <c r="A3171" s="9" t="s">
        <v>1525</v>
      </c>
      <c r="B3171" s="9" t="s">
        <v>505</v>
      </c>
      <c r="C3171" s="9" t="n">
        <v>6</v>
      </c>
      <c r="D3171" s="10" t="n">
        <v>2.1</v>
      </c>
      <c r="E3171" s="10" t="n">
        <f aca="false">C3171*D3171</f>
        <v>12.6</v>
      </c>
    </row>
    <row r="3172" customFormat="false" ht="15" hidden="false" customHeight="false" outlineLevel="0" collapsed="false">
      <c r="A3172" s="9" t="s">
        <v>1530</v>
      </c>
      <c r="B3172" s="9" t="s">
        <v>46</v>
      </c>
      <c r="C3172" s="9" t="n">
        <v>6</v>
      </c>
      <c r="D3172" s="10" t="n">
        <v>1.85</v>
      </c>
      <c r="E3172" s="10" t="n">
        <f aca="false">C3172*D3172</f>
        <v>11.1</v>
      </c>
    </row>
    <row r="3173" customFormat="false" ht="15" hidden="false" customHeight="false" outlineLevel="0" collapsed="false">
      <c r="A3173" s="9" t="s">
        <v>1530</v>
      </c>
      <c r="B3173" s="9" t="s">
        <v>45</v>
      </c>
      <c r="C3173" s="9" t="n">
        <v>6</v>
      </c>
      <c r="D3173" s="10" t="n">
        <v>1.85</v>
      </c>
      <c r="E3173" s="10" t="n">
        <f aca="false">C3173*D3173</f>
        <v>11.1</v>
      </c>
    </row>
    <row r="3174" customFormat="false" ht="15" hidden="false" customHeight="false" outlineLevel="0" collapsed="false">
      <c r="A3174" s="9" t="s">
        <v>1531</v>
      </c>
      <c r="B3174" s="9" t="s">
        <v>53</v>
      </c>
      <c r="C3174" s="9" t="n">
        <v>3</v>
      </c>
      <c r="D3174" s="10" t="n">
        <v>5.95</v>
      </c>
      <c r="E3174" s="10" t="n">
        <f aca="false">C3174*D3174</f>
        <v>17.85</v>
      </c>
    </row>
    <row r="3175" customFormat="false" ht="15" hidden="false" customHeight="false" outlineLevel="0" collapsed="false">
      <c r="A3175" s="9" t="s">
        <v>1531</v>
      </c>
      <c r="B3175" s="9" t="s">
        <v>1532</v>
      </c>
      <c r="C3175" s="9" t="n">
        <v>8</v>
      </c>
      <c r="D3175" s="10" t="n">
        <v>4.65</v>
      </c>
      <c r="E3175" s="10" t="n">
        <f aca="false">C3175*D3175</f>
        <v>37.2</v>
      </c>
    </row>
    <row r="3176" customFormat="false" ht="15" hidden="false" customHeight="false" outlineLevel="0" collapsed="false">
      <c r="A3176" s="9" t="s">
        <v>1531</v>
      </c>
      <c r="B3176" s="9" t="s">
        <v>299</v>
      </c>
      <c r="C3176" s="9" t="n">
        <v>12</v>
      </c>
      <c r="D3176" s="10" t="n">
        <v>2.55</v>
      </c>
      <c r="E3176" s="10" t="n">
        <f aca="false">C3176*D3176</f>
        <v>30.6</v>
      </c>
    </row>
    <row r="3177" customFormat="false" ht="15" hidden="false" customHeight="false" outlineLevel="0" collapsed="false">
      <c r="A3177" s="9" t="s">
        <v>1531</v>
      </c>
      <c r="B3177" s="9" t="s">
        <v>840</v>
      </c>
      <c r="C3177" s="9" t="n">
        <v>2</v>
      </c>
      <c r="D3177" s="10" t="n">
        <v>7.65</v>
      </c>
      <c r="E3177" s="10" t="n">
        <f aca="false">C3177*D3177</f>
        <v>15.3</v>
      </c>
    </row>
    <row r="3178" customFormat="false" ht="15" hidden="false" customHeight="false" outlineLevel="0" collapsed="false">
      <c r="A3178" s="9" t="s">
        <v>1531</v>
      </c>
      <c r="B3178" s="9" t="s">
        <v>1305</v>
      </c>
      <c r="C3178" s="9" t="n">
        <v>8</v>
      </c>
      <c r="D3178" s="10" t="n">
        <v>1.95</v>
      </c>
      <c r="E3178" s="10" t="n">
        <f aca="false">C3178*D3178</f>
        <v>15.6</v>
      </c>
    </row>
    <row r="3179" customFormat="false" ht="15" hidden="false" customHeight="false" outlineLevel="0" collapsed="false">
      <c r="A3179" s="9" t="s">
        <v>1531</v>
      </c>
      <c r="B3179" s="9" t="s">
        <v>778</v>
      </c>
      <c r="C3179" s="9" t="n">
        <v>3</v>
      </c>
      <c r="D3179" s="10" t="n">
        <v>9.95</v>
      </c>
      <c r="E3179" s="10" t="n">
        <f aca="false">C3179*D3179</f>
        <v>29.85</v>
      </c>
    </row>
    <row r="3180" customFormat="false" ht="15" hidden="false" customHeight="false" outlineLevel="0" collapsed="false">
      <c r="A3180" s="9" t="s">
        <v>1531</v>
      </c>
      <c r="B3180" s="9" t="s">
        <v>337</v>
      </c>
      <c r="C3180" s="9" t="n">
        <v>8</v>
      </c>
      <c r="D3180" s="10" t="n">
        <v>4.65</v>
      </c>
      <c r="E3180" s="10" t="n">
        <f aca="false">C3180*D3180</f>
        <v>37.2</v>
      </c>
    </row>
    <row r="3181" customFormat="false" ht="15" hidden="false" customHeight="false" outlineLevel="0" collapsed="false">
      <c r="A3181" s="9" t="s">
        <v>1531</v>
      </c>
      <c r="B3181" s="9" t="s">
        <v>42</v>
      </c>
      <c r="C3181" s="9" t="n">
        <v>4</v>
      </c>
      <c r="D3181" s="10" t="n">
        <v>8.5</v>
      </c>
      <c r="E3181" s="10" t="n">
        <f aca="false">C3181*D3181</f>
        <v>34</v>
      </c>
    </row>
    <row r="3182" customFormat="false" ht="15" hidden="false" customHeight="false" outlineLevel="0" collapsed="false">
      <c r="A3182" s="9" t="s">
        <v>1531</v>
      </c>
      <c r="B3182" s="9" t="s">
        <v>540</v>
      </c>
      <c r="C3182" s="9" t="n">
        <v>2</v>
      </c>
      <c r="D3182" s="10" t="n">
        <v>9.95</v>
      </c>
      <c r="E3182" s="10" t="n">
        <f aca="false">C3182*D3182</f>
        <v>19.9</v>
      </c>
    </row>
    <row r="3183" customFormat="false" ht="15" hidden="false" customHeight="false" outlineLevel="0" collapsed="false">
      <c r="A3183" s="9" t="s">
        <v>1531</v>
      </c>
      <c r="B3183" s="9" t="s">
        <v>1533</v>
      </c>
      <c r="C3183" s="9" t="n">
        <v>48</v>
      </c>
      <c r="D3183" s="10" t="n">
        <v>0.29</v>
      </c>
      <c r="E3183" s="10" t="n">
        <f aca="false">C3183*D3183</f>
        <v>13.92</v>
      </c>
    </row>
    <row r="3184" customFormat="false" ht="15" hidden="false" customHeight="false" outlineLevel="0" collapsed="false">
      <c r="A3184" s="9" t="s">
        <v>1531</v>
      </c>
      <c r="B3184" s="9" t="s">
        <v>492</v>
      </c>
      <c r="C3184" s="9" t="n">
        <v>8</v>
      </c>
      <c r="D3184" s="10" t="n">
        <v>1.95</v>
      </c>
      <c r="E3184" s="10" t="n">
        <f aca="false">C3184*D3184</f>
        <v>15.6</v>
      </c>
    </row>
    <row r="3185" customFormat="false" ht="15" hidden="false" customHeight="false" outlineLevel="0" collapsed="false">
      <c r="A3185" s="9" t="s">
        <v>1531</v>
      </c>
      <c r="B3185" s="9" t="s">
        <v>755</v>
      </c>
      <c r="C3185" s="9" t="n">
        <v>2</v>
      </c>
      <c r="D3185" s="10" t="n">
        <v>9.95</v>
      </c>
      <c r="E3185" s="10" t="n">
        <f aca="false">C3185*D3185</f>
        <v>19.9</v>
      </c>
    </row>
    <row r="3186" customFormat="false" ht="15" hidden="false" customHeight="false" outlineLevel="0" collapsed="false">
      <c r="A3186" s="9" t="s">
        <v>1534</v>
      </c>
      <c r="B3186" s="9" t="s">
        <v>615</v>
      </c>
      <c r="C3186" s="9" t="n">
        <v>72</v>
      </c>
      <c r="D3186" s="10" t="n">
        <v>3.39</v>
      </c>
      <c r="E3186" s="10" t="n">
        <f aca="false">C3186*D3186</f>
        <v>244.08</v>
      </c>
    </row>
    <row r="3187" customFormat="false" ht="15" hidden="false" customHeight="false" outlineLevel="0" collapsed="false">
      <c r="A3187" s="9" t="s">
        <v>1535</v>
      </c>
      <c r="B3187" s="9" t="s">
        <v>288</v>
      </c>
      <c r="C3187" s="9" t="n">
        <v>96</v>
      </c>
      <c r="D3187" s="10" t="n">
        <v>2.55</v>
      </c>
      <c r="E3187" s="10" t="n">
        <f aca="false">C3187*D3187</f>
        <v>244.8</v>
      </c>
    </row>
    <row r="3188" customFormat="false" ht="15" hidden="false" customHeight="false" outlineLevel="0" collapsed="false">
      <c r="A3188" s="9" t="s">
        <v>1535</v>
      </c>
      <c r="B3188" s="9" t="s">
        <v>1536</v>
      </c>
      <c r="C3188" s="9" t="n">
        <v>108</v>
      </c>
      <c r="D3188" s="10" t="n">
        <v>2.1</v>
      </c>
      <c r="E3188" s="10" t="n">
        <f aca="false">C3188*D3188</f>
        <v>226.8</v>
      </c>
    </row>
    <row r="3189" customFormat="false" ht="15" hidden="false" customHeight="false" outlineLevel="0" collapsed="false">
      <c r="A3189" s="9" t="s">
        <v>1535</v>
      </c>
      <c r="B3189" s="9" t="s">
        <v>1207</v>
      </c>
      <c r="C3189" s="9" t="n">
        <v>20</v>
      </c>
      <c r="D3189" s="10" t="n">
        <v>2.55</v>
      </c>
      <c r="E3189" s="10" t="n">
        <f aca="false">C3189*D3189</f>
        <v>51</v>
      </c>
    </row>
    <row r="3190" customFormat="false" ht="15" hidden="false" customHeight="false" outlineLevel="0" collapsed="false">
      <c r="A3190" s="9" t="s">
        <v>1535</v>
      </c>
      <c r="B3190" s="9" t="s">
        <v>1537</v>
      </c>
      <c r="C3190" s="9" t="n">
        <v>96</v>
      </c>
      <c r="D3190" s="10" t="n">
        <v>0.42</v>
      </c>
      <c r="E3190" s="10" t="n">
        <f aca="false">C3190*D3190</f>
        <v>40.32</v>
      </c>
    </row>
    <row r="3191" customFormat="false" ht="15" hidden="false" customHeight="false" outlineLevel="0" collapsed="false">
      <c r="A3191" s="9" t="s">
        <v>1535</v>
      </c>
      <c r="B3191" s="9" t="s">
        <v>417</v>
      </c>
      <c r="C3191" s="9" t="n">
        <v>96</v>
      </c>
      <c r="D3191" s="10" t="n">
        <v>0.65</v>
      </c>
      <c r="E3191" s="10" t="n">
        <f aca="false">C3191*D3191</f>
        <v>62.4</v>
      </c>
    </row>
    <row r="3192" customFormat="false" ht="15" hidden="false" customHeight="false" outlineLevel="0" collapsed="false">
      <c r="A3192" s="9" t="s">
        <v>1535</v>
      </c>
      <c r="B3192" s="9" t="s">
        <v>358</v>
      </c>
      <c r="C3192" s="9" t="n">
        <v>12</v>
      </c>
      <c r="D3192" s="10" t="n">
        <v>1.25</v>
      </c>
      <c r="E3192" s="10" t="n">
        <f aca="false">C3192*D3192</f>
        <v>15</v>
      </c>
    </row>
    <row r="3193" customFormat="false" ht="15" hidden="false" customHeight="false" outlineLevel="0" collapsed="false">
      <c r="A3193" s="9" t="s">
        <v>1535</v>
      </c>
      <c r="B3193" s="9" t="s">
        <v>870</v>
      </c>
      <c r="C3193" s="9" t="n">
        <v>144</v>
      </c>
      <c r="D3193" s="10" t="n">
        <v>1.25</v>
      </c>
      <c r="E3193" s="10" t="n">
        <f aca="false">C3193*D3193</f>
        <v>180</v>
      </c>
    </row>
    <row r="3194" customFormat="false" ht="15" hidden="false" customHeight="false" outlineLevel="0" collapsed="false">
      <c r="A3194" s="9" t="s">
        <v>1535</v>
      </c>
      <c r="B3194" s="9" t="s">
        <v>196</v>
      </c>
      <c r="C3194" s="9" t="n">
        <v>24</v>
      </c>
      <c r="D3194" s="10" t="n">
        <v>4.25</v>
      </c>
      <c r="E3194" s="10" t="n">
        <f aca="false">C3194*D3194</f>
        <v>102</v>
      </c>
    </row>
    <row r="3195" customFormat="false" ht="15" hidden="false" customHeight="false" outlineLevel="0" collapsed="false">
      <c r="A3195" s="9" t="s">
        <v>1535</v>
      </c>
      <c r="B3195" s="9" t="s">
        <v>998</v>
      </c>
      <c r="C3195" s="9" t="n">
        <v>12</v>
      </c>
      <c r="D3195" s="10" t="n">
        <v>1.25</v>
      </c>
      <c r="E3195" s="10" t="n">
        <f aca="false">C3195*D3195</f>
        <v>15</v>
      </c>
    </row>
    <row r="3196" customFormat="false" ht="15" hidden="false" customHeight="false" outlineLevel="0" collapsed="false">
      <c r="A3196" s="9" t="s">
        <v>1535</v>
      </c>
      <c r="B3196" s="9" t="s">
        <v>1403</v>
      </c>
      <c r="C3196" s="9" t="n">
        <v>12</v>
      </c>
      <c r="D3196" s="10" t="n">
        <v>1.25</v>
      </c>
      <c r="E3196" s="10" t="n">
        <f aca="false">C3196*D3196</f>
        <v>15</v>
      </c>
    </row>
    <row r="3197" customFormat="false" ht="15" hidden="false" customHeight="false" outlineLevel="0" collapsed="false">
      <c r="A3197" s="9" t="s">
        <v>1535</v>
      </c>
      <c r="B3197" s="9" t="s">
        <v>452</v>
      </c>
      <c r="C3197" s="9" t="n">
        <v>24</v>
      </c>
      <c r="D3197" s="10" t="n">
        <v>5.95</v>
      </c>
      <c r="E3197" s="10" t="n">
        <f aca="false">C3197*D3197</f>
        <v>142.8</v>
      </c>
    </row>
    <row r="3198" customFormat="false" ht="15" hidden="false" customHeight="false" outlineLevel="0" collapsed="false">
      <c r="A3198" s="9" t="s">
        <v>1538</v>
      </c>
      <c r="B3198" s="9" t="s">
        <v>1539</v>
      </c>
      <c r="C3198" s="9" t="n">
        <v>16</v>
      </c>
      <c r="D3198" s="10" t="n">
        <v>1.95</v>
      </c>
      <c r="E3198" s="10" t="n">
        <f aca="false">C3198*D3198</f>
        <v>31.2</v>
      </c>
    </row>
    <row r="3199" customFormat="false" ht="15" hidden="false" customHeight="false" outlineLevel="0" collapsed="false">
      <c r="A3199" s="9" t="s">
        <v>1538</v>
      </c>
      <c r="B3199" s="9" t="s">
        <v>718</v>
      </c>
      <c r="C3199" s="9" t="n">
        <v>24</v>
      </c>
      <c r="D3199" s="10" t="n">
        <v>4.25</v>
      </c>
      <c r="E3199" s="10" t="n">
        <f aca="false">C3199*D3199</f>
        <v>102</v>
      </c>
    </row>
    <row r="3200" customFormat="false" ht="15" hidden="false" customHeight="false" outlineLevel="0" collapsed="false">
      <c r="A3200" s="9" t="s">
        <v>1538</v>
      </c>
      <c r="B3200" s="9" t="s">
        <v>233</v>
      </c>
      <c r="C3200" s="9" t="n">
        <v>40</v>
      </c>
      <c r="D3200" s="10" t="n">
        <v>2.55</v>
      </c>
      <c r="E3200" s="10" t="n">
        <f aca="false">C3200*D3200</f>
        <v>102</v>
      </c>
    </row>
    <row r="3201" customFormat="false" ht="15" hidden="false" customHeight="false" outlineLevel="0" collapsed="false">
      <c r="A3201" s="9" t="s">
        <v>1538</v>
      </c>
      <c r="B3201" s="9" t="s">
        <v>490</v>
      </c>
      <c r="C3201" s="9" t="n">
        <v>36</v>
      </c>
      <c r="D3201" s="10" t="n">
        <v>0.85</v>
      </c>
      <c r="E3201" s="10" t="n">
        <f aca="false">C3201*D3201</f>
        <v>30.6</v>
      </c>
    </row>
    <row r="3202" customFormat="false" ht="15" hidden="false" customHeight="false" outlineLevel="0" collapsed="false">
      <c r="A3202" s="9" t="s">
        <v>1538</v>
      </c>
      <c r="B3202" s="9" t="s">
        <v>388</v>
      </c>
      <c r="C3202" s="9" t="n">
        <v>12</v>
      </c>
      <c r="D3202" s="10" t="n">
        <v>2.1</v>
      </c>
      <c r="E3202" s="10" t="n">
        <f aca="false">C3202*D3202</f>
        <v>25.2</v>
      </c>
    </row>
    <row r="3203" customFormat="false" ht="15" hidden="false" customHeight="false" outlineLevel="0" collapsed="false">
      <c r="A3203" s="9" t="s">
        <v>1538</v>
      </c>
      <c r="B3203" s="9" t="s">
        <v>1533</v>
      </c>
      <c r="C3203" s="9" t="n">
        <v>48</v>
      </c>
      <c r="D3203" s="10" t="n">
        <v>0.29</v>
      </c>
      <c r="E3203" s="10" t="n">
        <f aca="false">C3203*D3203</f>
        <v>13.92</v>
      </c>
    </row>
    <row r="3204" customFormat="false" ht="15" hidden="false" customHeight="false" outlineLevel="0" collapsed="false">
      <c r="A3204" s="9" t="s">
        <v>1538</v>
      </c>
      <c r="B3204" s="9" t="s">
        <v>1540</v>
      </c>
      <c r="C3204" s="9" t="n">
        <v>12</v>
      </c>
      <c r="D3204" s="10" t="n">
        <v>1.25</v>
      </c>
      <c r="E3204" s="10" t="n">
        <f aca="false">C3204*D3204</f>
        <v>15</v>
      </c>
    </row>
    <row r="3205" customFormat="false" ht="15" hidden="false" customHeight="false" outlineLevel="0" collapsed="false">
      <c r="A3205" s="9" t="s">
        <v>1538</v>
      </c>
      <c r="B3205" s="9" t="s">
        <v>198</v>
      </c>
      <c r="C3205" s="9" t="n">
        <v>24</v>
      </c>
      <c r="D3205" s="10" t="n">
        <v>1.95</v>
      </c>
      <c r="E3205" s="10" t="n">
        <f aca="false">C3205*D3205</f>
        <v>46.8</v>
      </c>
    </row>
    <row r="3206" customFormat="false" ht="15" hidden="false" customHeight="false" outlineLevel="0" collapsed="false">
      <c r="A3206" s="9" t="s">
        <v>1538</v>
      </c>
      <c r="B3206" s="9" t="s">
        <v>487</v>
      </c>
      <c r="C3206" s="9" t="n">
        <v>48</v>
      </c>
      <c r="D3206" s="10" t="n">
        <v>0.55</v>
      </c>
      <c r="E3206" s="10" t="n">
        <f aca="false">C3206*D3206</f>
        <v>26.4</v>
      </c>
    </row>
    <row r="3207" customFormat="false" ht="15" hidden="false" customHeight="false" outlineLevel="0" collapsed="false">
      <c r="A3207" s="9" t="s">
        <v>1538</v>
      </c>
      <c r="B3207" s="9" t="s">
        <v>1541</v>
      </c>
      <c r="C3207" s="9" t="n">
        <v>40</v>
      </c>
      <c r="D3207" s="10" t="n">
        <v>0.42</v>
      </c>
      <c r="E3207" s="10" t="n">
        <f aca="false">C3207*D3207</f>
        <v>16.8</v>
      </c>
    </row>
    <row r="3208" customFormat="false" ht="15" hidden="false" customHeight="false" outlineLevel="0" collapsed="false">
      <c r="A3208" s="9" t="s">
        <v>1538</v>
      </c>
      <c r="B3208" s="9" t="s">
        <v>396</v>
      </c>
      <c r="C3208" s="9" t="n">
        <v>24</v>
      </c>
      <c r="D3208" s="10" t="n">
        <v>0.85</v>
      </c>
      <c r="E3208" s="10" t="n">
        <f aca="false">C3208*D3208</f>
        <v>20.4</v>
      </c>
    </row>
    <row r="3209" customFormat="false" ht="15" hidden="false" customHeight="false" outlineLevel="0" collapsed="false">
      <c r="A3209" s="9" t="s">
        <v>1538</v>
      </c>
      <c r="B3209" s="9" t="s">
        <v>387</v>
      </c>
      <c r="C3209" s="9" t="n">
        <v>36</v>
      </c>
      <c r="D3209" s="10" t="n">
        <v>1.25</v>
      </c>
      <c r="E3209" s="10" t="n">
        <f aca="false">C3209*D3209</f>
        <v>45</v>
      </c>
    </row>
    <row r="3210" customFormat="false" ht="15" hidden="false" customHeight="false" outlineLevel="0" collapsed="false">
      <c r="A3210" s="9" t="s">
        <v>1538</v>
      </c>
      <c r="B3210" s="9" t="s">
        <v>79</v>
      </c>
      <c r="C3210" s="9" t="n">
        <v>24</v>
      </c>
      <c r="D3210" s="10" t="n">
        <v>1.25</v>
      </c>
      <c r="E3210" s="10" t="n">
        <f aca="false">C3210*D3210</f>
        <v>30</v>
      </c>
    </row>
    <row r="3211" customFormat="false" ht="15" hidden="false" customHeight="false" outlineLevel="0" collapsed="false">
      <c r="A3211" s="9" t="s">
        <v>1538</v>
      </c>
      <c r="B3211" s="9" t="s">
        <v>230</v>
      </c>
      <c r="C3211" s="9" t="n">
        <v>24</v>
      </c>
      <c r="D3211" s="10" t="n">
        <v>1.65</v>
      </c>
      <c r="E3211" s="10" t="n">
        <f aca="false">C3211*D3211</f>
        <v>39.6</v>
      </c>
    </row>
    <row r="3212" customFormat="false" ht="15" hidden="false" customHeight="false" outlineLevel="0" collapsed="false">
      <c r="A3212" s="9" t="s">
        <v>1538</v>
      </c>
      <c r="B3212" s="9" t="s">
        <v>231</v>
      </c>
      <c r="C3212" s="9" t="n">
        <v>48</v>
      </c>
      <c r="D3212" s="10" t="n">
        <v>0.85</v>
      </c>
      <c r="E3212" s="10" t="n">
        <f aca="false">C3212*D3212</f>
        <v>40.8</v>
      </c>
    </row>
    <row r="3213" customFormat="false" ht="15" hidden="false" customHeight="false" outlineLevel="0" collapsed="false">
      <c r="A3213" s="9" t="s">
        <v>1538</v>
      </c>
      <c r="B3213" s="9" t="s">
        <v>811</v>
      </c>
      <c r="C3213" s="9" t="n">
        <v>24</v>
      </c>
      <c r="D3213" s="10" t="n">
        <v>1.65</v>
      </c>
      <c r="E3213" s="10" t="n">
        <f aca="false">C3213*D3213</f>
        <v>39.6</v>
      </c>
    </row>
    <row r="3214" customFormat="false" ht="15" hidden="false" customHeight="false" outlineLevel="0" collapsed="false">
      <c r="A3214" s="9" t="s">
        <v>1538</v>
      </c>
      <c r="B3214" s="9" t="s">
        <v>810</v>
      </c>
      <c r="C3214" s="9" t="n">
        <v>24</v>
      </c>
      <c r="D3214" s="10" t="n">
        <v>1.65</v>
      </c>
      <c r="E3214" s="10" t="n">
        <f aca="false">C3214*D3214</f>
        <v>39.6</v>
      </c>
    </row>
    <row r="3215" customFormat="false" ht="15" hidden="false" customHeight="false" outlineLevel="0" collapsed="false">
      <c r="A3215" s="9" t="s">
        <v>1538</v>
      </c>
      <c r="B3215" s="9" t="s">
        <v>476</v>
      </c>
      <c r="C3215" s="9" t="n">
        <v>24</v>
      </c>
      <c r="D3215" s="10" t="n">
        <v>1.65</v>
      </c>
      <c r="E3215" s="10" t="n">
        <f aca="false">C3215*D3215</f>
        <v>39.6</v>
      </c>
    </row>
    <row r="3216" customFormat="false" ht="15" hidden="false" customHeight="false" outlineLevel="0" collapsed="false">
      <c r="A3216" s="9" t="s">
        <v>1538</v>
      </c>
      <c r="B3216" s="9" t="s">
        <v>285</v>
      </c>
      <c r="C3216" s="9" t="n">
        <v>24</v>
      </c>
      <c r="D3216" s="10" t="n">
        <v>1.25</v>
      </c>
      <c r="E3216" s="10" t="n">
        <f aca="false">C3216*D3216</f>
        <v>30</v>
      </c>
    </row>
    <row r="3217" customFormat="false" ht="15" hidden="false" customHeight="false" outlineLevel="0" collapsed="false">
      <c r="A3217" s="9" t="s">
        <v>1538</v>
      </c>
      <c r="B3217" s="9" t="s">
        <v>1050</v>
      </c>
      <c r="C3217" s="9" t="n">
        <v>24</v>
      </c>
      <c r="D3217" s="10" t="n">
        <v>0.65</v>
      </c>
      <c r="E3217" s="10" t="n">
        <f aca="false">C3217*D3217</f>
        <v>15.6</v>
      </c>
    </row>
    <row r="3218" customFormat="false" ht="15" hidden="false" customHeight="false" outlineLevel="0" collapsed="false">
      <c r="A3218" s="9" t="s">
        <v>1538</v>
      </c>
      <c r="B3218" s="9" t="s">
        <v>384</v>
      </c>
      <c r="C3218" s="9" t="n">
        <v>24</v>
      </c>
      <c r="D3218" s="10" t="n">
        <v>1.25</v>
      </c>
      <c r="E3218" s="10" t="n">
        <f aca="false">C3218*D3218</f>
        <v>30</v>
      </c>
    </row>
    <row r="3219" customFormat="false" ht="15" hidden="false" customHeight="false" outlineLevel="0" collapsed="false">
      <c r="A3219" s="9" t="s">
        <v>1542</v>
      </c>
      <c r="B3219" s="9" t="s">
        <v>128</v>
      </c>
      <c r="C3219" s="9" t="n">
        <v>36</v>
      </c>
      <c r="D3219" s="10" t="n">
        <v>1.45</v>
      </c>
      <c r="E3219" s="10" t="n">
        <f aca="false">C3219*D3219</f>
        <v>52.2</v>
      </c>
    </row>
    <row r="3220" customFormat="false" ht="15" hidden="false" customHeight="false" outlineLevel="0" collapsed="false">
      <c r="A3220" s="9" t="s">
        <v>1542</v>
      </c>
      <c r="B3220" s="9" t="s">
        <v>63</v>
      </c>
      <c r="C3220" s="9" t="n">
        <v>12</v>
      </c>
      <c r="D3220" s="10" t="n">
        <v>3.75</v>
      </c>
      <c r="E3220" s="10" t="n">
        <f aca="false">C3220*D3220</f>
        <v>45</v>
      </c>
    </row>
    <row r="3221" customFormat="false" ht="15" hidden="false" customHeight="false" outlineLevel="0" collapsed="false">
      <c r="A3221" s="9" t="s">
        <v>1543</v>
      </c>
      <c r="B3221" s="9" t="s">
        <v>1544</v>
      </c>
      <c r="C3221" s="9" t="n">
        <v>12</v>
      </c>
      <c r="D3221" s="10" t="n">
        <v>0.85</v>
      </c>
      <c r="E3221" s="10" t="n">
        <f aca="false">C3221*D3221</f>
        <v>10.2</v>
      </c>
    </row>
    <row r="3222" customFormat="false" ht="15" hidden="false" customHeight="false" outlineLevel="0" collapsed="false">
      <c r="A3222" s="9" t="s">
        <v>1543</v>
      </c>
      <c r="B3222" s="9" t="s">
        <v>718</v>
      </c>
      <c r="C3222" s="9" t="n">
        <v>3</v>
      </c>
      <c r="D3222" s="10" t="n">
        <v>4.95</v>
      </c>
      <c r="E3222" s="10" t="n">
        <f aca="false">C3222*D3222</f>
        <v>14.85</v>
      </c>
    </row>
    <row r="3223" customFormat="false" ht="15" hidden="false" customHeight="false" outlineLevel="0" collapsed="false">
      <c r="A3223" s="9" t="s">
        <v>1543</v>
      </c>
      <c r="B3223" s="9" t="s">
        <v>1545</v>
      </c>
      <c r="C3223" s="9" t="n">
        <v>12</v>
      </c>
      <c r="D3223" s="10" t="n">
        <v>0.65</v>
      </c>
      <c r="E3223" s="10" t="n">
        <f aca="false">C3223*D3223</f>
        <v>7.8</v>
      </c>
    </row>
    <row r="3224" customFormat="false" ht="15" hidden="false" customHeight="false" outlineLevel="0" collapsed="false">
      <c r="A3224" s="9" t="s">
        <v>1543</v>
      </c>
      <c r="B3224" s="9" t="s">
        <v>81</v>
      </c>
      <c r="C3224" s="9" t="n">
        <v>24</v>
      </c>
      <c r="D3224" s="10" t="n">
        <v>0.65</v>
      </c>
      <c r="E3224" s="10" t="n">
        <f aca="false">C3224*D3224</f>
        <v>15.6</v>
      </c>
    </row>
    <row r="3225" customFormat="false" ht="15" hidden="false" customHeight="false" outlineLevel="0" collapsed="false">
      <c r="A3225" s="9" t="s">
        <v>1543</v>
      </c>
      <c r="B3225" s="9" t="s">
        <v>1546</v>
      </c>
      <c r="C3225" s="9" t="n">
        <v>60</v>
      </c>
      <c r="D3225" s="10" t="n">
        <v>0.85</v>
      </c>
      <c r="E3225" s="10" t="n">
        <f aca="false">C3225*D3225</f>
        <v>51</v>
      </c>
    </row>
    <row r="3226" customFormat="false" ht="15" hidden="false" customHeight="false" outlineLevel="0" collapsed="false">
      <c r="A3226" s="9" t="s">
        <v>1543</v>
      </c>
      <c r="B3226" s="9" t="s">
        <v>82</v>
      </c>
      <c r="C3226" s="9" t="n">
        <v>12</v>
      </c>
      <c r="D3226" s="10" t="n">
        <v>0.85</v>
      </c>
      <c r="E3226" s="10" t="n">
        <f aca="false">C3226*D3226</f>
        <v>10.2</v>
      </c>
    </row>
    <row r="3227" customFormat="false" ht="15" hidden="false" customHeight="false" outlineLevel="0" collapsed="false">
      <c r="A3227" s="9" t="s">
        <v>1543</v>
      </c>
      <c r="B3227" s="9" t="s">
        <v>1003</v>
      </c>
      <c r="C3227" s="9" t="n">
        <v>12</v>
      </c>
      <c r="D3227" s="10" t="n">
        <v>0.85</v>
      </c>
      <c r="E3227" s="10" t="n">
        <f aca="false">C3227*D3227</f>
        <v>10.2</v>
      </c>
    </row>
    <row r="3228" customFormat="false" ht="15" hidden="false" customHeight="false" outlineLevel="0" collapsed="false">
      <c r="A3228" s="9" t="s">
        <v>1543</v>
      </c>
      <c r="B3228" s="9" t="s">
        <v>1547</v>
      </c>
      <c r="C3228" s="9" t="n">
        <v>12</v>
      </c>
      <c r="D3228" s="10" t="n">
        <v>0.85</v>
      </c>
      <c r="E3228" s="10" t="n">
        <f aca="false">C3228*D3228</f>
        <v>10.2</v>
      </c>
    </row>
    <row r="3229" customFormat="false" ht="15" hidden="false" customHeight="false" outlineLevel="0" collapsed="false">
      <c r="A3229" s="9" t="s">
        <v>1543</v>
      </c>
      <c r="B3229" s="9" t="s">
        <v>340</v>
      </c>
      <c r="C3229" s="9" t="n">
        <v>12</v>
      </c>
      <c r="D3229" s="10" t="n">
        <v>0.85</v>
      </c>
      <c r="E3229" s="10" t="n">
        <f aca="false">C3229*D3229</f>
        <v>10.2</v>
      </c>
    </row>
    <row r="3230" customFormat="false" ht="15" hidden="false" customHeight="false" outlineLevel="0" collapsed="false">
      <c r="A3230" s="9" t="s">
        <v>1543</v>
      </c>
      <c r="B3230" s="9" t="s">
        <v>354</v>
      </c>
      <c r="C3230" s="9" t="n">
        <v>12</v>
      </c>
      <c r="D3230" s="10" t="n">
        <v>0.85</v>
      </c>
      <c r="E3230" s="10" t="n">
        <f aca="false">C3230*D3230</f>
        <v>10.2</v>
      </c>
    </row>
    <row r="3231" customFormat="false" ht="15" hidden="false" customHeight="false" outlineLevel="0" collapsed="false">
      <c r="A3231" s="9" t="s">
        <v>1543</v>
      </c>
      <c r="B3231" s="9" t="s">
        <v>1548</v>
      </c>
      <c r="C3231" s="9" t="n">
        <v>12</v>
      </c>
      <c r="D3231" s="10" t="n">
        <v>0.85</v>
      </c>
      <c r="E3231" s="10" t="n">
        <f aca="false">C3231*D3231</f>
        <v>10.2</v>
      </c>
    </row>
    <row r="3232" customFormat="false" ht="15" hidden="false" customHeight="false" outlineLevel="0" collapsed="false">
      <c r="A3232" s="9" t="s">
        <v>1543</v>
      </c>
      <c r="B3232" s="9" t="s">
        <v>466</v>
      </c>
      <c r="C3232" s="9" t="n">
        <v>12</v>
      </c>
      <c r="D3232" s="10" t="n">
        <v>0.65</v>
      </c>
      <c r="E3232" s="10" t="n">
        <f aca="false">C3232*D3232</f>
        <v>7.8</v>
      </c>
    </row>
    <row r="3233" customFormat="false" ht="15" hidden="false" customHeight="false" outlineLevel="0" collapsed="false">
      <c r="A3233" s="9" t="s">
        <v>1543</v>
      </c>
      <c r="B3233" s="9" t="s">
        <v>353</v>
      </c>
      <c r="C3233" s="9" t="n">
        <v>12</v>
      </c>
      <c r="D3233" s="10" t="n">
        <v>1.25</v>
      </c>
      <c r="E3233" s="10" t="n">
        <f aca="false">C3233*D3233</f>
        <v>15</v>
      </c>
    </row>
    <row r="3234" customFormat="false" ht="15" hidden="false" customHeight="false" outlineLevel="0" collapsed="false">
      <c r="A3234" s="9" t="s">
        <v>1543</v>
      </c>
      <c r="B3234" s="9" t="s">
        <v>315</v>
      </c>
      <c r="C3234" s="9" t="n">
        <v>12</v>
      </c>
      <c r="D3234" s="10" t="n">
        <v>1.25</v>
      </c>
      <c r="E3234" s="10" t="n">
        <f aca="false">C3234*D3234</f>
        <v>15</v>
      </c>
    </row>
    <row r="3235" customFormat="false" ht="15" hidden="false" customHeight="false" outlineLevel="0" collapsed="false">
      <c r="A3235" s="9" t="s">
        <v>1543</v>
      </c>
      <c r="B3235" s="9" t="s">
        <v>745</v>
      </c>
      <c r="C3235" s="9" t="n">
        <v>6</v>
      </c>
      <c r="D3235" s="10" t="n">
        <v>2.95</v>
      </c>
      <c r="E3235" s="10" t="n">
        <f aca="false">C3235*D3235</f>
        <v>17.7</v>
      </c>
    </row>
    <row r="3236" customFormat="false" ht="15" hidden="false" customHeight="false" outlineLevel="0" collapsed="false">
      <c r="A3236" s="9" t="s">
        <v>1543</v>
      </c>
      <c r="B3236" s="9" t="s">
        <v>591</v>
      </c>
      <c r="C3236" s="9" t="n">
        <v>6</v>
      </c>
      <c r="D3236" s="10" t="n">
        <v>2.95</v>
      </c>
      <c r="E3236" s="10" t="n">
        <f aca="false">C3236*D3236</f>
        <v>17.7</v>
      </c>
    </row>
    <row r="3237" customFormat="false" ht="15" hidden="false" customHeight="false" outlineLevel="0" collapsed="false">
      <c r="A3237" s="9" t="s">
        <v>1543</v>
      </c>
      <c r="B3237" s="9" t="s">
        <v>128</v>
      </c>
      <c r="C3237" s="9" t="n">
        <v>12</v>
      </c>
      <c r="D3237" s="10" t="n">
        <v>1.45</v>
      </c>
      <c r="E3237" s="10" t="n">
        <f aca="false">C3237*D3237</f>
        <v>17.4</v>
      </c>
    </row>
    <row r="3238" customFormat="false" ht="15" hidden="false" customHeight="false" outlineLevel="0" collapsed="false">
      <c r="A3238" s="9" t="s">
        <v>1543</v>
      </c>
      <c r="B3238" s="9" t="s">
        <v>113</v>
      </c>
      <c r="C3238" s="9" t="n">
        <v>120</v>
      </c>
      <c r="D3238" s="10" t="n">
        <v>0.42</v>
      </c>
      <c r="E3238" s="10" t="n">
        <f aca="false">C3238*D3238</f>
        <v>50.4</v>
      </c>
    </row>
    <row r="3239" customFormat="false" ht="15" hidden="false" customHeight="false" outlineLevel="0" collapsed="false">
      <c r="A3239" s="9" t="s">
        <v>1543</v>
      </c>
      <c r="B3239" s="9" t="s">
        <v>114</v>
      </c>
      <c r="C3239" s="9" t="n">
        <v>120</v>
      </c>
      <c r="D3239" s="10" t="n">
        <v>0.42</v>
      </c>
      <c r="E3239" s="10" t="n">
        <f aca="false">C3239*D3239</f>
        <v>50.4</v>
      </c>
    </row>
    <row r="3240" customFormat="false" ht="15" hidden="false" customHeight="false" outlineLevel="0" collapsed="false">
      <c r="A3240" s="9" t="s">
        <v>1543</v>
      </c>
      <c r="B3240" s="9" t="s">
        <v>116</v>
      </c>
      <c r="C3240" s="9" t="n">
        <v>120</v>
      </c>
      <c r="D3240" s="10" t="n">
        <v>0.42</v>
      </c>
      <c r="E3240" s="10" t="n">
        <f aca="false">C3240*D3240</f>
        <v>50.4</v>
      </c>
    </row>
    <row r="3241" customFormat="false" ht="15" hidden="false" customHeight="false" outlineLevel="0" collapsed="false">
      <c r="A3241" s="9" t="s">
        <v>1543</v>
      </c>
      <c r="B3241" s="9" t="s">
        <v>1549</v>
      </c>
      <c r="C3241" s="9" t="n">
        <v>120</v>
      </c>
      <c r="D3241" s="10" t="n">
        <v>0.42</v>
      </c>
      <c r="E3241" s="10" t="n">
        <f aca="false">C3241*D3241</f>
        <v>50.4</v>
      </c>
    </row>
    <row r="3242" customFormat="false" ht="15" hidden="false" customHeight="false" outlineLevel="0" collapsed="false">
      <c r="A3242" s="9" t="s">
        <v>1543</v>
      </c>
      <c r="B3242" s="9" t="s">
        <v>1263</v>
      </c>
      <c r="C3242" s="9" t="n">
        <v>6</v>
      </c>
      <c r="D3242" s="10" t="n">
        <v>2.1</v>
      </c>
      <c r="E3242" s="10" t="n">
        <f aca="false">C3242*D3242</f>
        <v>12.6</v>
      </c>
    </row>
    <row r="3243" customFormat="false" ht="15" hidden="false" customHeight="false" outlineLevel="0" collapsed="false">
      <c r="A3243" s="9" t="s">
        <v>1543</v>
      </c>
      <c r="B3243" s="9" t="s">
        <v>316</v>
      </c>
      <c r="C3243" s="9" t="n">
        <v>12</v>
      </c>
      <c r="D3243" s="10" t="n">
        <v>1.65</v>
      </c>
      <c r="E3243" s="10" t="n">
        <f aca="false">C3243*D3243</f>
        <v>19.8</v>
      </c>
    </row>
    <row r="3244" customFormat="false" ht="15" hidden="false" customHeight="false" outlineLevel="0" collapsed="false">
      <c r="A3244" s="9" t="s">
        <v>1550</v>
      </c>
      <c r="B3244" s="9" t="s">
        <v>1551</v>
      </c>
      <c r="C3244" s="9" t="n">
        <v>24</v>
      </c>
      <c r="D3244" s="10" t="n">
        <v>0.85</v>
      </c>
      <c r="E3244" s="10" t="n">
        <f aca="false">C3244*D3244</f>
        <v>20.4</v>
      </c>
    </row>
    <row r="3245" customFormat="false" ht="15" hidden="false" customHeight="false" outlineLevel="0" collapsed="false">
      <c r="A3245" s="9" t="s">
        <v>1550</v>
      </c>
      <c r="B3245" s="9" t="s">
        <v>79</v>
      </c>
      <c r="C3245" s="9" t="n">
        <v>36</v>
      </c>
      <c r="D3245" s="10" t="n">
        <v>1.25</v>
      </c>
      <c r="E3245" s="10" t="n">
        <f aca="false">C3245*D3245</f>
        <v>45</v>
      </c>
    </row>
    <row r="3246" customFormat="false" ht="15" hidden="false" customHeight="false" outlineLevel="0" collapsed="false">
      <c r="A3246" s="9" t="s">
        <v>1550</v>
      </c>
      <c r="B3246" s="9" t="s">
        <v>42</v>
      </c>
      <c r="C3246" s="9" t="n">
        <v>12</v>
      </c>
      <c r="D3246" s="10" t="n">
        <v>8.5</v>
      </c>
      <c r="E3246" s="10" t="n">
        <f aca="false">C3246*D3246</f>
        <v>102</v>
      </c>
    </row>
    <row r="3247" customFormat="false" ht="15" hidden="false" customHeight="false" outlineLevel="0" collapsed="false">
      <c r="A3247" s="9" t="s">
        <v>1550</v>
      </c>
      <c r="B3247" s="9" t="s">
        <v>817</v>
      </c>
      <c r="C3247" s="9" t="n">
        <v>12</v>
      </c>
      <c r="D3247" s="10" t="n">
        <v>1.65</v>
      </c>
      <c r="E3247" s="10" t="n">
        <f aca="false">C3247*D3247</f>
        <v>19.8</v>
      </c>
    </row>
    <row r="3248" customFormat="false" ht="15" hidden="false" customHeight="false" outlineLevel="0" collapsed="false">
      <c r="A3248" s="9" t="s">
        <v>1550</v>
      </c>
      <c r="B3248" s="9" t="s">
        <v>1459</v>
      </c>
      <c r="C3248" s="9" t="n">
        <v>48</v>
      </c>
      <c r="D3248" s="10" t="n">
        <v>0.42</v>
      </c>
      <c r="E3248" s="10" t="n">
        <f aca="false">C3248*D3248</f>
        <v>20.16</v>
      </c>
    </row>
    <row r="3249" customFormat="false" ht="15" hidden="false" customHeight="false" outlineLevel="0" collapsed="false">
      <c r="A3249" s="9" t="s">
        <v>1550</v>
      </c>
      <c r="B3249" s="9" t="s">
        <v>506</v>
      </c>
      <c r="C3249" s="9" t="n">
        <v>48</v>
      </c>
      <c r="D3249" s="10" t="n">
        <v>0.85</v>
      </c>
      <c r="E3249" s="10" t="n">
        <f aca="false">C3249*D3249</f>
        <v>40.8</v>
      </c>
    </row>
    <row r="3250" customFormat="false" ht="15" hidden="false" customHeight="false" outlineLevel="0" collapsed="false">
      <c r="A3250" s="9" t="s">
        <v>1550</v>
      </c>
      <c r="B3250" s="9" t="s">
        <v>1120</v>
      </c>
      <c r="C3250" s="9" t="n">
        <v>12</v>
      </c>
      <c r="D3250" s="10" t="n">
        <v>0.65</v>
      </c>
      <c r="E3250" s="10" t="n">
        <f aca="false">C3250*D3250</f>
        <v>7.8</v>
      </c>
    </row>
    <row r="3251" customFormat="false" ht="15" hidden="false" customHeight="false" outlineLevel="0" collapsed="false">
      <c r="A3251" s="9" t="s">
        <v>1550</v>
      </c>
      <c r="B3251" s="9" t="s">
        <v>1426</v>
      </c>
      <c r="C3251" s="9" t="n">
        <v>10</v>
      </c>
      <c r="D3251" s="10" t="n">
        <v>1.25</v>
      </c>
      <c r="E3251" s="10" t="n">
        <f aca="false">C3251*D3251</f>
        <v>12.5</v>
      </c>
    </row>
    <row r="3252" customFormat="false" ht="15" hidden="false" customHeight="false" outlineLevel="0" collapsed="false">
      <c r="A3252" s="9" t="s">
        <v>1550</v>
      </c>
      <c r="B3252" s="9" t="s">
        <v>69</v>
      </c>
      <c r="C3252" s="9" t="n">
        <v>72</v>
      </c>
      <c r="D3252" s="10" t="n">
        <v>0.65</v>
      </c>
      <c r="E3252" s="10" t="n">
        <f aca="false">C3252*D3252</f>
        <v>46.8</v>
      </c>
    </row>
    <row r="3253" customFormat="false" ht="15" hidden="false" customHeight="false" outlineLevel="0" collapsed="false">
      <c r="A3253" s="9" t="s">
        <v>1550</v>
      </c>
      <c r="B3253" s="9" t="s">
        <v>314</v>
      </c>
      <c r="C3253" s="9" t="n">
        <v>24</v>
      </c>
      <c r="D3253" s="10" t="n">
        <v>1.45</v>
      </c>
      <c r="E3253" s="10" t="n">
        <f aca="false">C3253*D3253</f>
        <v>34.8</v>
      </c>
    </row>
    <row r="3254" customFormat="false" ht="15" hidden="false" customHeight="false" outlineLevel="0" collapsed="false">
      <c r="A3254" s="9" t="s">
        <v>1552</v>
      </c>
      <c r="B3254" s="9" t="s">
        <v>154</v>
      </c>
      <c r="C3254" s="9" t="n">
        <v>12</v>
      </c>
      <c r="D3254" s="10" t="n">
        <v>1.25</v>
      </c>
      <c r="E3254" s="10" t="n">
        <f aca="false">C3254*D3254</f>
        <v>15</v>
      </c>
    </row>
    <row r="3255" customFormat="false" ht="15" hidden="false" customHeight="false" outlineLevel="0" collapsed="false">
      <c r="A3255" s="9" t="s">
        <v>1552</v>
      </c>
      <c r="B3255" s="9" t="s">
        <v>276</v>
      </c>
      <c r="C3255" s="9" t="n">
        <v>4</v>
      </c>
      <c r="D3255" s="10" t="n">
        <v>7.95</v>
      </c>
      <c r="E3255" s="10" t="n">
        <f aca="false">C3255*D3255</f>
        <v>31.8</v>
      </c>
    </row>
    <row r="3256" customFormat="false" ht="15" hidden="false" customHeight="false" outlineLevel="0" collapsed="false">
      <c r="A3256" s="9" t="s">
        <v>1552</v>
      </c>
      <c r="B3256" s="9" t="s">
        <v>48</v>
      </c>
      <c r="C3256" s="9" t="n">
        <v>4</v>
      </c>
      <c r="D3256" s="10" t="n">
        <v>7.95</v>
      </c>
      <c r="E3256" s="10" t="n">
        <f aca="false">C3256*D3256</f>
        <v>31.8</v>
      </c>
    </row>
    <row r="3257" customFormat="false" ht="15" hidden="false" customHeight="false" outlineLevel="0" collapsed="false">
      <c r="A3257" s="9" t="s">
        <v>1552</v>
      </c>
      <c r="B3257" s="9" t="s">
        <v>94</v>
      </c>
      <c r="C3257" s="9" t="n">
        <v>12</v>
      </c>
      <c r="D3257" s="10" t="n">
        <v>2.95</v>
      </c>
      <c r="E3257" s="10" t="n">
        <f aca="false">C3257*D3257</f>
        <v>35.4</v>
      </c>
    </row>
    <row r="3258" customFormat="false" ht="15" hidden="false" customHeight="false" outlineLevel="0" collapsed="false">
      <c r="A3258" s="9" t="s">
        <v>1552</v>
      </c>
      <c r="B3258" s="9" t="s">
        <v>1474</v>
      </c>
      <c r="C3258" s="9" t="n">
        <v>24</v>
      </c>
      <c r="D3258" s="10" t="n">
        <v>0.85</v>
      </c>
      <c r="E3258" s="10" t="n">
        <f aca="false">C3258*D3258</f>
        <v>20.4</v>
      </c>
    </row>
    <row r="3259" customFormat="false" ht="15" hidden="false" customHeight="false" outlineLevel="0" collapsed="false">
      <c r="A3259" s="9" t="s">
        <v>1552</v>
      </c>
      <c r="B3259" s="9" t="s">
        <v>183</v>
      </c>
      <c r="C3259" s="9" t="n">
        <v>32</v>
      </c>
      <c r="D3259" s="10" t="n">
        <v>0.65</v>
      </c>
      <c r="E3259" s="10" t="n">
        <f aca="false">C3259*D3259</f>
        <v>20.8</v>
      </c>
    </row>
    <row r="3260" customFormat="false" ht="15" hidden="false" customHeight="false" outlineLevel="0" collapsed="false">
      <c r="A3260" s="9" t="s">
        <v>1552</v>
      </c>
      <c r="B3260" s="9" t="s">
        <v>1553</v>
      </c>
      <c r="C3260" s="9" t="n">
        <v>24</v>
      </c>
      <c r="D3260" s="10" t="n">
        <v>1.25</v>
      </c>
      <c r="E3260" s="10" t="n">
        <f aca="false">C3260*D3260</f>
        <v>30</v>
      </c>
    </row>
    <row r="3261" customFormat="false" ht="15" hidden="false" customHeight="false" outlineLevel="0" collapsed="false">
      <c r="A3261" s="9" t="s">
        <v>1552</v>
      </c>
      <c r="B3261" s="9" t="s">
        <v>394</v>
      </c>
      <c r="C3261" s="9" t="n">
        <v>24</v>
      </c>
      <c r="D3261" s="10" t="n">
        <v>0.95</v>
      </c>
      <c r="E3261" s="10" t="n">
        <f aca="false">C3261*D3261</f>
        <v>22.8</v>
      </c>
    </row>
    <row r="3262" customFormat="false" ht="15" hidden="false" customHeight="false" outlineLevel="0" collapsed="false">
      <c r="A3262" s="9" t="s">
        <v>1552</v>
      </c>
      <c r="B3262" s="9" t="s">
        <v>1151</v>
      </c>
      <c r="C3262" s="9" t="n">
        <v>6</v>
      </c>
      <c r="D3262" s="10" t="n">
        <v>1.95</v>
      </c>
      <c r="E3262" s="10" t="n">
        <f aca="false">C3262*D3262</f>
        <v>11.7</v>
      </c>
    </row>
    <row r="3263" customFormat="false" ht="15" hidden="false" customHeight="false" outlineLevel="0" collapsed="false">
      <c r="A3263" s="9" t="s">
        <v>1552</v>
      </c>
      <c r="B3263" s="9" t="s">
        <v>1554</v>
      </c>
      <c r="C3263" s="9" t="n">
        <v>6</v>
      </c>
      <c r="D3263" s="10" t="n">
        <v>1.95</v>
      </c>
      <c r="E3263" s="10" t="n">
        <f aca="false">C3263*D3263</f>
        <v>11.7</v>
      </c>
    </row>
    <row r="3264" customFormat="false" ht="15" hidden="false" customHeight="false" outlineLevel="0" collapsed="false">
      <c r="A3264" s="9" t="s">
        <v>1552</v>
      </c>
      <c r="B3264" s="9" t="s">
        <v>95</v>
      </c>
      <c r="C3264" s="9" t="n">
        <v>12</v>
      </c>
      <c r="D3264" s="10" t="n">
        <v>1.25</v>
      </c>
      <c r="E3264" s="10" t="n">
        <f aca="false">C3264*D3264</f>
        <v>15</v>
      </c>
    </row>
    <row r="3265" customFormat="false" ht="15" hidden="false" customHeight="false" outlineLevel="0" collapsed="false">
      <c r="A3265" s="9" t="s">
        <v>1552</v>
      </c>
      <c r="B3265" s="9" t="s">
        <v>1555</v>
      </c>
      <c r="C3265" s="9" t="n">
        <v>6</v>
      </c>
      <c r="D3265" s="10" t="n">
        <v>2.95</v>
      </c>
      <c r="E3265" s="10" t="n">
        <f aca="false">C3265*D3265</f>
        <v>17.7</v>
      </c>
    </row>
    <row r="3266" customFormat="false" ht="15" hidden="false" customHeight="false" outlineLevel="0" collapsed="false">
      <c r="A3266" s="9" t="s">
        <v>1552</v>
      </c>
      <c r="B3266" s="9" t="s">
        <v>92</v>
      </c>
      <c r="C3266" s="9" t="n">
        <v>4</v>
      </c>
      <c r="D3266" s="10" t="n">
        <v>7.95</v>
      </c>
      <c r="E3266" s="10" t="n">
        <f aca="false">C3266*D3266</f>
        <v>31.8</v>
      </c>
    </row>
    <row r="3267" customFormat="false" ht="15" hidden="false" customHeight="false" outlineLevel="0" collapsed="false">
      <c r="A3267" s="9" t="s">
        <v>1552</v>
      </c>
      <c r="B3267" s="9" t="s">
        <v>93</v>
      </c>
      <c r="C3267" s="9" t="n">
        <v>4</v>
      </c>
      <c r="D3267" s="10" t="n">
        <v>5.95</v>
      </c>
      <c r="E3267" s="10" t="n">
        <f aca="false">C3267*D3267</f>
        <v>23.8</v>
      </c>
    </row>
    <row r="3268" customFormat="false" ht="15" hidden="false" customHeight="false" outlineLevel="0" collapsed="false">
      <c r="A3268" s="9" t="s">
        <v>1552</v>
      </c>
      <c r="B3268" s="9" t="s">
        <v>99</v>
      </c>
      <c r="C3268" s="9" t="n">
        <v>12</v>
      </c>
      <c r="D3268" s="10" t="n">
        <v>1.25</v>
      </c>
      <c r="E3268" s="10" t="n">
        <f aca="false">C3268*D3268</f>
        <v>15</v>
      </c>
    </row>
    <row r="3269" customFormat="false" ht="15" hidden="false" customHeight="false" outlineLevel="0" collapsed="false">
      <c r="A3269" s="9" t="s">
        <v>1552</v>
      </c>
      <c r="B3269" s="9" t="s">
        <v>1045</v>
      </c>
      <c r="C3269" s="9" t="n">
        <v>12</v>
      </c>
      <c r="D3269" s="10" t="n">
        <v>1.25</v>
      </c>
      <c r="E3269" s="10" t="n">
        <f aca="false">C3269*D3269</f>
        <v>15</v>
      </c>
    </row>
    <row r="3270" customFormat="false" ht="15" hidden="false" customHeight="false" outlineLevel="0" collapsed="false">
      <c r="A3270" s="9" t="s">
        <v>1552</v>
      </c>
      <c r="B3270" s="9" t="s">
        <v>1044</v>
      </c>
      <c r="C3270" s="9" t="n">
        <v>12</v>
      </c>
      <c r="D3270" s="10" t="n">
        <v>1.25</v>
      </c>
      <c r="E3270" s="10" t="n">
        <f aca="false">C3270*D3270</f>
        <v>15</v>
      </c>
    </row>
    <row r="3271" customFormat="false" ht="15" hidden="false" customHeight="false" outlineLevel="0" collapsed="false">
      <c r="A3271" s="9" t="s">
        <v>1552</v>
      </c>
      <c r="B3271" s="9" t="s">
        <v>421</v>
      </c>
      <c r="C3271" s="9" t="n">
        <v>12</v>
      </c>
      <c r="D3271" s="10" t="n">
        <v>1.65</v>
      </c>
      <c r="E3271" s="10" t="n">
        <f aca="false">C3271*D3271</f>
        <v>19.8</v>
      </c>
    </row>
    <row r="3272" customFormat="false" ht="15" hidden="false" customHeight="false" outlineLevel="0" collapsed="false">
      <c r="A3272" s="9" t="s">
        <v>1552</v>
      </c>
      <c r="B3272" s="9" t="s">
        <v>746</v>
      </c>
      <c r="C3272" s="9" t="n">
        <v>12</v>
      </c>
      <c r="D3272" s="10" t="n">
        <v>1.65</v>
      </c>
      <c r="E3272" s="10" t="n">
        <f aca="false">C3272*D3272</f>
        <v>19.8</v>
      </c>
    </row>
    <row r="3273" customFormat="false" ht="15" hidden="false" customHeight="false" outlineLevel="0" collapsed="false">
      <c r="A3273" s="9" t="s">
        <v>1552</v>
      </c>
      <c r="B3273" s="9" t="s">
        <v>1136</v>
      </c>
      <c r="C3273" s="9" t="n">
        <v>36</v>
      </c>
      <c r="D3273" s="10" t="n">
        <v>0.42</v>
      </c>
      <c r="E3273" s="10" t="n">
        <f aca="false">C3273*D3273</f>
        <v>15.12</v>
      </c>
    </row>
    <row r="3274" customFormat="false" ht="15" hidden="false" customHeight="false" outlineLevel="0" collapsed="false">
      <c r="A3274" s="9" t="s">
        <v>1552</v>
      </c>
      <c r="B3274" s="9" t="s">
        <v>503</v>
      </c>
      <c r="C3274" s="9" t="n">
        <v>12</v>
      </c>
      <c r="D3274" s="10" t="n">
        <v>1.25</v>
      </c>
      <c r="E3274" s="10" t="n">
        <f aca="false">C3274*D3274</f>
        <v>15</v>
      </c>
    </row>
    <row r="3275" customFormat="false" ht="15" hidden="false" customHeight="false" outlineLevel="0" collapsed="false">
      <c r="A3275" s="9" t="s">
        <v>1552</v>
      </c>
      <c r="B3275" s="9" t="s">
        <v>1556</v>
      </c>
      <c r="C3275" s="9" t="n">
        <v>6</v>
      </c>
      <c r="D3275" s="10" t="n">
        <v>1.95</v>
      </c>
      <c r="E3275" s="10" t="n">
        <f aca="false">C3275*D3275</f>
        <v>11.7</v>
      </c>
    </row>
    <row r="3276" customFormat="false" ht="15" hidden="false" customHeight="false" outlineLevel="0" collapsed="false">
      <c r="A3276" s="9" t="s">
        <v>1552</v>
      </c>
      <c r="B3276" s="9" t="s">
        <v>153</v>
      </c>
      <c r="C3276" s="9" t="n">
        <v>12</v>
      </c>
      <c r="D3276" s="10" t="n">
        <v>1.25</v>
      </c>
      <c r="E3276" s="10" t="n">
        <f aca="false">C3276*D3276</f>
        <v>15</v>
      </c>
    </row>
    <row r="3277" customFormat="false" ht="15" hidden="false" customHeight="false" outlineLevel="0" collapsed="false">
      <c r="A3277" s="9" t="s">
        <v>1552</v>
      </c>
      <c r="B3277" s="9" t="s">
        <v>357</v>
      </c>
      <c r="C3277" s="9" t="n">
        <v>12</v>
      </c>
      <c r="D3277" s="10" t="n">
        <v>1.25</v>
      </c>
      <c r="E3277" s="10" t="n">
        <f aca="false">C3277*D3277</f>
        <v>15</v>
      </c>
    </row>
    <row r="3278" customFormat="false" ht="15" hidden="false" customHeight="false" outlineLevel="0" collapsed="false">
      <c r="A3278" s="9" t="s">
        <v>1552</v>
      </c>
      <c r="B3278" s="9" t="s">
        <v>1557</v>
      </c>
      <c r="C3278" s="9" t="n">
        <v>12</v>
      </c>
      <c r="D3278" s="10" t="n">
        <v>1.25</v>
      </c>
      <c r="E3278" s="10" t="n">
        <f aca="false">C3278*D3278</f>
        <v>15</v>
      </c>
    </row>
    <row r="3279" customFormat="false" ht="15" hidden="false" customHeight="false" outlineLevel="0" collapsed="false">
      <c r="A3279" s="9" t="s">
        <v>1552</v>
      </c>
      <c r="B3279" s="9" t="s">
        <v>1558</v>
      </c>
      <c r="C3279" s="9" t="n">
        <v>24</v>
      </c>
      <c r="D3279" s="10" t="n">
        <v>1.25</v>
      </c>
      <c r="E3279" s="10" t="n">
        <f aca="false">C3279*D3279</f>
        <v>30</v>
      </c>
    </row>
    <row r="3280" customFormat="false" ht="15" hidden="false" customHeight="false" outlineLevel="0" collapsed="false">
      <c r="A3280" s="9" t="s">
        <v>1552</v>
      </c>
      <c r="B3280" s="9" t="s">
        <v>66</v>
      </c>
      <c r="C3280" s="9" t="n">
        <v>6</v>
      </c>
      <c r="D3280" s="10" t="n">
        <v>5.95</v>
      </c>
      <c r="E3280" s="10" t="n">
        <f aca="false">C3280*D3280</f>
        <v>35.7</v>
      </c>
    </row>
    <row r="3281" customFormat="false" ht="15" hidden="false" customHeight="false" outlineLevel="0" collapsed="false">
      <c r="A3281" s="9" t="s">
        <v>1552</v>
      </c>
      <c r="B3281" s="9" t="s">
        <v>1559</v>
      </c>
      <c r="C3281" s="9" t="n">
        <v>12</v>
      </c>
      <c r="D3281" s="10" t="n">
        <v>0.42</v>
      </c>
      <c r="E3281" s="10" t="n">
        <f aca="false">C3281*D3281</f>
        <v>5.04</v>
      </c>
    </row>
    <row r="3282" customFormat="false" ht="15" hidden="false" customHeight="false" outlineLevel="0" collapsed="false">
      <c r="A3282" s="9" t="s">
        <v>1552</v>
      </c>
      <c r="B3282" s="9" t="s">
        <v>823</v>
      </c>
      <c r="C3282" s="9" t="n">
        <v>12</v>
      </c>
      <c r="D3282" s="10" t="n">
        <v>0.42</v>
      </c>
      <c r="E3282" s="10" t="n">
        <f aca="false">C3282*D3282</f>
        <v>5.04</v>
      </c>
    </row>
    <row r="3283" customFormat="false" ht="15" hidden="false" customHeight="false" outlineLevel="0" collapsed="false">
      <c r="A3283" s="9" t="s">
        <v>1552</v>
      </c>
      <c r="B3283" s="9" t="s">
        <v>256</v>
      </c>
      <c r="C3283" s="9" t="n">
        <v>12</v>
      </c>
      <c r="D3283" s="10" t="n">
        <v>0.42</v>
      </c>
      <c r="E3283" s="10" t="n">
        <f aca="false">C3283*D3283</f>
        <v>5.04</v>
      </c>
    </row>
    <row r="3284" customFormat="false" ht="15" hidden="false" customHeight="false" outlineLevel="0" collapsed="false">
      <c r="A3284" s="9" t="s">
        <v>1552</v>
      </c>
      <c r="B3284" s="9" t="s">
        <v>1560</v>
      </c>
      <c r="C3284" s="9" t="n">
        <v>12</v>
      </c>
      <c r="D3284" s="10" t="n">
        <v>0.42</v>
      </c>
      <c r="E3284" s="10" t="n">
        <f aca="false">C3284*D3284</f>
        <v>5.04</v>
      </c>
    </row>
    <row r="3285" customFormat="false" ht="15" hidden="false" customHeight="false" outlineLevel="0" collapsed="false">
      <c r="A3285" s="9" t="s">
        <v>1552</v>
      </c>
      <c r="B3285" s="9" t="s">
        <v>1111</v>
      </c>
      <c r="C3285" s="9" t="n">
        <v>12</v>
      </c>
      <c r="D3285" s="10" t="n">
        <v>0.42</v>
      </c>
      <c r="E3285" s="10" t="n">
        <f aca="false">C3285*D3285</f>
        <v>5.04</v>
      </c>
    </row>
    <row r="3286" customFormat="false" ht="15" hidden="false" customHeight="false" outlineLevel="0" collapsed="false">
      <c r="A3286" s="9" t="s">
        <v>1552</v>
      </c>
      <c r="B3286" s="9" t="s">
        <v>1526</v>
      </c>
      <c r="C3286" s="9" t="n">
        <v>12</v>
      </c>
      <c r="D3286" s="10" t="n">
        <v>0.42</v>
      </c>
      <c r="E3286" s="10" t="n">
        <f aca="false">C3286*D3286</f>
        <v>5.04</v>
      </c>
    </row>
    <row r="3287" customFormat="false" ht="15" hidden="false" customHeight="false" outlineLevel="0" collapsed="false">
      <c r="A3287" s="9" t="s">
        <v>1552</v>
      </c>
      <c r="B3287" s="9" t="s">
        <v>1280</v>
      </c>
      <c r="C3287" s="9" t="n">
        <v>12</v>
      </c>
      <c r="D3287" s="10" t="n">
        <v>0.42</v>
      </c>
      <c r="E3287" s="10" t="n">
        <f aca="false">C3287*D3287</f>
        <v>5.04</v>
      </c>
    </row>
    <row r="3288" customFormat="false" ht="15" hidden="false" customHeight="false" outlineLevel="0" collapsed="false">
      <c r="A3288" s="9" t="s">
        <v>1552</v>
      </c>
      <c r="B3288" s="9" t="s">
        <v>1561</v>
      </c>
      <c r="C3288" s="9" t="n">
        <v>12</v>
      </c>
      <c r="D3288" s="10" t="n">
        <v>0.42</v>
      </c>
      <c r="E3288" s="10" t="n">
        <f aca="false">C3288*D3288</f>
        <v>5.04</v>
      </c>
    </row>
    <row r="3289" customFormat="false" ht="15" hidden="false" customHeight="false" outlineLevel="0" collapsed="false">
      <c r="A3289" s="9" t="s">
        <v>1552</v>
      </c>
      <c r="B3289" s="9" t="s">
        <v>638</v>
      </c>
      <c r="C3289" s="9" t="n">
        <v>24</v>
      </c>
      <c r="D3289" s="10" t="n">
        <v>0.42</v>
      </c>
      <c r="E3289" s="10" t="n">
        <f aca="false">C3289*D3289</f>
        <v>10.08</v>
      </c>
    </row>
    <row r="3290" customFormat="false" ht="15" hidden="false" customHeight="false" outlineLevel="0" collapsed="false">
      <c r="A3290" s="9" t="s">
        <v>1552</v>
      </c>
      <c r="B3290" s="9" t="s">
        <v>789</v>
      </c>
      <c r="C3290" s="9" t="n">
        <v>12</v>
      </c>
      <c r="D3290" s="10" t="n">
        <v>0.42</v>
      </c>
      <c r="E3290" s="10" t="n">
        <f aca="false">C3290*D3290</f>
        <v>5.04</v>
      </c>
    </row>
    <row r="3291" customFormat="false" ht="15" hidden="false" customHeight="false" outlineLevel="0" collapsed="false">
      <c r="A3291" s="9" t="s">
        <v>1552</v>
      </c>
      <c r="B3291" s="9" t="s">
        <v>1562</v>
      </c>
      <c r="C3291" s="9" t="n">
        <v>12</v>
      </c>
      <c r="D3291" s="10" t="n">
        <v>0.42</v>
      </c>
      <c r="E3291" s="10" t="n">
        <f aca="false">C3291*D3291</f>
        <v>5.04</v>
      </c>
    </row>
    <row r="3292" customFormat="false" ht="15" hidden="false" customHeight="false" outlineLevel="0" collapsed="false">
      <c r="A3292" s="9" t="s">
        <v>1552</v>
      </c>
      <c r="B3292" s="9" t="s">
        <v>1563</v>
      </c>
      <c r="C3292" s="9" t="n">
        <v>24</v>
      </c>
      <c r="D3292" s="10" t="n">
        <v>0.42</v>
      </c>
      <c r="E3292" s="10" t="n">
        <f aca="false">C3292*D3292</f>
        <v>10.08</v>
      </c>
    </row>
    <row r="3293" customFormat="false" ht="15" hidden="false" customHeight="false" outlineLevel="0" collapsed="false">
      <c r="A3293" s="9" t="s">
        <v>1552</v>
      </c>
      <c r="B3293" s="9" t="s">
        <v>152</v>
      </c>
      <c r="C3293" s="9" t="n">
        <v>12</v>
      </c>
      <c r="D3293" s="10" t="n">
        <v>1.25</v>
      </c>
      <c r="E3293" s="10" t="n">
        <f aca="false">C3293*D3293</f>
        <v>15</v>
      </c>
    </row>
    <row r="3294" customFormat="false" ht="15" hidden="false" customHeight="false" outlineLevel="0" collapsed="false">
      <c r="A3294" s="9" t="s">
        <v>1552</v>
      </c>
      <c r="B3294" s="9" t="s">
        <v>1564</v>
      </c>
      <c r="C3294" s="9" t="n">
        <v>12</v>
      </c>
      <c r="D3294" s="10" t="n">
        <v>1.25</v>
      </c>
      <c r="E3294" s="10" t="n">
        <f aca="false">C3294*D3294</f>
        <v>15</v>
      </c>
    </row>
    <row r="3295" customFormat="false" ht="15" hidden="false" customHeight="false" outlineLevel="0" collapsed="false">
      <c r="A3295" s="9" t="s">
        <v>1552</v>
      </c>
      <c r="B3295" s="9" t="s">
        <v>1184</v>
      </c>
      <c r="C3295" s="9" t="n">
        <v>12</v>
      </c>
      <c r="D3295" s="10" t="n">
        <v>1.25</v>
      </c>
      <c r="E3295" s="10" t="n">
        <f aca="false">C3295*D3295</f>
        <v>15</v>
      </c>
    </row>
    <row r="3296" customFormat="false" ht="15" hidden="false" customHeight="false" outlineLevel="0" collapsed="false">
      <c r="A3296" s="9" t="s">
        <v>1552</v>
      </c>
      <c r="B3296" s="9" t="s">
        <v>722</v>
      </c>
      <c r="C3296" s="9" t="n">
        <v>12</v>
      </c>
      <c r="D3296" s="10" t="n">
        <v>2.95</v>
      </c>
      <c r="E3296" s="10" t="n">
        <f aca="false">C3296*D3296</f>
        <v>35.4</v>
      </c>
    </row>
    <row r="3297" customFormat="false" ht="15" hidden="false" customHeight="false" outlineLevel="0" collapsed="false">
      <c r="A3297" s="9" t="s">
        <v>1552</v>
      </c>
      <c r="B3297" s="9" t="s">
        <v>1409</v>
      </c>
      <c r="C3297" s="9" t="n">
        <v>12</v>
      </c>
      <c r="D3297" s="10" t="n">
        <v>1.25</v>
      </c>
      <c r="E3297" s="10" t="n">
        <f aca="false">C3297*D3297</f>
        <v>15</v>
      </c>
    </row>
    <row r="3298" customFormat="false" ht="15" hidden="false" customHeight="false" outlineLevel="0" collapsed="false">
      <c r="A3298" s="9" t="s">
        <v>1552</v>
      </c>
      <c r="B3298" s="9" t="s">
        <v>758</v>
      </c>
      <c r="C3298" s="9" t="n">
        <v>24</v>
      </c>
      <c r="D3298" s="10" t="n">
        <v>0.42</v>
      </c>
      <c r="E3298" s="10" t="n">
        <f aca="false">C3298*D3298</f>
        <v>10.08</v>
      </c>
    </row>
    <row r="3299" customFormat="false" ht="15" hidden="false" customHeight="false" outlineLevel="0" collapsed="false">
      <c r="A3299" s="9" t="s">
        <v>1552</v>
      </c>
      <c r="B3299" s="9" t="s">
        <v>1565</v>
      </c>
      <c r="C3299" s="9" t="n">
        <v>12</v>
      </c>
      <c r="D3299" s="10" t="n">
        <v>0.42</v>
      </c>
      <c r="E3299" s="10" t="n">
        <f aca="false">C3299*D3299</f>
        <v>5.04</v>
      </c>
    </row>
    <row r="3300" customFormat="false" ht="15" hidden="false" customHeight="false" outlineLevel="0" collapsed="false">
      <c r="A3300" s="9" t="s">
        <v>1552</v>
      </c>
      <c r="B3300" s="9" t="s">
        <v>639</v>
      </c>
      <c r="C3300" s="9" t="n">
        <v>24</v>
      </c>
      <c r="D3300" s="10" t="n">
        <v>0.42</v>
      </c>
      <c r="E3300" s="10" t="n">
        <f aca="false">C3300*D3300</f>
        <v>10.08</v>
      </c>
    </row>
    <row r="3301" customFormat="false" ht="15" hidden="false" customHeight="false" outlineLevel="0" collapsed="false">
      <c r="A3301" s="9" t="s">
        <v>1552</v>
      </c>
      <c r="B3301" s="9" t="s">
        <v>581</v>
      </c>
      <c r="C3301" s="9" t="n">
        <v>24</v>
      </c>
      <c r="D3301" s="10" t="n">
        <v>0.85</v>
      </c>
      <c r="E3301" s="10" t="n">
        <f aca="false">C3301*D3301</f>
        <v>20.4</v>
      </c>
    </row>
    <row r="3302" customFormat="false" ht="15" hidden="false" customHeight="false" outlineLevel="0" collapsed="false">
      <c r="A3302" s="9" t="s">
        <v>1566</v>
      </c>
      <c r="B3302" s="9" t="s">
        <v>116</v>
      </c>
      <c r="C3302" s="9" t="n">
        <v>24</v>
      </c>
      <c r="D3302" s="10" t="n">
        <v>0.55</v>
      </c>
      <c r="E3302" s="10" t="n">
        <f aca="false">C3302*D3302</f>
        <v>13.2</v>
      </c>
    </row>
    <row r="3303" customFormat="false" ht="15" hidden="false" customHeight="false" outlineLevel="0" collapsed="false">
      <c r="A3303" s="9" t="s">
        <v>1566</v>
      </c>
      <c r="B3303" s="9" t="s">
        <v>314</v>
      </c>
      <c r="C3303" s="9" t="n">
        <v>12</v>
      </c>
      <c r="D3303" s="10" t="n">
        <v>1.45</v>
      </c>
      <c r="E3303" s="10" t="n">
        <f aca="false">C3303*D3303</f>
        <v>17.4</v>
      </c>
    </row>
    <row r="3304" customFormat="false" ht="15" hidden="false" customHeight="false" outlineLevel="0" collapsed="false">
      <c r="A3304" s="9" t="s">
        <v>1566</v>
      </c>
      <c r="B3304" s="9" t="s">
        <v>384</v>
      </c>
      <c r="C3304" s="9" t="n">
        <v>12</v>
      </c>
      <c r="D3304" s="10" t="n">
        <v>1.25</v>
      </c>
      <c r="E3304" s="10" t="n">
        <f aca="false">C3304*D3304</f>
        <v>15</v>
      </c>
    </row>
    <row r="3305" customFormat="false" ht="15" hidden="false" customHeight="false" outlineLevel="0" collapsed="false">
      <c r="A3305" s="9" t="s">
        <v>1566</v>
      </c>
      <c r="B3305" s="9" t="s">
        <v>387</v>
      </c>
      <c r="C3305" s="9" t="n">
        <v>12</v>
      </c>
      <c r="D3305" s="10" t="n">
        <v>1.25</v>
      </c>
      <c r="E3305" s="10" t="n">
        <f aca="false">C3305*D3305</f>
        <v>15</v>
      </c>
    </row>
    <row r="3306" customFormat="false" ht="15" hidden="false" customHeight="false" outlineLevel="0" collapsed="false">
      <c r="A3306" s="9" t="s">
        <v>1566</v>
      </c>
      <c r="B3306" s="9" t="s">
        <v>451</v>
      </c>
      <c r="C3306" s="9" t="n">
        <v>4</v>
      </c>
      <c r="D3306" s="10" t="n">
        <v>3.75</v>
      </c>
      <c r="E3306" s="10" t="n">
        <f aca="false">C3306*D3306</f>
        <v>15</v>
      </c>
    </row>
    <row r="3307" customFormat="false" ht="15" hidden="false" customHeight="false" outlineLevel="0" collapsed="false">
      <c r="A3307" s="9" t="s">
        <v>1566</v>
      </c>
      <c r="B3307" s="9" t="s">
        <v>445</v>
      </c>
      <c r="C3307" s="9" t="n">
        <v>4</v>
      </c>
      <c r="D3307" s="10" t="n">
        <v>3.75</v>
      </c>
      <c r="E3307" s="10" t="n">
        <f aca="false">C3307*D3307</f>
        <v>15</v>
      </c>
    </row>
    <row r="3308" customFormat="false" ht="15" hidden="false" customHeight="false" outlineLevel="0" collapsed="false">
      <c r="A3308" s="9" t="s">
        <v>1566</v>
      </c>
      <c r="B3308" s="9" t="s">
        <v>416</v>
      </c>
      <c r="C3308" s="9" t="n">
        <v>4</v>
      </c>
      <c r="D3308" s="10" t="n">
        <v>3.75</v>
      </c>
      <c r="E3308" s="10" t="n">
        <f aca="false">C3308*D3308</f>
        <v>15</v>
      </c>
    </row>
    <row r="3309" customFormat="false" ht="15" hidden="false" customHeight="false" outlineLevel="0" collapsed="false">
      <c r="A3309" s="9" t="s">
        <v>1566</v>
      </c>
      <c r="B3309" s="9" t="s">
        <v>572</v>
      </c>
      <c r="C3309" s="9" t="n">
        <v>20</v>
      </c>
      <c r="D3309" s="10" t="n">
        <v>1.65</v>
      </c>
      <c r="E3309" s="10" t="n">
        <f aca="false">C3309*D3309</f>
        <v>33</v>
      </c>
    </row>
    <row r="3310" customFormat="false" ht="15" hidden="false" customHeight="false" outlineLevel="0" collapsed="false">
      <c r="A3310" s="9" t="s">
        <v>1566</v>
      </c>
      <c r="B3310" s="9" t="s">
        <v>657</v>
      </c>
      <c r="C3310" s="9" t="n">
        <v>12</v>
      </c>
      <c r="D3310" s="10" t="n">
        <v>2.55</v>
      </c>
      <c r="E3310" s="10" t="n">
        <f aca="false">C3310*D3310</f>
        <v>30.6</v>
      </c>
    </row>
    <row r="3311" customFormat="false" ht="15" hidden="false" customHeight="false" outlineLevel="0" collapsed="false">
      <c r="A3311" s="9" t="s">
        <v>1566</v>
      </c>
      <c r="B3311" s="9" t="s">
        <v>826</v>
      </c>
      <c r="C3311" s="9" t="n">
        <v>4</v>
      </c>
      <c r="D3311" s="10" t="n">
        <v>10.95</v>
      </c>
      <c r="E3311" s="10" t="n">
        <f aca="false">C3311*D3311</f>
        <v>43.8</v>
      </c>
    </row>
    <row r="3312" customFormat="false" ht="15" hidden="false" customHeight="false" outlineLevel="0" collapsed="false">
      <c r="A3312" s="9" t="s">
        <v>1566</v>
      </c>
      <c r="B3312" s="9" t="s">
        <v>363</v>
      </c>
      <c r="C3312" s="9" t="n">
        <v>6</v>
      </c>
      <c r="D3312" s="10" t="n">
        <v>2.95</v>
      </c>
      <c r="E3312" s="10" t="n">
        <f aca="false">C3312*D3312</f>
        <v>17.7</v>
      </c>
    </row>
    <row r="3313" customFormat="false" ht="15" hidden="false" customHeight="false" outlineLevel="0" collapsed="false">
      <c r="A3313" s="9" t="s">
        <v>1566</v>
      </c>
      <c r="B3313" s="9" t="s">
        <v>562</v>
      </c>
      <c r="C3313" s="9" t="n">
        <v>2</v>
      </c>
      <c r="D3313" s="10" t="n">
        <v>5.95</v>
      </c>
      <c r="E3313" s="10" t="n">
        <f aca="false">C3313*D3313</f>
        <v>11.9</v>
      </c>
    </row>
    <row r="3314" customFormat="false" ht="15" hidden="false" customHeight="false" outlineLevel="0" collapsed="false">
      <c r="A3314" s="9" t="s">
        <v>1566</v>
      </c>
      <c r="B3314" s="9" t="s">
        <v>85</v>
      </c>
      <c r="C3314" s="9" t="n">
        <v>24</v>
      </c>
      <c r="D3314" s="10" t="n">
        <v>3.75</v>
      </c>
      <c r="E3314" s="10" t="n">
        <f aca="false">C3314*D3314</f>
        <v>90</v>
      </c>
    </row>
    <row r="3315" customFormat="false" ht="15" hidden="false" customHeight="false" outlineLevel="0" collapsed="false">
      <c r="A3315" s="9" t="s">
        <v>1566</v>
      </c>
      <c r="B3315" s="9" t="s">
        <v>167</v>
      </c>
      <c r="C3315" s="9" t="n">
        <v>2</v>
      </c>
      <c r="D3315" s="10" t="n">
        <v>5.95</v>
      </c>
      <c r="E3315" s="10" t="n">
        <f aca="false">C3315*D3315</f>
        <v>11.9</v>
      </c>
    </row>
    <row r="3316" customFormat="false" ht="15" hidden="false" customHeight="false" outlineLevel="0" collapsed="false">
      <c r="A3316" s="9" t="s">
        <v>1566</v>
      </c>
      <c r="B3316" s="9" t="s">
        <v>561</v>
      </c>
      <c r="C3316" s="9" t="n">
        <v>2</v>
      </c>
      <c r="D3316" s="10" t="n">
        <v>5.95</v>
      </c>
      <c r="E3316" s="10" t="n">
        <f aca="false">C3316*D3316</f>
        <v>11.9</v>
      </c>
    </row>
    <row r="3317" customFormat="false" ht="15" hidden="false" customHeight="false" outlineLevel="0" collapsed="false">
      <c r="A3317" s="9" t="s">
        <v>1566</v>
      </c>
      <c r="B3317" s="9" t="s">
        <v>429</v>
      </c>
      <c r="C3317" s="9" t="n">
        <v>16</v>
      </c>
      <c r="D3317" s="10" t="n">
        <v>3.39</v>
      </c>
      <c r="E3317" s="10" t="n">
        <f aca="false">C3317*D3317</f>
        <v>54.24</v>
      </c>
    </row>
    <row r="3318" customFormat="false" ht="15" hidden="false" customHeight="false" outlineLevel="0" collapsed="false">
      <c r="A3318" s="9" t="s">
        <v>1566</v>
      </c>
      <c r="B3318" s="9" t="s">
        <v>1567</v>
      </c>
      <c r="C3318" s="9" t="n">
        <v>12</v>
      </c>
      <c r="D3318" s="10" t="n">
        <v>1.65</v>
      </c>
      <c r="E3318" s="10" t="n">
        <f aca="false">C3318*D3318</f>
        <v>19.8</v>
      </c>
    </row>
    <row r="3319" customFormat="false" ht="15" hidden="false" customHeight="false" outlineLevel="0" collapsed="false">
      <c r="A3319" s="9" t="s">
        <v>1566</v>
      </c>
      <c r="B3319" s="9" t="s">
        <v>1273</v>
      </c>
      <c r="C3319" s="9" t="n">
        <v>8</v>
      </c>
      <c r="D3319" s="10" t="n">
        <v>3.75</v>
      </c>
      <c r="E3319" s="10" t="n">
        <f aca="false">C3319*D3319</f>
        <v>30</v>
      </c>
    </row>
    <row r="3320" customFormat="false" ht="15" hidden="false" customHeight="false" outlineLevel="0" collapsed="false">
      <c r="A3320" s="9" t="s">
        <v>1566</v>
      </c>
      <c r="B3320" s="9" t="s">
        <v>260</v>
      </c>
      <c r="C3320" s="9" t="n">
        <v>8</v>
      </c>
      <c r="D3320" s="10" t="n">
        <v>3.75</v>
      </c>
      <c r="E3320" s="10" t="n">
        <f aca="false">C3320*D3320</f>
        <v>30</v>
      </c>
    </row>
    <row r="3321" customFormat="false" ht="15" hidden="false" customHeight="false" outlineLevel="0" collapsed="false">
      <c r="A3321" s="9" t="s">
        <v>1566</v>
      </c>
      <c r="B3321" s="9" t="s">
        <v>84</v>
      </c>
      <c r="C3321" s="9" t="n">
        <v>24</v>
      </c>
      <c r="D3321" s="10" t="n">
        <v>3.75</v>
      </c>
      <c r="E3321" s="10" t="n">
        <f aca="false">C3321*D3321</f>
        <v>90</v>
      </c>
    </row>
    <row r="3322" customFormat="false" ht="15" hidden="false" customHeight="false" outlineLevel="0" collapsed="false">
      <c r="A3322" s="9" t="s">
        <v>1566</v>
      </c>
      <c r="B3322" s="9" t="s">
        <v>717</v>
      </c>
      <c r="C3322" s="9" t="n">
        <v>6</v>
      </c>
      <c r="D3322" s="10" t="n">
        <v>2.95</v>
      </c>
      <c r="E3322" s="10" t="n">
        <f aca="false">C3322*D3322</f>
        <v>17.7</v>
      </c>
    </row>
    <row r="3323" customFormat="false" ht="15" hidden="false" customHeight="false" outlineLevel="0" collapsed="false">
      <c r="A3323" s="9" t="s">
        <v>1566</v>
      </c>
      <c r="B3323" s="9" t="s">
        <v>1568</v>
      </c>
      <c r="C3323" s="9" t="n">
        <v>10</v>
      </c>
      <c r="D3323" s="10" t="n">
        <v>1.25</v>
      </c>
      <c r="E3323" s="10" t="n">
        <f aca="false">C3323*D3323</f>
        <v>12.5</v>
      </c>
    </row>
    <row r="3324" customFormat="false" ht="15" hidden="false" customHeight="false" outlineLevel="0" collapsed="false">
      <c r="A3324" s="9" t="s">
        <v>1569</v>
      </c>
      <c r="B3324" s="9" t="s">
        <v>1263</v>
      </c>
      <c r="C3324" s="9" t="n">
        <v>6</v>
      </c>
      <c r="D3324" s="10" t="n">
        <v>2.1</v>
      </c>
      <c r="E3324" s="10" t="n">
        <f aca="false">C3324*D3324</f>
        <v>12.6</v>
      </c>
    </row>
    <row r="3325" customFormat="false" ht="15" hidden="false" customHeight="false" outlineLevel="0" collapsed="false">
      <c r="A3325" s="9" t="s">
        <v>1570</v>
      </c>
      <c r="B3325" s="9" t="s">
        <v>613</v>
      </c>
      <c r="C3325" s="9" t="n">
        <v>4</v>
      </c>
      <c r="D3325" s="10" t="n">
        <v>12.75</v>
      </c>
      <c r="E3325" s="10" t="n">
        <f aca="false">C3325*D3325</f>
        <v>51</v>
      </c>
    </row>
    <row r="3326" customFormat="false" ht="15" hidden="false" customHeight="false" outlineLevel="0" collapsed="false">
      <c r="A3326" s="9" t="s">
        <v>1570</v>
      </c>
      <c r="B3326" s="9" t="s">
        <v>722</v>
      </c>
      <c r="C3326" s="9" t="n">
        <v>12</v>
      </c>
      <c r="D3326" s="10" t="n">
        <v>2.95</v>
      </c>
      <c r="E3326" s="10" t="n">
        <f aca="false">C3326*D3326</f>
        <v>35.4</v>
      </c>
    </row>
    <row r="3327" customFormat="false" ht="15" hidden="false" customHeight="false" outlineLevel="0" collapsed="false">
      <c r="A3327" s="9" t="s">
        <v>1570</v>
      </c>
      <c r="B3327" s="9" t="s">
        <v>140</v>
      </c>
      <c r="C3327" s="9" t="n">
        <v>4</v>
      </c>
      <c r="D3327" s="10" t="n">
        <v>3.95</v>
      </c>
      <c r="E3327" s="10" t="n">
        <f aca="false">C3327*D3327</f>
        <v>15.8</v>
      </c>
    </row>
    <row r="3328" customFormat="false" ht="15" hidden="false" customHeight="false" outlineLevel="0" collapsed="false">
      <c r="A3328" s="9" t="s">
        <v>1570</v>
      </c>
      <c r="B3328" s="9" t="s">
        <v>50</v>
      </c>
      <c r="C3328" s="9" t="n">
        <v>4</v>
      </c>
      <c r="D3328" s="10" t="n">
        <v>5.95</v>
      </c>
      <c r="E3328" s="10" t="n">
        <f aca="false">C3328*D3328</f>
        <v>23.8</v>
      </c>
    </row>
    <row r="3329" customFormat="false" ht="15" hidden="false" customHeight="false" outlineLevel="0" collapsed="false">
      <c r="A3329" s="9" t="s">
        <v>1570</v>
      </c>
      <c r="B3329" s="9" t="s">
        <v>128</v>
      </c>
      <c r="C3329" s="9" t="n">
        <v>12</v>
      </c>
      <c r="D3329" s="10" t="n">
        <v>1.45</v>
      </c>
      <c r="E3329" s="10" t="n">
        <f aca="false">C3329*D3329</f>
        <v>17.4</v>
      </c>
    </row>
    <row r="3330" customFormat="false" ht="15" hidden="false" customHeight="false" outlineLevel="0" collapsed="false">
      <c r="A3330" s="9" t="s">
        <v>1570</v>
      </c>
      <c r="B3330" s="9" t="s">
        <v>717</v>
      </c>
      <c r="C3330" s="9" t="n">
        <v>12</v>
      </c>
      <c r="D3330" s="10" t="n">
        <v>2.95</v>
      </c>
      <c r="E3330" s="10" t="n">
        <f aca="false">C3330*D3330</f>
        <v>35.4</v>
      </c>
    </row>
    <row r="3331" customFormat="false" ht="15" hidden="false" customHeight="false" outlineLevel="0" collapsed="false">
      <c r="A3331" s="9" t="s">
        <v>1570</v>
      </c>
      <c r="B3331" s="9" t="s">
        <v>66</v>
      </c>
      <c r="C3331" s="9" t="n">
        <v>3</v>
      </c>
      <c r="D3331" s="10" t="n">
        <v>5.95</v>
      </c>
      <c r="E3331" s="10" t="n">
        <f aca="false">C3331*D3331</f>
        <v>17.85</v>
      </c>
    </row>
    <row r="3332" customFormat="false" ht="15" hidden="false" customHeight="false" outlineLevel="0" collapsed="false">
      <c r="A3332" s="9" t="s">
        <v>1570</v>
      </c>
      <c r="B3332" s="9" t="s">
        <v>167</v>
      </c>
      <c r="C3332" s="9" t="n">
        <v>2</v>
      </c>
      <c r="D3332" s="10" t="n">
        <v>5.95</v>
      </c>
      <c r="E3332" s="10" t="n">
        <f aca="false">C3332*D3332</f>
        <v>11.9</v>
      </c>
    </row>
    <row r="3333" customFormat="false" ht="15" hidden="false" customHeight="false" outlineLevel="0" collapsed="false">
      <c r="A3333" s="9" t="s">
        <v>1570</v>
      </c>
      <c r="B3333" s="9" t="s">
        <v>164</v>
      </c>
      <c r="C3333" s="9" t="n">
        <v>1</v>
      </c>
      <c r="D3333" s="10" t="n">
        <v>19.95</v>
      </c>
      <c r="E3333" s="10" t="n">
        <f aca="false">C3333*D3333</f>
        <v>19.95</v>
      </c>
    </row>
    <row r="3334" customFormat="false" ht="15" hidden="false" customHeight="false" outlineLevel="0" collapsed="false">
      <c r="A3334" s="9" t="s">
        <v>1570</v>
      </c>
      <c r="B3334" s="9" t="s">
        <v>1571</v>
      </c>
      <c r="C3334" s="9" t="n">
        <v>2</v>
      </c>
      <c r="D3334" s="10" t="n">
        <v>8.5</v>
      </c>
      <c r="E3334" s="10" t="n">
        <f aca="false">C3334*D3334</f>
        <v>17</v>
      </c>
    </row>
    <row r="3335" customFormat="false" ht="15" hidden="false" customHeight="false" outlineLevel="0" collapsed="false">
      <c r="A3335" s="9" t="s">
        <v>1570</v>
      </c>
      <c r="B3335" s="9" t="s">
        <v>712</v>
      </c>
      <c r="C3335" s="9" t="n">
        <v>2</v>
      </c>
      <c r="D3335" s="10" t="n">
        <v>9.95</v>
      </c>
      <c r="E3335" s="10" t="n">
        <f aca="false">C3335*D3335</f>
        <v>19.9</v>
      </c>
    </row>
    <row r="3336" customFormat="false" ht="15" hidden="false" customHeight="false" outlineLevel="0" collapsed="false">
      <c r="A3336" s="9" t="s">
        <v>1570</v>
      </c>
      <c r="B3336" s="9" t="s">
        <v>1133</v>
      </c>
      <c r="C3336" s="9" t="n">
        <v>2</v>
      </c>
      <c r="D3336" s="10" t="n">
        <v>5.95</v>
      </c>
      <c r="E3336" s="10" t="n">
        <f aca="false">C3336*D3336</f>
        <v>11.9</v>
      </c>
    </row>
    <row r="3337" customFormat="false" ht="15" hidden="false" customHeight="false" outlineLevel="0" collapsed="false">
      <c r="A3337" s="9" t="s">
        <v>1570</v>
      </c>
      <c r="B3337" s="9" t="s">
        <v>562</v>
      </c>
      <c r="C3337" s="9" t="n">
        <v>2</v>
      </c>
      <c r="D3337" s="10" t="n">
        <v>5.95</v>
      </c>
      <c r="E3337" s="10" t="n">
        <f aca="false">C3337*D3337</f>
        <v>11.9</v>
      </c>
    </row>
    <row r="3338" customFormat="false" ht="15" hidden="false" customHeight="false" outlineLevel="0" collapsed="false">
      <c r="A3338" s="9" t="s">
        <v>1570</v>
      </c>
      <c r="B3338" s="9" t="s">
        <v>215</v>
      </c>
      <c r="C3338" s="9" t="n">
        <v>2</v>
      </c>
      <c r="D3338" s="10" t="n">
        <v>8.5</v>
      </c>
      <c r="E3338" s="10" t="n">
        <f aca="false">C3338*D3338</f>
        <v>17</v>
      </c>
    </row>
    <row r="3339" customFormat="false" ht="15" hidden="false" customHeight="false" outlineLevel="0" collapsed="false">
      <c r="A3339" s="9" t="s">
        <v>1572</v>
      </c>
      <c r="B3339" s="9" t="s">
        <v>150</v>
      </c>
      <c r="C3339" s="9" t="n">
        <v>6</v>
      </c>
      <c r="D3339" s="10" t="n">
        <v>1.65</v>
      </c>
      <c r="E3339" s="10" t="n">
        <f aca="false">C3339*D3339</f>
        <v>9.9</v>
      </c>
    </row>
    <row r="3340" customFormat="false" ht="15" hidden="false" customHeight="false" outlineLevel="0" collapsed="false">
      <c r="A3340" s="9" t="s">
        <v>1572</v>
      </c>
      <c r="B3340" s="9" t="s">
        <v>40</v>
      </c>
      <c r="C3340" s="9" t="n">
        <v>6</v>
      </c>
      <c r="D3340" s="10" t="n">
        <v>3.39</v>
      </c>
      <c r="E3340" s="10" t="n">
        <f aca="false">C3340*D3340</f>
        <v>20.34</v>
      </c>
    </row>
    <row r="3341" customFormat="false" ht="15" hidden="false" customHeight="false" outlineLevel="0" collapsed="false">
      <c r="A3341" s="9" t="s">
        <v>1572</v>
      </c>
      <c r="B3341" s="9" t="s">
        <v>94</v>
      </c>
      <c r="C3341" s="9" t="n">
        <v>6</v>
      </c>
      <c r="D3341" s="10" t="n">
        <v>2.55</v>
      </c>
      <c r="E3341" s="10" t="n">
        <f aca="false">C3341*D3341</f>
        <v>15.3</v>
      </c>
    </row>
    <row r="3342" customFormat="false" ht="15" hidden="false" customHeight="false" outlineLevel="0" collapsed="false">
      <c r="A3342" s="9" t="s">
        <v>1572</v>
      </c>
      <c r="B3342" s="9" t="s">
        <v>42</v>
      </c>
      <c r="C3342" s="9" t="n">
        <v>2</v>
      </c>
      <c r="D3342" s="10" t="n">
        <v>7.65</v>
      </c>
      <c r="E3342" s="10" t="n">
        <f aca="false">C3342*D3342</f>
        <v>15.3</v>
      </c>
    </row>
    <row r="3343" customFormat="false" ht="15" hidden="false" customHeight="false" outlineLevel="0" collapsed="false">
      <c r="A3343" s="9" t="s">
        <v>1572</v>
      </c>
      <c r="B3343" s="9" t="s">
        <v>43</v>
      </c>
      <c r="C3343" s="9" t="n">
        <v>6</v>
      </c>
      <c r="D3343" s="10" t="n">
        <v>4.25</v>
      </c>
      <c r="E3343" s="10" t="n">
        <f aca="false">C3343*D3343</f>
        <v>25.5</v>
      </c>
    </row>
    <row r="3344" customFormat="false" ht="15" hidden="false" customHeight="false" outlineLevel="0" collapsed="false">
      <c r="A3344" s="9" t="s">
        <v>1572</v>
      </c>
      <c r="B3344" s="9" t="s">
        <v>41</v>
      </c>
      <c r="C3344" s="9" t="n">
        <v>6</v>
      </c>
      <c r="D3344" s="10" t="n">
        <v>3.39</v>
      </c>
      <c r="E3344" s="10" t="n">
        <f aca="false">C3344*D3344</f>
        <v>20.34</v>
      </c>
    </row>
    <row r="3345" customFormat="false" ht="15" hidden="false" customHeight="false" outlineLevel="0" collapsed="false">
      <c r="A3345" s="9" t="s">
        <v>1572</v>
      </c>
      <c r="B3345" s="9" t="s">
        <v>92</v>
      </c>
      <c r="C3345" s="9" t="n">
        <v>2</v>
      </c>
      <c r="D3345" s="10" t="n">
        <v>6.95</v>
      </c>
      <c r="E3345" s="10" t="n">
        <f aca="false">C3345*D3345</f>
        <v>13.9</v>
      </c>
    </row>
    <row r="3346" customFormat="false" ht="15" hidden="false" customHeight="false" outlineLevel="0" collapsed="false">
      <c r="A3346" s="9" t="s">
        <v>1572</v>
      </c>
      <c r="B3346" s="9" t="s">
        <v>91</v>
      </c>
      <c r="C3346" s="9" t="n">
        <v>6</v>
      </c>
      <c r="D3346" s="10" t="n">
        <v>2.1</v>
      </c>
      <c r="E3346" s="10" t="n">
        <f aca="false">C3346*D3346</f>
        <v>12.6</v>
      </c>
    </row>
    <row r="3347" customFormat="false" ht="15" hidden="false" customHeight="false" outlineLevel="0" collapsed="false">
      <c r="A3347" s="9" t="s">
        <v>1572</v>
      </c>
      <c r="B3347" s="9" t="s">
        <v>99</v>
      </c>
      <c r="C3347" s="9" t="n">
        <v>6</v>
      </c>
      <c r="D3347" s="10" t="n">
        <v>1.06</v>
      </c>
      <c r="E3347" s="10" t="n">
        <f aca="false">C3347*D3347</f>
        <v>6.36</v>
      </c>
    </row>
    <row r="3348" customFormat="false" ht="15" hidden="false" customHeight="false" outlineLevel="0" collapsed="false">
      <c r="A3348" s="9" t="s">
        <v>1572</v>
      </c>
      <c r="B3348" s="9" t="s">
        <v>37</v>
      </c>
      <c r="C3348" s="9" t="n">
        <v>6</v>
      </c>
      <c r="D3348" s="10" t="n">
        <v>2.55</v>
      </c>
      <c r="E3348" s="10" t="n">
        <f aca="false">C3348*D3348</f>
        <v>15.3</v>
      </c>
    </row>
    <row r="3349" customFormat="false" ht="15" hidden="false" customHeight="false" outlineLevel="0" collapsed="false">
      <c r="A3349" s="9" t="s">
        <v>1572</v>
      </c>
      <c r="B3349" s="9" t="s">
        <v>38</v>
      </c>
      <c r="C3349" s="9" t="n">
        <v>6</v>
      </c>
      <c r="D3349" s="10" t="n">
        <v>3.39</v>
      </c>
      <c r="E3349" s="10" t="n">
        <f aca="false">C3349*D3349</f>
        <v>20.34</v>
      </c>
    </row>
    <row r="3350" customFormat="false" ht="15" hidden="false" customHeight="false" outlineLevel="0" collapsed="false">
      <c r="A3350" s="9" t="s">
        <v>1572</v>
      </c>
      <c r="B3350" s="9" t="s">
        <v>39</v>
      </c>
      <c r="C3350" s="9" t="n">
        <v>6</v>
      </c>
      <c r="D3350" s="10" t="n">
        <v>2.75</v>
      </c>
      <c r="E3350" s="10" t="n">
        <f aca="false">C3350*D3350</f>
        <v>16.5</v>
      </c>
    </row>
    <row r="3351" customFormat="false" ht="15" hidden="false" customHeight="false" outlineLevel="0" collapsed="false">
      <c r="A3351" s="9" t="s">
        <v>1572</v>
      </c>
      <c r="B3351" s="9" t="s">
        <v>93</v>
      </c>
      <c r="C3351" s="9" t="n">
        <v>4</v>
      </c>
      <c r="D3351" s="10" t="n">
        <v>4.95</v>
      </c>
      <c r="E3351" s="10" t="n">
        <f aca="false">C3351*D3351</f>
        <v>19.8</v>
      </c>
    </row>
    <row r="3352" customFormat="false" ht="15" hidden="false" customHeight="false" outlineLevel="0" collapsed="false">
      <c r="A3352" s="9" t="s">
        <v>1572</v>
      </c>
      <c r="B3352" s="9" t="s">
        <v>96</v>
      </c>
      <c r="C3352" s="9" t="n">
        <v>6</v>
      </c>
      <c r="D3352" s="10" t="n">
        <v>1.06</v>
      </c>
      <c r="E3352" s="10" t="n">
        <f aca="false">C3352*D3352</f>
        <v>6.36</v>
      </c>
    </row>
    <row r="3353" customFormat="false" ht="15" hidden="false" customHeight="false" outlineLevel="0" collapsed="false">
      <c r="A3353" s="9" t="s">
        <v>1572</v>
      </c>
      <c r="B3353" s="9" t="s">
        <v>95</v>
      </c>
      <c r="C3353" s="9" t="n">
        <v>6</v>
      </c>
      <c r="D3353" s="10" t="n">
        <v>1.06</v>
      </c>
      <c r="E3353" s="10" t="n">
        <f aca="false">C3353*D3353</f>
        <v>6.36</v>
      </c>
    </row>
    <row r="3354" customFormat="false" ht="15" hidden="false" customHeight="false" outlineLevel="0" collapsed="false">
      <c r="A3354" s="9" t="s">
        <v>1572</v>
      </c>
      <c r="B3354" s="9" t="s">
        <v>97</v>
      </c>
      <c r="C3354" s="9" t="n">
        <v>6</v>
      </c>
      <c r="D3354" s="10" t="n">
        <v>1.06</v>
      </c>
      <c r="E3354" s="10" t="n">
        <f aca="false">C3354*D3354</f>
        <v>6.36</v>
      </c>
    </row>
    <row r="3355" customFormat="false" ht="15" hidden="false" customHeight="false" outlineLevel="0" collapsed="false">
      <c r="A3355" s="9" t="s">
        <v>1573</v>
      </c>
      <c r="B3355" s="9" t="s">
        <v>45</v>
      </c>
      <c r="C3355" s="9" t="n">
        <v>6</v>
      </c>
      <c r="D3355" s="10" t="n">
        <v>1.85</v>
      </c>
      <c r="E3355" s="10" t="n">
        <f aca="false">C3355*D3355</f>
        <v>11.1</v>
      </c>
    </row>
    <row r="3356" customFormat="false" ht="15" hidden="false" customHeight="false" outlineLevel="0" collapsed="false">
      <c r="A3356" s="9" t="s">
        <v>1573</v>
      </c>
      <c r="B3356" s="9" t="s">
        <v>46</v>
      </c>
      <c r="C3356" s="9" t="n">
        <v>6</v>
      </c>
      <c r="D3356" s="10" t="n">
        <v>1.85</v>
      </c>
      <c r="E3356" s="10" t="n">
        <f aca="false">C3356*D3356</f>
        <v>11.1</v>
      </c>
    </row>
    <row r="3357" customFormat="false" ht="15" hidden="false" customHeight="false" outlineLevel="0" collapsed="false">
      <c r="A3357" s="9" t="s">
        <v>1574</v>
      </c>
      <c r="B3357" s="9" t="s">
        <v>43</v>
      </c>
      <c r="C3357" s="9" t="n">
        <v>6</v>
      </c>
      <c r="D3357" s="10" t="n">
        <v>4.25</v>
      </c>
      <c r="E3357" s="10" t="n">
        <f aca="false">C3357*D3357</f>
        <v>25.5</v>
      </c>
    </row>
    <row r="3358" customFormat="false" ht="15" hidden="false" customHeight="false" outlineLevel="0" collapsed="false">
      <c r="A3358" s="9" t="s">
        <v>1574</v>
      </c>
      <c r="B3358" s="9" t="s">
        <v>91</v>
      </c>
      <c r="C3358" s="9" t="n">
        <v>6</v>
      </c>
      <c r="D3358" s="10" t="n">
        <v>2.1</v>
      </c>
      <c r="E3358" s="10" t="n">
        <f aca="false">C3358*D3358</f>
        <v>12.6</v>
      </c>
    </row>
    <row r="3359" customFormat="false" ht="15" hidden="false" customHeight="false" outlineLevel="0" collapsed="false">
      <c r="A3359" s="9" t="s">
        <v>1574</v>
      </c>
      <c r="B3359" s="9" t="s">
        <v>42</v>
      </c>
      <c r="C3359" s="9" t="n">
        <v>2</v>
      </c>
      <c r="D3359" s="10" t="n">
        <v>7.65</v>
      </c>
      <c r="E3359" s="10" t="n">
        <f aca="false">C3359*D3359</f>
        <v>15.3</v>
      </c>
    </row>
    <row r="3360" customFormat="false" ht="15" hidden="false" customHeight="false" outlineLevel="0" collapsed="false">
      <c r="A3360" s="9" t="s">
        <v>1574</v>
      </c>
      <c r="B3360" s="9" t="s">
        <v>41</v>
      </c>
      <c r="C3360" s="9" t="n">
        <v>6</v>
      </c>
      <c r="D3360" s="10" t="n">
        <v>3.39</v>
      </c>
      <c r="E3360" s="10" t="n">
        <f aca="false">C3360*D3360</f>
        <v>20.34</v>
      </c>
    </row>
    <row r="3361" customFormat="false" ht="15" hidden="false" customHeight="false" outlineLevel="0" collapsed="false">
      <c r="A3361" s="9" t="s">
        <v>1574</v>
      </c>
      <c r="B3361" s="9" t="s">
        <v>40</v>
      </c>
      <c r="C3361" s="9" t="n">
        <v>6</v>
      </c>
      <c r="D3361" s="10" t="n">
        <v>3.39</v>
      </c>
      <c r="E3361" s="10" t="n">
        <f aca="false">C3361*D3361</f>
        <v>20.34</v>
      </c>
    </row>
    <row r="3362" customFormat="false" ht="15" hidden="false" customHeight="false" outlineLevel="0" collapsed="false">
      <c r="A3362" s="9" t="s">
        <v>1574</v>
      </c>
      <c r="B3362" s="9" t="s">
        <v>150</v>
      </c>
      <c r="C3362" s="9" t="n">
        <v>6</v>
      </c>
      <c r="D3362" s="10" t="n">
        <v>1.65</v>
      </c>
      <c r="E3362" s="10" t="n">
        <f aca="false">C3362*D3362</f>
        <v>9.9</v>
      </c>
    </row>
    <row r="3363" customFormat="false" ht="15" hidden="false" customHeight="false" outlineLevel="0" collapsed="false">
      <c r="A3363" s="9" t="s">
        <v>1574</v>
      </c>
      <c r="B3363" s="9" t="s">
        <v>94</v>
      </c>
      <c r="C3363" s="9" t="n">
        <v>6</v>
      </c>
      <c r="D3363" s="10" t="n">
        <v>2.55</v>
      </c>
      <c r="E3363" s="10" t="n">
        <f aca="false">C3363*D3363</f>
        <v>15.3</v>
      </c>
    </row>
    <row r="3364" customFormat="false" ht="15" hidden="false" customHeight="false" outlineLevel="0" collapsed="false">
      <c r="A3364" s="9" t="s">
        <v>1574</v>
      </c>
      <c r="B3364" s="9" t="s">
        <v>92</v>
      </c>
      <c r="C3364" s="9" t="n">
        <v>4</v>
      </c>
      <c r="D3364" s="10" t="n">
        <v>6.95</v>
      </c>
      <c r="E3364" s="10" t="n">
        <f aca="false">C3364*D3364</f>
        <v>27.8</v>
      </c>
    </row>
    <row r="3365" customFormat="false" ht="15" hidden="false" customHeight="false" outlineLevel="0" collapsed="false">
      <c r="A3365" s="9" t="s">
        <v>1574</v>
      </c>
      <c r="B3365" s="9" t="s">
        <v>99</v>
      </c>
      <c r="C3365" s="9" t="n">
        <v>6</v>
      </c>
      <c r="D3365" s="10" t="n">
        <v>1.06</v>
      </c>
      <c r="E3365" s="10" t="n">
        <f aca="false">C3365*D3365</f>
        <v>6.36</v>
      </c>
    </row>
    <row r="3366" customFormat="false" ht="15" hidden="false" customHeight="false" outlineLevel="0" collapsed="false">
      <c r="A3366" s="9" t="s">
        <v>1574</v>
      </c>
      <c r="B3366" s="9" t="s">
        <v>95</v>
      </c>
      <c r="C3366" s="9" t="n">
        <v>6</v>
      </c>
      <c r="D3366" s="10" t="n">
        <v>1.06</v>
      </c>
      <c r="E3366" s="10" t="n">
        <f aca="false">C3366*D3366</f>
        <v>6.36</v>
      </c>
    </row>
    <row r="3367" customFormat="false" ht="15" hidden="false" customHeight="false" outlineLevel="0" collapsed="false">
      <c r="A3367" s="9" t="s">
        <v>1574</v>
      </c>
      <c r="B3367" s="9" t="s">
        <v>96</v>
      </c>
      <c r="C3367" s="9" t="n">
        <v>6</v>
      </c>
      <c r="D3367" s="10" t="n">
        <v>1.06</v>
      </c>
      <c r="E3367" s="10" t="n">
        <f aca="false">C3367*D3367</f>
        <v>6.36</v>
      </c>
    </row>
    <row r="3368" customFormat="false" ht="15" hidden="false" customHeight="false" outlineLevel="0" collapsed="false">
      <c r="A3368" s="9" t="s">
        <v>1574</v>
      </c>
      <c r="B3368" s="9" t="s">
        <v>97</v>
      </c>
      <c r="C3368" s="9" t="n">
        <v>6</v>
      </c>
      <c r="D3368" s="10" t="n">
        <v>1.06</v>
      </c>
      <c r="E3368" s="10" t="n">
        <f aca="false">C3368*D3368</f>
        <v>6.36</v>
      </c>
    </row>
    <row r="3369" customFormat="false" ht="15" hidden="false" customHeight="false" outlineLevel="0" collapsed="false">
      <c r="A3369" s="9" t="s">
        <v>1574</v>
      </c>
      <c r="B3369" s="9" t="s">
        <v>39</v>
      </c>
      <c r="C3369" s="9" t="n">
        <v>6</v>
      </c>
      <c r="D3369" s="10" t="n">
        <v>2.75</v>
      </c>
      <c r="E3369" s="10" t="n">
        <f aca="false">C3369*D3369</f>
        <v>16.5</v>
      </c>
    </row>
    <row r="3370" customFormat="false" ht="15" hidden="false" customHeight="false" outlineLevel="0" collapsed="false">
      <c r="A3370" s="9" t="s">
        <v>1574</v>
      </c>
      <c r="B3370" s="9" t="s">
        <v>38</v>
      </c>
      <c r="C3370" s="9" t="n">
        <v>6</v>
      </c>
      <c r="D3370" s="10" t="n">
        <v>3.39</v>
      </c>
      <c r="E3370" s="10" t="n">
        <f aca="false">C3370*D3370</f>
        <v>20.34</v>
      </c>
    </row>
    <row r="3371" customFormat="false" ht="15" hidden="false" customHeight="false" outlineLevel="0" collapsed="false">
      <c r="A3371" s="9" t="s">
        <v>1574</v>
      </c>
      <c r="B3371" s="9" t="s">
        <v>37</v>
      </c>
      <c r="C3371" s="9" t="n">
        <v>6</v>
      </c>
      <c r="D3371" s="10" t="n">
        <v>2.55</v>
      </c>
      <c r="E3371" s="10" t="n">
        <f aca="false">C3371*D3371</f>
        <v>15.3</v>
      </c>
    </row>
    <row r="3372" customFormat="false" ht="15" hidden="false" customHeight="false" outlineLevel="0" collapsed="false">
      <c r="A3372" s="9" t="s">
        <v>1574</v>
      </c>
      <c r="B3372" s="9" t="s">
        <v>93</v>
      </c>
      <c r="C3372" s="9" t="n">
        <v>4</v>
      </c>
      <c r="D3372" s="10" t="n">
        <v>4.95</v>
      </c>
      <c r="E3372" s="10" t="n">
        <f aca="false">C3372*D3372</f>
        <v>19.8</v>
      </c>
    </row>
    <row r="3373" customFormat="false" ht="15" hidden="false" customHeight="false" outlineLevel="0" collapsed="false">
      <c r="A3373" s="9" t="s">
        <v>1575</v>
      </c>
      <c r="B3373" s="9" t="s">
        <v>45</v>
      </c>
      <c r="C3373" s="9" t="n">
        <v>6</v>
      </c>
      <c r="D3373" s="10" t="n">
        <v>1.85</v>
      </c>
      <c r="E3373" s="10" t="n">
        <f aca="false">C3373*D3373</f>
        <v>11.1</v>
      </c>
    </row>
    <row r="3374" customFormat="false" ht="15" hidden="false" customHeight="false" outlineLevel="0" collapsed="false">
      <c r="A3374" s="9" t="s">
        <v>1575</v>
      </c>
      <c r="B3374" s="9" t="s">
        <v>46</v>
      </c>
      <c r="C3374" s="9" t="n">
        <v>6</v>
      </c>
      <c r="D3374" s="10" t="n">
        <v>1.85</v>
      </c>
      <c r="E3374" s="10" t="n">
        <f aca="false">C3374*D3374</f>
        <v>11.1</v>
      </c>
    </row>
    <row r="3375" customFormat="false" ht="15" hidden="false" customHeight="false" outlineLevel="0" collapsed="false">
      <c r="A3375" s="9" t="s">
        <v>1576</v>
      </c>
      <c r="B3375" s="9" t="s">
        <v>1171</v>
      </c>
      <c r="C3375" s="9" t="n">
        <v>10</v>
      </c>
      <c r="D3375" s="10" t="n">
        <v>0.85</v>
      </c>
      <c r="E3375" s="10" t="n">
        <f aca="false">C3375*D3375</f>
        <v>8.5</v>
      </c>
    </row>
    <row r="3376" customFormat="false" ht="15" hidden="false" customHeight="false" outlineLevel="0" collapsed="false">
      <c r="A3376" s="9" t="s">
        <v>1576</v>
      </c>
      <c r="B3376" s="9" t="s">
        <v>989</v>
      </c>
      <c r="C3376" s="9" t="n">
        <v>1</v>
      </c>
      <c r="D3376" s="10" t="n">
        <v>9.95</v>
      </c>
      <c r="E3376" s="10" t="n">
        <f aca="false">C3376*D3376</f>
        <v>9.95</v>
      </c>
    </row>
    <row r="3377" customFormat="false" ht="15" hidden="false" customHeight="false" outlineLevel="0" collapsed="false">
      <c r="A3377" s="9" t="s">
        <v>1576</v>
      </c>
      <c r="B3377" s="9" t="s">
        <v>826</v>
      </c>
      <c r="C3377" s="9" t="n">
        <v>1</v>
      </c>
      <c r="D3377" s="10" t="n">
        <v>10.95</v>
      </c>
      <c r="E3377" s="10" t="n">
        <f aca="false">C3377*D3377</f>
        <v>10.95</v>
      </c>
    </row>
    <row r="3378" customFormat="false" ht="15" hidden="false" customHeight="false" outlineLevel="0" collapsed="false">
      <c r="A3378" s="9" t="s">
        <v>1576</v>
      </c>
      <c r="B3378" s="9" t="s">
        <v>447</v>
      </c>
      <c r="C3378" s="9" t="n">
        <v>12</v>
      </c>
      <c r="D3378" s="10" t="n">
        <v>1.25</v>
      </c>
      <c r="E3378" s="10" t="n">
        <f aca="false">C3378*D3378</f>
        <v>15</v>
      </c>
    </row>
    <row r="3379" customFormat="false" ht="15" hidden="false" customHeight="false" outlineLevel="0" collapsed="false">
      <c r="A3379" s="9" t="s">
        <v>1576</v>
      </c>
      <c r="B3379" s="9" t="s">
        <v>348</v>
      </c>
      <c r="C3379" s="9" t="n">
        <v>6</v>
      </c>
      <c r="D3379" s="10" t="n">
        <v>2.1</v>
      </c>
      <c r="E3379" s="10" t="n">
        <f aca="false">C3379*D3379</f>
        <v>12.6</v>
      </c>
    </row>
    <row r="3380" customFormat="false" ht="15" hidden="false" customHeight="false" outlineLevel="0" collapsed="false">
      <c r="A3380" s="9" t="s">
        <v>1576</v>
      </c>
      <c r="B3380" s="9" t="s">
        <v>128</v>
      </c>
      <c r="C3380" s="9" t="n">
        <v>12</v>
      </c>
      <c r="D3380" s="10" t="n">
        <v>1.45</v>
      </c>
      <c r="E3380" s="10" t="n">
        <f aca="false">C3380*D3380</f>
        <v>17.4</v>
      </c>
    </row>
    <row r="3381" customFormat="false" ht="15" hidden="false" customHeight="false" outlineLevel="0" collapsed="false">
      <c r="A3381" s="9" t="s">
        <v>1576</v>
      </c>
      <c r="B3381" s="9" t="s">
        <v>202</v>
      </c>
      <c r="C3381" s="9" t="n">
        <v>12</v>
      </c>
      <c r="D3381" s="10" t="n">
        <v>0.85</v>
      </c>
      <c r="E3381" s="10" t="n">
        <f aca="false">C3381*D3381</f>
        <v>10.2</v>
      </c>
    </row>
    <row r="3382" customFormat="false" ht="15" hidden="false" customHeight="false" outlineLevel="0" collapsed="false">
      <c r="A3382" s="9" t="s">
        <v>1576</v>
      </c>
      <c r="B3382" s="9" t="s">
        <v>1577</v>
      </c>
      <c r="C3382" s="9" t="n">
        <v>12</v>
      </c>
      <c r="D3382" s="10" t="n">
        <v>0.85</v>
      </c>
      <c r="E3382" s="10" t="n">
        <f aca="false">C3382*D3382</f>
        <v>10.2</v>
      </c>
    </row>
    <row r="3383" customFormat="false" ht="15" hidden="false" customHeight="false" outlineLevel="0" collapsed="false">
      <c r="A3383" s="9" t="s">
        <v>1576</v>
      </c>
      <c r="B3383" s="9" t="s">
        <v>488</v>
      </c>
      <c r="C3383" s="9" t="n">
        <v>10</v>
      </c>
      <c r="D3383" s="10" t="n">
        <v>1.65</v>
      </c>
      <c r="E3383" s="10" t="n">
        <f aca="false">C3383*D3383</f>
        <v>16.5</v>
      </c>
    </row>
    <row r="3384" customFormat="false" ht="15" hidden="false" customHeight="false" outlineLevel="0" collapsed="false">
      <c r="A3384" s="9" t="s">
        <v>1576</v>
      </c>
      <c r="B3384" s="9" t="s">
        <v>372</v>
      </c>
      <c r="C3384" s="9" t="n">
        <v>12</v>
      </c>
      <c r="D3384" s="10" t="n">
        <v>1.95</v>
      </c>
      <c r="E3384" s="10" t="n">
        <f aca="false">C3384*D3384</f>
        <v>23.4</v>
      </c>
    </row>
    <row r="3385" customFormat="false" ht="15" hidden="false" customHeight="false" outlineLevel="0" collapsed="false">
      <c r="A3385" s="9" t="s">
        <v>1576</v>
      </c>
      <c r="B3385" s="9" t="s">
        <v>225</v>
      </c>
      <c r="C3385" s="9" t="n">
        <v>3</v>
      </c>
      <c r="D3385" s="10" t="n">
        <v>4.95</v>
      </c>
      <c r="E3385" s="10" t="n">
        <f aca="false">C3385*D3385</f>
        <v>14.85</v>
      </c>
    </row>
    <row r="3386" customFormat="false" ht="15" hidden="false" customHeight="false" outlineLevel="0" collapsed="false">
      <c r="A3386" s="9" t="s">
        <v>1576</v>
      </c>
      <c r="B3386" s="9" t="s">
        <v>272</v>
      </c>
      <c r="C3386" s="9" t="n">
        <v>3</v>
      </c>
      <c r="D3386" s="10" t="n">
        <v>4.95</v>
      </c>
      <c r="E3386" s="10" t="n">
        <f aca="false">C3386*D3386</f>
        <v>14.85</v>
      </c>
    </row>
    <row r="3387" customFormat="false" ht="15" hidden="false" customHeight="false" outlineLevel="0" collapsed="false">
      <c r="A3387" s="9" t="s">
        <v>1576</v>
      </c>
      <c r="B3387" s="9" t="s">
        <v>262</v>
      </c>
      <c r="C3387" s="9" t="n">
        <v>4</v>
      </c>
      <c r="D3387" s="10" t="n">
        <v>3.45</v>
      </c>
      <c r="E3387" s="10" t="n">
        <f aca="false">C3387*D3387</f>
        <v>13.8</v>
      </c>
    </row>
    <row r="3388" customFormat="false" ht="15" hidden="false" customHeight="false" outlineLevel="0" collapsed="false">
      <c r="A3388" s="9" t="s">
        <v>1576</v>
      </c>
      <c r="B3388" s="9" t="s">
        <v>269</v>
      </c>
      <c r="C3388" s="9" t="n">
        <v>4</v>
      </c>
      <c r="D3388" s="10" t="n">
        <v>3.75</v>
      </c>
      <c r="E3388" s="10" t="n">
        <f aca="false">C3388*D3388</f>
        <v>15</v>
      </c>
    </row>
    <row r="3389" customFormat="false" ht="15" hidden="false" customHeight="false" outlineLevel="0" collapsed="false">
      <c r="A3389" s="9" t="s">
        <v>1576</v>
      </c>
      <c r="B3389" s="9" t="s">
        <v>97</v>
      </c>
      <c r="C3389" s="9" t="n">
        <v>12</v>
      </c>
      <c r="D3389" s="10" t="n">
        <v>1.25</v>
      </c>
      <c r="E3389" s="10" t="n">
        <f aca="false">C3389*D3389</f>
        <v>15</v>
      </c>
    </row>
    <row r="3390" customFormat="false" ht="15" hidden="false" customHeight="false" outlineLevel="0" collapsed="false">
      <c r="A3390" s="9" t="s">
        <v>1576</v>
      </c>
      <c r="B3390" s="9" t="s">
        <v>1444</v>
      </c>
      <c r="C3390" s="9" t="n">
        <v>12</v>
      </c>
      <c r="D3390" s="10" t="n">
        <v>1.25</v>
      </c>
      <c r="E3390" s="10" t="n">
        <f aca="false">C3390*D3390</f>
        <v>15</v>
      </c>
    </row>
    <row r="3391" customFormat="false" ht="15" hidden="false" customHeight="false" outlineLevel="0" collapsed="false">
      <c r="A3391" s="9" t="s">
        <v>1576</v>
      </c>
      <c r="B3391" s="9" t="s">
        <v>1147</v>
      </c>
      <c r="C3391" s="9" t="n">
        <v>10</v>
      </c>
      <c r="D3391" s="10" t="n">
        <v>1.25</v>
      </c>
      <c r="E3391" s="10" t="n">
        <f aca="false">C3391*D3391</f>
        <v>12.5</v>
      </c>
    </row>
    <row r="3392" customFormat="false" ht="15" hidden="false" customHeight="false" outlineLevel="0" collapsed="false">
      <c r="A3392" s="9" t="s">
        <v>1576</v>
      </c>
      <c r="B3392" s="9" t="s">
        <v>108</v>
      </c>
      <c r="C3392" s="9" t="n">
        <v>10</v>
      </c>
      <c r="D3392" s="10" t="n">
        <v>1.95</v>
      </c>
      <c r="E3392" s="10" t="n">
        <f aca="false">C3392*D3392</f>
        <v>19.5</v>
      </c>
    </row>
    <row r="3393" customFormat="false" ht="15" hidden="false" customHeight="false" outlineLevel="0" collapsed="false">
      <c r="A3393" s="9" t="s">
        <v>1576</v>
      </c>
      <c r="B3393" s="9" t="s">
        <v>193</v>
      </c>
      <c r="C3393" s="9" t="n">
        <v>10</v>
      </c>
      <c r="D3393" s="10" t="n">
        <v>1.95</v>
      </c>
      <c r="E3393" s="10" t="n">
        <f aca="false">C3393*D3393</f>
        <v>19.5</v>
      </c>
    </row>
    <row r="3394" customFormat="false" ht="15" hidden="false" customHeight="false" outlineLevel="0" collapsed="false">
      <c r="A3394" s="9" t="s">
        <v>1576</v>
      </c>
      <c r="B3394" s="9" t="s">
        <v>109</v>
      </c>
      <c r="C3394" s="9" t="n">
        <v>10</v>
      </c>
      <c r="D3394" s="10" t="n">
        <v>1.95</v>
      </c>
      <c r="E3394" s="10" t="n">
        <f aca="false">C3394*D3394</f>
        <v>19.5</v>
      </c>
    </row>
    <row r="3395" customFormat="false" ht="15" hidden="false" customHeight="false" outlineLevel="0" collapsed="false">
      <c r="A3395" s="9" t="s">
        <v>1576</v>
      </c>
      <c r="B3395" s="9" t="s">
        <v>337</v>
      </c>
      <c r="C3395" s="9" t="n">
        <v>4</v>
      </c>
      <c r="D3395" s="10" t="n">
        <v>4.65</v>
      </c>
      <c r="E3395" s="10" t="n">
        <f aca="false">C3395*D3395</f>
        <v>18.6</v>
      </c>
    </row>
    <row r="3396" customFormat="false" ht="15" hidden="false" customHeight="false" outlineLevel="0" collapsed="false">
      <c r="A3396" s="9" t="s">
        <v>1578</v>
      </c>
      <c r="B3396" s="9" t="s">
        <v>684</v>
      </c>
      <c r="C3396" s="9" t="n">
        <v>2</v>
      </c>
      <c r="D3396" s="10" t="n">
        <v>0.65</v>
      </c>
      <c r="E3396" s="10" t="n">
        <f aca="false">C3396*D3396</f>
        <v>1.3</v>
      </c>
    </row>
    <row r="3397" customFormat="false" ht="15" hidden="false" customHeight="false" outlineLevel="0" collapsed="false">
      <c r="A3397" s="9" t="s">
        <v>1578</v>
      </c>
      <c r="B3397" s="9" t="s">
        <v>682</v>
      </c>
      <c r="C3397" s="9" t="n">
        <v>2</v>
      </c>
      <c r="D3397" s="10" t="n">
        <v>0.65</v>
      </c>
      <c r="E3397" s="10" t="n">
        <f aca="false">C3397*D3397</f>
        <v>1.3</v>
      </c>
    </row>
    <row r="3398" customFormat="false" ht="15" hidden="false" customHeight="false" outlineLevel="0" collapsed="false">
      <c r="A3398" s="9" t="s">
        <v>1578</v>
      </c>
      <c r="B3398" s="9" t="s">
        <v>686</v>
      </c>
      <c r="C3398" s="9" t="n">
        <v>2</v>
      </c>
      <c r="D3398" s="10" t="n">
        <v>0.65</v>
      </c>
      <c r="E3398" s="10" t="n">
        <f aca="false">C3398*D3398</f>
        <v>1.3</v>
      </c>
    </row>
    <row r="3399" customFormat="false" ht="15" hidden="false" customHeight="false" outlineLevel="0" collapsed="false">
      <c r="A3399" s="9" t="s">
        <v>1578</v>
      </c>
      <c r="B3399" s="9" t="s">
        <v>490</v>
      </c>
      <c r="C3399" s="9" t="n">
        <v>24</v>
      </c>
      <c r="D3399" s="10" t="n">
        <v>0.85</v>
      </c>
      <c r="E3399" s="10" t="n">
        <f aca="false">C3399*D3399</f>
        <v>20.4</v>
      </c>
    </row>
    <row r="3400" customFormat="false" ht="15" hidden="false" customHeight="false" outlineLevel="0" collapsed="false">
      <c r="A3400" s="9" t="s">
        <v>1578</v>
      </c>
      <c r="B3400" s="9" t="s">
        <v>683</v>
      </c>
      <c r="C3400" s="9" t="n">
        <v>2</v>
      </c>
      <c r="D3400" s="10" t="n">
        <v>0.65</v>
      </c>
      <c r="E3400" s="10" t="n">
        <f aca="false">C3400*D3400</f>
        <v>1.3</v>
      </c>
    </row>
    <row r="3401" customFormat="false" ht="15" hidden="false" customHeight="false" outlineLevel="0" collapsed="false">
      <c r="A3401" s="9" t="s">
        <v>1578</v>
      </c>
      <c r="B3401" s="9" t="s">
        <v>687</v>
      </c>
      <c r="C3401" s="9" t="n">
        <v>2</v>
      </c>
      <c r="D3401" s="10" t="n">
        <v>0.65</v>
      </c>
      <c r="E3401" s="10" t="n">
        <f aca="false">C3401*D3401</f>
        <v>1.3</v>
      </c>
    </row>
    <row r="3402" customFormat="false" ht="15" hidden="false" customHeight="false" outlineLevel="0" collapsed="false">
      <c r="A3402" s="9" t="s">
        <v>1578</v>
      </c>
      <c r="B3402" s="9" t="s">
        <v>167</v>
      </c>
      <c r="C3402" s="9" t="n">
        <v>1</v>
      </c>
      <c r="D3402" s="10" t="n">
        <v>5.95</v>
      </c>
      <c r="E3402" s="10" t="n">
        <f aca="false">C3402*D3402</f>
        <v>5.95</v>
      </c>
    </row>
    <row r="3403" customFormat="false" ht="15" hidden="false" customHeight="false" outlineLevel="0" collapsed="false">
      <c r="A3403" s="9" t="s">
        <v>1578</v>
      </c>
      <c r="B3403" s="9" t="s">
        <v>685</v>
      </c>
      <c r="C3403" s="9" t="n">
        <v>2</v>
      </c>
      <c r="D3403" s="10" t="n">
        <v>0.65</v>
      </c>
      <c r="E3403" s="10" t="n">
        <f aca="false">C3403*D3403</f>
        <v>1.3</v>
      </c>
    </row>
    <row r="3404" customFormat="false" ht="15" hidden="false" customHeight="false" outlineLevel="0" collapsed="false">
      <c r="A3404" s="9" t="s">
        <v>1578</v>
      </c>
      <c r="B3404" s="9" t="s">
        <v>1579</v>
      </c>
      <c r="C3404" s="9" t="n">
        <v>4</v>
      </c>
      <c r="D3404" s="10" t="n">
        <v>10.75</v>
      </c>
      <c r="E3404" s="10" t="n">
        <f aca="false">C3404*D3404</f>
        <v>43</v>
      </c>
    </row>
    <row r="3405" customFormat="false" ht="15" hidden="false" customHeight="false" outlineLevel="0" collapsed="false">
      <c r="A3405" s="9" t="s">
        <v>1578</v>
      </c>
      <c r="B3405" s="9" t="s">
        <v>86</v>
      </c>
      <c r="C3405" s="9" t="n">
        <v>4</v>
      </c>
      <c r="D3405" s="10" t="n">
        <v>3.75</v>
      </c>
      <c r="E3405" s="10" t="n">
        <f aca="false">C3405*D3405</f>
        <v>15</v>
      </c>
    </row>
    <row r="3406" customFormat="false" ht="15" hidden="false" customHeight="false" outlineLevel="0" collapsed="false">
      <c r="A3406" s="9" t="s">
        <v>1578</v>
      </c>
      <c r="B3406" s="9" t="s">
        <v>260</v>
      </c>
      <c r="C3406" s="9" t="n">
        <v>4</v>
      </c>
      <c r="D3406" s="10" t="n">
        <v>3.75</v>
      </c>
      <c r="E3406" s="10" t="n">
        <f aca="false">C3406*D3406</f>
        <v>15</v>
      </c>
    </row>
    <row r="3407" customFormat="false" ht="15" hidden="false" customHeight="false" outlineLevel="0" collapsed="false">
      <c r="A3407" s="9" t="s">
        <v>1578</v>
      </c>
      <c r="B3407" s="9" t="s">
        <v>128</v>
      </c>
      <c r="C3407" s="9" t="n">
        <v>6</v>
      </c>
      <c r="D3407" s="10" t="n">
        <v>1.45</v>
      </c>
      <c r="E3407" s="10" t="n">
        <f aca="false">C3407*D3407</f>
        <v>8.7</v>
      </c>
    </row>
    <row r="3408" customFormat="false" ht="15" hidden="false" customHeight="false" outlineLevel="0" collapsed="false">
      <c r="A3408" s="9" t="s">
        <v>1578</v>
      </c>
      <c r="B3408" s="9" t="s">
        <v>88</v>
      </c>
      <c r="C3408" s="9" t="n">
        <v>10</v>
      </c>
      <c r="D3408" s="10" t="n">
        <v>2.95</v>
      </c>
      <c r="E3408" s="10" t="n">
        <f aca="false">C3408*D3408</f>
        <v>29.5</v>
      </c>
    </row>
    <row r="3409" customFormat="false" ht="15" hidden="false" customHeight="false" outlineLevel="0" collapsed="false">
      <c r="A3409" s="9" t="s">
        <v>1578</v>
      </c>
      <c r="B3409" s="9" t="s">
        <v>1352</v>
      </c>
      <c r="C3409" s="9" t="n">
        <v>3</v>
      </c>
      <c r="D3409" s="10" t="n">
        <v>3.35</v>
      </c>
      <c r="E3409" s="10" t="n">
        <f aca="false">C3409*D3409</f>
        <v>10.05</v>
      </c>
    </row>
    <row r="3410" customFormat="false" ht="15" hidden="false" customHeight="false" outlineLevel="0" collapsed="false">
      <c r="A3410" s="9" t="s">
        <v>1578</v>
      </c>
      <c r="B3410" s="9" t="s">
        <v>63</v>
      </c>
      <c r="C3410" s="9" t="n">
        <v>6</v>
      </c>
      <c r="D3410" s="10" t="n">
        <v>4.25</v>
      </c>
      <c r="E3410" s="10" t="n">
        <f aca="false">C3410*D3410</f>
        <v>25.5</v>
      </c>
    </row>
    <row r="3411" customFormat="false" ht="15" hidden="false" customHeight="false" outlineLevel="0" collapsed="false">
      <c r="A3411" s="9" t="s">
        <v>1578</v>
      </c>
      <c r="B3411" s="9" t="s">
        <v>1083</v>
      </c>
      <c r="C3411" s="9" t="n">
        <v>1</v>
      </c>
      <c r="D3411" s="10" t="n">
        <v>2.55</v>
      </c>
      <c r="E3411" s="10" t="n">
        <f aca="false">C3411*D3411</f>
        <v>2.55</v>
      </c>
    </row>
    <row r="3412" customFormat="false" ht="15" hidden="false" customHeight="false" outlineLevel="0" collapsed="false">
      <c r="A3412" s="9" t="s">
        <v>1578</v>
      </c>
      <c r="B3412" s="9" t="s">
        <v>487</v>
      </c>
      <c r="C3412" s="9" t="n">
        <v>24</v>
      </c>
      <c r="D3412" s="10" t="n">
        <v>0.55</v>
      </c>
      <c r="E3412" s="10" t="n">
        <f aca="false">C3412*D3412</f>
        <v>13.2</v>
      </c>
    </row>
    <row r="3413" customFormat="false" ht="15" hidden="false" customHeight="false" outlineLevel="0" collapsed="false">
      <c r="A3413" s="9" t="s">
        <v>1578</v>
      </c>
      <c r="B3413" s="9" t="s">
        <v>350</v>
      </c>
      <c r="C3413" s="9" t="n">
        <v>6</v>
      </c>
      <c r="D3413" s="10" t="n">
        <v>1.25</v>
      </c>
      <c r="E3413" s="10" t="n">
        <f aca="false">C3413*D3413</f>
        <v>7.5</v>
      </c>
    </row>
    <row r="3414" customFormat="false" ht="15" hidden="false" customHeight="false" outlineLevel="0" collapsed="false">
      <c r="A3414" s="9" t="s">
        <v>1580</v>
      </c>
      <c r="B3414" s="9" t="s">
        <v>820</v>
      </c>
      <c r="C3414" s="9" t="n">
        <v>12</v>
      </c>
      <c r="D3414" s="10" t="n">
        <v>0.29</v>
      </c>
      <c r="E3414" s="10" t="n">
        <f aca="false">C3414*D3414</f>
        <v>3.48</v>
      </c>
    </row>
    <row r="3415" customFormat="false" ht="15" hidden="false" customHeight="false" outlineLevel="0" collapsed="false">
      <c r="A3415" s="9" t="s">
        <v>1580</v>
      </c>
      <c r="B3415" s="9" t="s">
        <v>805</v>
      </c>
      <c r="C3415" s="9" t="n">
        <v>6</v>
      </c>
      <c r="D3415" s="10" t="n">
        <v>1.25</v>
      </c>
      <c r="E3415" s="10" t="n">
        <f aca="false">C3415*D3415</f>
        <v>7.5</v>
      </c>
    </row>
    <row r="3416" customFormat="false" ht="15" hidden="false" customHeight="false" outlineLevel="0" collapsed="false">
      <c r="A3416" s="9" t="s">
        <v>1580</v>
      </c>
      <c r="B3416" s="9" t="s">
        <v>1007</v>
      </c>
      <c r="C3416" s="9" t="n">
        <v>30</v>
      </c>
      <c r="D3416" s="10" t="n">
        <v>0.85</v>
      </c>
      <c r="E3416" s="10" t="n">
        <f aca="false">C3416*D3416</f>
        <v>25.5</v>
      </c>
    </row>
    <row r="3417" customFormat="false" ht="15" hidden="false" customHeight="false" outlineLevel="0" collapsed="false">
      <c r="A3417" s="9" t="s">
        <v>1580</v>
      </c>
      <c r="B3417" s="9" t="s">
        <v>367</v>
      </c>
      <c r="C3417" s="9" t="n">
        <v>2</v>
      </c>
      <c r="D3417" s="10" t="n">
        <v>1.45</v>
      </c>
      <c r="E3417" s="10" t="n">
        <f aca="false">C3417*D3417</f>
        <v>2.9</v>
      </c>
    </row>
    <row r="3418" customFormat="false" ht="15" hidden="false" customHeight="false" outlineLevel="0" collapsed="false">
      <c r="A3418" s="9" t="s">
        <v>1580</v>
      </c>
      <c r="B3418" s="9" t="s">
        <v>1581</v>
      </c>
      <c r="C3418" s="9" t="n">
        <v>3</v>
      </c>
      <c r="D3418" s="10" t="n">
        <v>6.75</v>
      </c>
      <c r="E3418" s="10" t="n">
        <f aca="false">C3418*D3418</f>
        <v>20.25</v>
      </c>
    </row>
    <row r="3419" customFormat="false" ht="15" hidden="false" customHeight="false" outlineLevel="0" collapsed="false">
      <c r="A3419" s="9" t="s">
        <v>1580</v>
      </c>
      <c r="B3419" s="9" t="s">
        <v>94</v>
      </c>
      <c r="C3419" s="9" t="n">
        <v>2</v>
      </c>
      <c r="D3419" s="10" t="n">
        <v>2.95</v>
      </c>
      <c r="E3419" s="10" t="n">
        <f aca="false">C3419*D3419</f>
        <v>5.9</v>
      </c>
    </row>
    <row r="3420" customFormat="false" ht="15" hidden="false" customHeight="false" outlineLevel="0" collapsed="false">
      <c r="A3420" s="9" t="s">
        <v>1580</v>
      </c>
      <c r="B3420" s="9" t="s">
        <v>229</v>
      </c>
      <c r="C3420" s="9" t="n">
        <v>52</v>
      </c>
      <c r="D3420" s="10" t="n">
        <v>0.85</v>
      </c>
      <c r="E3420" s="10" t="n">
        <f aca="false">C3420*D3420</f>
        <v>44.2</v>
      </c>
    </row>
    <row r="3421" customFormat="false" ht="15" hidden="false" customHeight="false" outlineLevel="0" collapsed="false">
      <c r="A3421" s="9" t="s">
        <v>1580</v>
      </c>
      <c r="B3421" s="9" t="s">
        <v>1203</v>
      </c>
      <c r="C3421" s="9" t="n">
        <v>2</v>
      </c>
      <c r="D3421" s="10" t="n">
        <v>2.1</v>
      </c>
      <c r="E3421" s="10" t="n">
        <f aca="false">C3421*D3421</f>
        <v>4.2</v>
      </c>
    </row>
    <row r="3422" customFormat="false" ht="15" hidden="false" customHeight="false" outlineLevel="0" collapsed="false">
      <c r="A3422" s="9" t="s">
        <v>1580</v>
      </c>
      <c r="B3422" s="9" t="s">
        <v>1373</v>
      </c>
      <c r="C3422" s="9" t="n">
        <v>1</v>
      </c>
      <c r="D3422" s="10" t="n">
        <v>2.1</v>
      </c>
      <c r="E3422" s="10" t="n">
        <f aca="false">C3422*D3422</f>
        <v>2.1</v>
      </c>
    </row>
    <row r="3423" customFormat="false" ht="15" hidden="false" customHeight="false" outlineLevel="0" collapsed="false">
      <c r="A3423" s="9" t="s">
        <v>1580</v>
      </c>
      <c r="B3423" s="9" t="s">
        <v>342</v>
      </c>
      <c r="C3423" s="9" t="n">
        <v>20</v>
      </c>
      <c r="D3423" s="10" t="n">
        <v>1.65</v>
      </c>
      <c r="E3423" s="10" t="n">
        <f aca="false">C3423*D3423</f>
        <v>33</v>
      </c>
    </row>
    <row r="3424" customFormat="false" ht="15" hidden="false" customHeight="false" outlineLevel="0" collapsed="false">
      <c r="A3424" s="9" t="s">
        <v>1580</v>
      </c>
      <c r="B3424" s="9" t="s">
        <v>1022</v>
      </c>
      <c r="C3424" s="9" t="n">
        <v>12</v>
      </c>
      <c r="D3424" s="10" t="n">
        <v>1.25</v>
      </c>
      <c r="E3424" s="10" t="n">
        <f aca="false">C3424*D3424</f>
        <v>15</v>
      </c>
    </row>
    <row r="3425" customFormat="false" ht="15" hidden="false" customHeight="false" outlineLevel="0" collapsed="false">
      <c r="A3425" s="9" t="s">
        <v>1580</v>
      </c>
      <c r="B3425" s="9" t="s">
        <v>1582</v>
      </c>
      <c r="C3425" s="9" t="n">
        <v>12</v>
      </c>
      <c r="D3425" s="10" t="n">
        <v>1.25</v>
      </c>
      <c r="E3425" s="10" t="n">
        <f aca="false">C3425*D3425</f>
        <v>15</v>
      </c>
    </row>
    <row r="3426" customFormat="false" ht="15" hidden="false" customHeight="false" outlineLevel="0" collapsed="false">
      <c r="A3426" s="9" t="s">
        <v>1580</v>
      </c>
      <c r="B3426" s="9" t="s">
        <v>180</v>
      </c>
      <c r="C3426" s="9" t="n">
        <v>4</v>
      </c>
      <c r="D3426" s="10" t="n">
        <v>2.95</v>
      </c>
      <c r="E3426" s="10" t="n">
        <f aca="false">C3426*D3426</f>
        <v>11.8</v>
      </c>
    </row>
    <row r="3427" customFormat="false" ht="15" hidden="false" customHeight="false" outlineLevel="0" collapsed="false">
      <c r="A3427" s="9" t="s">
        <v>1580</v>
      </c>
      <c r="B3427" s="9" t="s">
        <v>72</v>
      </c>
      <c r="C3427" s="9" t="n">
        <v>1</v>
      </c>
      <c r="D3427" s="10" t="n">
        <v>2.95</v>
      </c>
      <c r="E3427" s="10" t="n">
        <f aca="false">C3427*D3427</f>
        <v>2.95</v>
      </c>
    </row>
    <row r="3428" customFormat="false" ht="15" hidden="false" customHeight="false" outlineLevel="0" collapsed="false">
      <c r="A3428" s="9" t="s">
        <v>1583</v>
      </c>
      <c r="B3428" s="9" t="s">
        <v>270</v>
      </c>
      <c r="C3428" s="9" t="n">
        <v>12</v>
      </c>
      <c r="D3428" s="10" t="n">
        <v>4.95</v>
      </c>
      <c r="E3428" s="10" t="n">
        <f aca="false">C3428*D3428</f>
        <v>59.4</v>
      </c>
    </row>
    <row r="3429" customFormat="false" ht="15" hidden="false" customHeight="false" outlineLevel="0" collapsed="false">
      <c r="A3429" s="9" t="s">
        <v>1583</v>
      </c>
      <c r="B3429" s="9" t="s">
        <v>105</v>
      </c>
      <c r="C3429" s="9" t="n">
        <v>8</v>
      </c>
      <c r="D3429" s="10" t="n">
        <v>3.95</v>
      </c>
      <c r="E3429" s="10" t="n">
        <f aca="false">C3429*D3429</f>
        <v>31.6</v>
      </c>
    </row>
    <row r="3430" customFormat="false" ht="15" hidden="false" customHeight="false" outlineLevel="0" collapsed="false">
      <c r="A3430" s="9" t="s">
        <v>1583</v>
      </c>
      <c r="B3430" s="9" t="s">
        <v>41</v>
      </c>
      <c r="C3430" s="9" t="n">
        <v>8</v>
      </c>
      <c r="D3430" s="10" t="n">
        <v>3.75</v>
      </c>
      <c r="E3430" s="10" t="n">
        <f aca="false">C3430*D3430</f>
        <v>30</v>
      </c>
    </row>
    <row r="3431" customFormat="false" ht="15" hidden="false" customHeight="false" outlineLevel="0" collapsed="false">
      <c r="A3431" s="9" t="s">
        <v>1583</v>
      </c>
      <c r="B3431" s="9" t="s">
        <v>440</v>
      </c>
      <c r="C3431" s="9" t="n">
        <v>12</v>
      </c>
      <c r="D3431" s="10" t="n">
        <v>1.65</v>
      </c>
      <c r="E3431" s="10" t="n">
        <f aca="false">C3431*D3431</f>
        <v>19.8</v>
      </c>
    </row>
    <row r="3432" customFormat="false" ht="15" hidden="false" customHeight="false" outlineLevel="0" collapsed="false">
      <c r="A3432" s="9" t="s">
        <v>1583</v>
      </c>
      <c r="B3432" s="9" t="s">
        <v>475</v>
      </c>
      <c r="C3432" s="9" t="n">
        <v>12</v>
      </c>
      <c r="D3432" s="10" t="n">
        <v>1.65</v>
      </c>
      <c r="E3432" s="10" t="n">
        <f aca="false">C3432*D3432</f>
        <v>19.8</v>
      </c>
    </row>
    <row r="3433" customFormat="false" ht="15" hidden="false" customHeight="false" outlineLevel="0" collapsed="false">
      <c r="A3433" s="9" t="s">
        <v>1583</v>
      </c>
      <c r="B3433" s="9" t="s">
        <v>53</v>
      </c>
      <c r="C3433" s="9" t="n">
        <v>6</v>
      </c>
      <c r="D3433" s="10" t="n">
        <v>5.95</v>
      </c>
      <c r="E3433" s="10" t="n">
        <f aca="false">C3433*D3433</f>
        <v>35.7</v>
      </c>
    </row>
    <row r="3434" customFormat="false" ht="15" hidden="false" customHeight="false" outlineLevel="0" collapsed="false">
      <c r="A3434" s="9" t="s">
        <v>1583</v>
      </c>
      <c r="B3434" s="9" t="s">
        <v>239</v>
      </c>
      <c r="C3434" s="9" t="n">
        <v>8</v>
      </c>
      <c r="D3434" s="10" t="n">
        <v>5.95</v>
      </c>
      <c r="E3434" s="10" t="n">
        <f aca="false">C3434*D3434</f>
        <v>47.6</v>
      </c>
    </row>
    <row r="3435" customFormat="false" ht="15" hidden="false" customHeight="false" outlineLevel="0" collapsed="false">
      <c r="A3435" s="9" t="s">
        <v>1583</v>
      </c>
      <c r="B3435" s="9" t="s">
        <v>1584</v>
      </c>
      <c r="C3435" s="9" t="n">
        <v>4</v>
      </c>
      <c r="D3435" s="10" t="n">
        <v>7.95</v>
      </c>
      <c r="E3435" s="10" t="n">
        <f aca="false">C3435*D3435</f>
        <v>31.8</v>
      </c>
    </row>
    <row r="3436" customFormat="false" ht="15" hidden="false" customHeight="false" outlineLevel="0" collapsed="false">
      <c r="A3436" s="9" t="s">
        <v>1583</v>
      </c>
      <c r="B3436" s="9" t="s">
        <v>333</v>
      </c>
      <c r="C3436" s="9" t="n">
        <v>8</v>
      </c>
      <c r="D3436" s="10" t="n">
        <v>2.1</v>
      </c>
      <c r="E3436" s="10" t="n">
        <f aca="false">C3436*D3436</f>
        <v>16.8</v>
      </c>
    </row>
    <row r="3437" customFormat="false" ht="15" hidden="false" customHeight="false" outlineLevel="0" collapsed="false">
      <c r="A3437" s="9" t="s">
        <v>1583</v>
      </c>
      <c r="B3437" s="9" t="s">
        <v>1248</v>
      </c>
      <c r="C3437" s="9" t="n">
        <v>48</v>
      </c>
      <c r="D3437" s="10" t="n">
        <v>1.06</v>
      </c>
      <c r="E3437" s="10" t="n">
        <f aca="false">C3437*D3437</f>
        <v>50.88</v>
      </c>
    </row>
    <row r="3438" customFormat="false" ht="15" hidden="false" customHeight="false" outlineLevel="0" collapsed="false">
      <c r="A3438" s="9" t="s">
        <v>1583</v>
      </c>
      <c r="B3438" s="9" t="s">
        <v>252</v>
      </c>
      <c r="C3438" s="9" t="n">
        <v>12</v>
      </c>
      <c r="D3438" s="10" t="n">
        <v>2.1</v>
      </c>
      <c r="E3438" s="10" t="n">
        <f aca="false">C3438*D3438</f>
        <v>25.2</v>
      </c>
    </row>
    <row r="3439" customFormat="false" ht="15" hidden="false" customHeight="false" outlineLevel="0" collapsed="false">
      <c r="A3439" s="9" t="s">
        <v>1583</v>
      </c>
      <c r="B3439" s="9" t="s">
        <v>326</v>
      </c>
      <c r="C3439" s="9" t="n">
        <v>12</v>
      </c>
      <c r="D3439" s="10" t="n">
        <v>2.55</v>
      </c>
      <c r="E3439" s="10" t="n">
        <f aca="false">C3439*D3439</f>
        <v>30.6</v>
      </c>
    </row>
    <row r="3440" customFormat="false" ht="15" hidden="false" customHeight="false" outlineLevel="0" collapsed="false">
      <c r="A3440" s="9" t="s">
        <v>1583</v>
      </c>
      <c r="B3440" s="9" t="s">
        <v>1445</v>
      </c>
      <c r="C3440" s="9" t="n">
        <v>12</v>
      </c>
      <c r="D3440" s="10" t="n">
        <v>1.25</v>
      </c>
      <c r="E3440" s="10" t="n">
        <f aca="false">C3440*D3440</f>
        <v>15</v>
      </c>
    </row>
    <row r="3441" customFormat="false" ht="15" hidden="false" customHeight="false" outlineLevel="0" collapsed="false">
      <c r="A3441" s="9" t="s">
        <v>1583</v>
      </c>
      <c r="B3441" s="9" t="s">
        <v>794</v>
      </c>
      <c r="C3441" s="9" t="n">
        <v>12</v>
      </c>
      <c r="D3441" s="10" t="n">
        <v>1.25</v>
      </c>
      <c r="E3441" s="10" t="n">
        <f aca="false">C3441*D3441</f>
        <v>15</v>
      </c>
    </row>
    <row r="3442" customFormat="false" ht="15" hidden="false" customHeight="false" outlineLevel="0" collapsed="false">
      <c r="A3442" s="9" t="s">
        <v>1583</v>
      </c>
      <c r="B3442" s="9" t="s">
        <v>1481</v>
      </c>
      <c r="C3442" s="9" t="n">
        <v>12</v>
      </c>
      <c r="D3442" s="10" t="n">
        <v>1.25</v>
      </c>
      <c r="E3442" s="10" t="n">
        <f aca="false">C3442*D3442</f>
        <v>15</v>
      </c>
    </row>
    <row r="3443" customFormat="false" ht="15" hidden="false" customHeight="false" outlineLevel="0" collapsed="false">
      <c r="A3443" s="9" t="s">
        <v>1583</v>
      </c>
      <c r="B3443" s="9" t="s">
        <v>388</v>
      </c>
      <c r="C3443" s="9" t="n">
        <v>12</v>
      </c>
      <c r="D3443" s="10" t="n">
        <v>2.1</v>
      </c>
      <c r="E3443" s="10" t="n">
        <f aca="false">C3443*D3443</f>
        <v>25.2</v>
      </c>
    </row>
    <row r="3444" customFormat="false" ht="15" hidden="false" customHeight="false" outlineLevel="0" collapsed="false">
      <c r="A3444" s="9" t="s">
        <v>1583</v>
      </c>
      <c r="B3444" s="9" t="s">
        <v>128</v>
      </c>
      <c r="C3444" s="9" t="n">
        <v>12</v>
      </c>
      <c r="D3444" s="10" t="n">
        <v>1.45</v>
      </c>
      <c r="E3444" s="10" t="n">
        <f aca="false">C3444*D3444</f>
        <v>17.4</v>
      </c>
    </row>
    <row r="3445" customFormat="false" ht="15" hidden="false" customHeight="false" outlineLevel="0" collapsed="false">
      <c r="A3445" s="9" t="s">
        <v>1583</v>
      </c>
      <c r="B3445" s="9" t="s">
        <v>1585</v>
      </c>
      <c r="C3445" s="9" t="n">
        <v>8</v>
      </c>
      <c r="D3445" s="10" t="n">
        <v>4.25</v>
      </c>
      <c r="E3445" s="10" t="n">
        <f aca="false">C3445*D3445</f>
        <v>34</v>
      </c>
    </row>
    <row r="3446" customFormat="false" ht="15" hidden="false" customHeight="false" outlineLevel="0" collapsed="false">
      <c r="A3446" s="9" t="s">
        <v>1583</v>
      </c>
      <c r="B3446" s="9" t="s">
        <v>868</v>
      </c>
      <c r="C3446" s="9" t="n">
        <v>16</v>
      </c>
      <c r="D3446" s="10" t="n">
        <v>1.65</v>
      </c>
      <c r="E3446" s="10" t="n">
        <f aca="false">C3446*D3446</f>
        <v>26.4</v>
      </c>
    </row>
    <row r="3447" customFormat="false" ht="15" hidden="false" customHeight="false" outlineLevel="0" collapsed="false">
      <c r="A3447" s="9" t="s">
        <v>1583</v>
      </c>
      <c r="B3447" s="9" t="s">
        <v>1203</v>
      </c>
      <c r="C3447" s="9" t="n">
        <v>12</v>
      </c>
      <c r="D3447" s="10" t="n">
        <v>2.1</v>
      </c>
      <c r="E3447" s="10" t="n">
        <f aca="false">C3447*D3447</f>
        <v>25.2</v>
      </c>
    </row>
    <row r="3448" customFormat="false" ht="15" hidden="false" customHeight="false" outlineLevel="0" collapsed="false">
      <c r="A3448" s="9" t="s">
        <v>1586</v>
      </c>
      <c r="B3448" s="9" t="s">
        <v>88</v>
      </c>
      <c r="C3448" s="9" t="n">
        <v>36</v>
      </c>
      <c r="D3448" s="10" t="n">
        <v>2.95</v>
      </c>
      <c r="E3448" s="10" t="n">
        <f aca="false">C3448*D3448</f>
        <v>106.2</v>
      </c>
    </row>
    <row r="3449" customFormat="false" ht="15" hidden="false" customHeight="false" outlineLevel="0" collapsed="false">
      <c r="A3449" s="9" t="s">
        <v>1587</v>
      </c>
      <c r="B3449" s="9" t="s">
        <v>1551</v>
      </c>
      <c r="C3449" s="9" t="n">
        <v>3</v>
      </c>
      <c r="D3449" s="10" t="n">
        <v>0.85</v>
      </c>
      <c r="E3449" s="10" t="n">
        <f aca="false">C3449*D3449</f>
        <v>2.55</v>
      </c>
    </row>
    <row r="3450" customFormat="false" ht="15" hidden="false" customHeight="false" outlineLevel="0" collapsed="false">
      <c r="A3450" s="9" t="s">
        <v>1587</v>
      </c>
      <c r="B3450" s="9" t="s">
        <v>1153</v>
      </c>
      <c r="C3450" s="9" t="n">
        <v>3</v>
      </c>
      <c r="D3450" s="10" t="n">
        <v>1.25</v>
      </c>
      <c r="E3450" s="10" t="n">
        <f aca="false">C3450*D3450</f>
        <v>3.75</v>
      </c>
    </row>
    <row r="3451" customFormat="false" ht="15" hidden="false" customHeight="false" outlineLevel="0" collapsed="false">
      <c r="A3451" s="9" t="s">
        <v>1587</v>
      </c>
      <c r="B3451" s="9" t="s">
        <v>1588</v>
      </c>
      <c r="C3451" s="9" t="n">
        <v>4</v>
      </c>
      <c r="D3451" s="10" t="n">
        <v>1.25</v>
      </c>
      <c r="E3451" s="10" t="n">
        <f aca="false">C3451*D3451</f>
        <v>5</v>
      </c>
    </row>
    <row r="3452" customFormat="false" ht="15" hidden="false" customHeight="false" outlineLevel="0" collapsed="false">
      <c r="A3452" s="9" t="s">
        <v>1587</v>
      </c>
      <c r="B3452" s="9" t="s">
        <v>1125</v>
      </c>
      <c r="C3452" s="9" t="n">
        <v>1</v>
      </c>
      <c r="D3452" s="10" t="n">
        <v>0.85</v>
      </c>
      <c r="E3452" s="10" t="n">
        <f aca="false">C3452*D3452</f>
        <v>0.85</v>
      </c>
    </row>
    <row r="3453" customFormat="false" ht="15" hidden="false" customHeight="false" outlineLevel="0" collapsed="false">
      <c r="A3453" s="9" t="s">
        <v>1587</v>
      </c>
      <c r="B3453" s="9" t="s">
        <v>497</v>
      </c>
      <c r="C3453" s="9" t="n">
        <v>6</v>
      </c>
      <c r="D3453" s="10" t="n">
        <v>0.85</v>
      </c>
      <c r="E3453" s="10" t="n">
        <f aca="false">C3453*D3453</f>
        <v>5.1</v>
      </c>
    </row>
    <row r="3454" customFormat="false" ht="15" hidden="false" customHeight="false" outlineLevel="0" collapsed="false">
      <c r="A3454" s="9" t="s">
        <v>1587</v>
      </c>
      <c r="B3454" s="9" t="s">
        <v>211</v>
      </c>
      <c r="C3454" s="9" t="n">
        <v>1</v>
      </c>
      <c r="D3454" s="10" t="n">
        <v>1.65</v>
      </c>
      <c r="E3454" s="10" t="n">
        <f aca="false">C3454*D3454</f>
        <v>1.65</v>
      </c>
    </row>
    <row r="3455" customFormat="false" ht="15" hidden="false" customHeight="false" outlineLevel="0" collapsed="false">
      <c r="A3455" s="9" t="s">
        <v>1587</v>
      </c>
      <c r="B3455" s="9" t="s">
        <v>402</v>
      </c>
      <c r="C3455" s="9" t="n">
        <v>24</v>
      </c>
      <c r="D3455" s="10" t="n">
        <v>0.65</v>
      </c>
      <c r="E3455" s="10" t="n">
        <f aca="false">C3455*D3455</f>
        <v>15.6</v>
      </c>
    </row>
    <row r="3456" customFormat="false" ht="15" hidden="false" customHeight="false" outlineLevel="0" collapsed="false">
      <c r="A3456" s="9" t="s">
        <v>1587</v>
      </c>
      <c r="B3456" s="9" t="s">
        <v>748</v>
      </c>
      <c r="C3456" s="9" t="n">
        <v>8</v>
      </c>
      <c r="D3456" s="10" t="n">
        <v>1.65</v>
      </c>
      <c r="E3456" s="10" t="n">
        <f aca="false">C3456*D3456</f>
        <v>13.2</v>
      </c>
    </row>
    <row r="3457" customFormat="false" ht="15" hidden="false" customHeight="false" outlineLevel="0" collapsed="false">
      <c r="A3457" s="9" t="s">
        <v>1587</v>
      </c>
      <c r="B3457" s="9" t="s">
        <v>316</v>
      </c>
      <c r="C3457" s="9" t="n">
        <v>1</v>
      </c>
      <c r="D3457" s="10" t="n">
        <v>1.65</v>
      </c>
      <c r="E3457" s="10" t="n">
        <f aca="false">C3457*D3457</f>
        <v>1.65</v>
      </c>
    </row>
    <row r="3458" customFormat="false" ht="15" hidden="false" customHeight="false" outlineLevel="0" collapsed="false">
      <c r="A3458" s="9" t="s">
        <v>1587</v>
      </c>
      <c r="B3458" s="9" t="s">
        <v>535</v>
      </c>
      <c r="C3458" s="9" t="n">
        <v>2</v>
      </c>
      <c r="D3458" s="10" t="n">
        <v>1.25</v>
      </c>
      <c r="E3458" s="10" t="n">
        <f aca="false">C3458*D3458</f>
        <v>2.5</v>
      </c>
    </row>
    <row r="3459" customFormat="false" ht="15" hidden="false" customHeight="false" outlineLevel="0" collapsed="false">
      <c r="A3459" s="9" t="s">
        <v>1587</v>
      </c>
      <c r="B3459" s="9" t="s">
        <v>816</v>
      </c>
      <c r="C3459" s="9" t="n">
        <v>3</v>
      </c>
      <c r="D3459" s="10" t="n">
        <v>0.42</v>
      </c>
      <c r="E3459" s="10" t="n">
        <f aca="false">C3459*D3459</f>
        <v>1.26</v>
      </c>
    </row>
    <row r="3460" customFormat="false" ht="15" hidden="false" customHeight="false" outlineLevel="0" collapsed="false">
      <c r="A3460" s="9" t="s">
        <v>1587</v>
      </c>
      <c r="B3460" s="9" t="s">
        <v>1589</v>
      </c>
      <c r="C3460" s="9" t="n">
        <v>2</v>
      </c>
      <c r="D3460" s="10" t="n">
        <v>9.95</v>
      </c>
      <c r="E3460" s="10" t="n">
        <f aca="false">C3460*D3460</f>
        <v>19.9</v>
      </c>
    </row>
    <row r="3461" customFormat="false" ht="15" hidden="false" customHeight="false" outlineLevel="0" collapsed="false">
      <c r="A3461" s="9" t="s">
        <v>1587</v>
      </c>
      <c r="B3461" s="9" t="s">
        <v>581</v>
      </c>
      <c r="C3461" s="9" t="n">
        <v>1</v>
      </c>
      <c r="D3461" s="10" t="n">
        <v>0.85</v>
      </c>
      <c r="E3461" s="10" t="n">
        <f aca="false">C3461*D3461</f>
        <v>0.85</v>
      </c>
    </row>
    <row r="3462" customFormat="false" ht="15" hidden="false" customHeight="false" outlineLevel="0" collapsed="false">
      <c r="A3462" s="9" t="s">
        <v>1587</v>
      </c>
      <c r="B3462" s="9" t="s">
        <v>696</v>
      </c>
      <c r="C3462" s="9" t="n">
        <v>1</v>
      </c>
      <c r="D3462" s="10" t="n">
        <v>1.25</v>
      </c>
      <c r="E3462" s="10" t="n">
        <f aca="false">C3462*D3462</f>
        <v>1.25</v>
      </c>
    </row>
    <row r="3463" customFormat="false" ht="15" hidden="false" customHeight="false" outlineLevel="0" collapsed="false">
      <c r="A3463" s="9" t="s">
        <v>1587</v>
      </c>
      <c r="B3463" s="9" t="s">
        <v>684</v>
      </c>
      <c r="C3463" s="9" t="n">
        <v>1</v>
      </c>
      <c r="D3463" s="10" t="n">
        <v>0.65</v>
      </c>
      <c r="E3463" s="10" t="n">
        <f aca="false">C3463*D3463</f>
        <v>0.65</v>
      </c>
    </row>
    <row r="3464" customFormat="false" ht="15" hidden="false" customHeight="false" outlineLevel="0" collapsed="false">
      <c r="A3464" s="9" t="s">
        <v>1587</v>
      </c>
      <c r="B3464" s="9" t="s">
        <v>685</v>
      </c>
      <c r="C3464" s="9" t="n">
        <v>1</v>
      </c>
      <c r="D3464" s="10" t="n">
        <v>0.65</v>
      </c>
      <c r="E3464" s="10" t="n">
        <f aca="false">C3464*D3464</f>
        <v>0.65</v>
      </c>
    </row>
    <row r="3465" customFormat="false" ht="15" hidden="false" customHeight="false" outlineLevel="0" collapsed="false">
      <c r="A3465" s="9" t="s">
        <v>1587</v>
      </c>
      <c r="B3465" s="9" t="s">
        <v>686</v>
      </c>
      <c r="C3465" s="9" t="n">
        <v>2</v>
      </c>
      <c r="D3465" s="10" t="n">
        <v>0.65</v>
      </c>
      <c r="E3465" s="10" t="n">
        <f aca="false">C3465*D3465</f>
        <v>1.3</v>
      </c>
    </row>
    <row r="3466" customFormat="false" ht="15" hidden="false" customHeight="false" outlineLevel="0" collapsed="false">
      <c r="A3466" s="9" t="s">
        <v>1587</v>
      </c>
      <c r="B3466" s="9" t="s">
        <v>687</v>
      </c>
      <c r="C3466" s="9" t="n">
        <v>2</v>
      </c>
      <c r="D3466" s="10" t="n">
        <v>0.65</v>
      </c>
      <c r="E3466" s="10" t="n">
        <f aca="false">C3466*D3466</f>
        <v>1.3</v>
      </c>
    </row>
    <row r="3467" customFormat="false" ht="15" hidden="false" customHeight="false" outlineLevel="0" collapsed="false">
      <c r="A3467" s="9" t="s">
        <v>1587</v>
      </c>
      <c r="B3467" s="9" t="s">
        <v>682</v>
      </c>
      <c r="C3467" s="9" t="n">
        <v>2</v>
      </c>
      <c r="D3467" s="10" t="n">
        <v>0.65</v>
      </c>
      <c r="E3467" s="10" t="n">
        <f aca="false">C3467*D3467</f>
        <v>1.3</v>
      </c>
    </row>
    <row r="3468" customFormat="false" ht="15" hidden="false" customHeight="false" outlineLevel="0" collapsed="false">
      <c r="A3468" s="9" t="s">
        <v>1587</v>
      </c>
      <c r="B3468" s="9" t="s">
        <v>813</v>
      </c>
      <c r="C3468" s="9" t="n">
        <v>1</v>
      </c>
      <c r="D3468" s="10" t="n">
        <v>0.42</v>
      </c>
      <c r="E3468" s="10" t="n">
        <f aca="false">C3468*D3468</f>
        <v>0.42</v>
      </c>
    </row>
    <row r="3469" customFormat="false" ht="15" hidden="false" customHeight="false" outlineLevel="0" collapsed="false">
      <c r="A3469" s="9" t="s">
        <v>1587</v>
      </c>
      <c r="B3469" s="9" t="s">
        <v>68</v>
      </c>
      <c r="C3469" s="9" t="n">
        <v>1</v>
      </c>
      <c r="D3469" s="10" t="n">
        <v>1.95</v>
      </c>
      <c r="E3469" s="10" t="n">
        <f aca="false">C3469*D3469</f>
        <v>1.95</v>
      </c>
    </row>
    <row r="3470" customFormat="false" ht="15" hidden="false" customHeight="false" outlineLevel="0" collapsed="false">
      <c r="A3470" s="9" t="s">
        <v>1587</v>
      </c>
      <c r="B3470" s="9" t="s">
        <v>804</v>
      </c>
      <c r="C3470" s="9" t="n">
        <v>1</v>
      </c>
      <c r="D3470" s="10" t="n">
        <v>1.25</v>
      </c>
      <c r="E3470" s="10" t="n">
        <f aca="false">C3470*D3470</f>
        <v>1.25</v>
      </c>
    </row>
    <row r="3471" customFormat="false" ht="15" hidden="false" customHeight="false" outlineLevel="0" collapsed="false">
      <c r="A3471" s="9" t="s">
        <v>1587</v>
      </c>
      <c r="B3471" s="9" t="s">
        <v>1590</v>
      </c>
      <c r="C3471" s="9" t="n">
        <v>1</v>
      </c>
      <c r="D3471" s="10" t="n">
        <v>1.25</v>
      </c>
      <c r="E3471" s="10" t="n">
        <f aca="false">C3471*D3471</f>
        <v>1.25</v>
      </c>
    </row>
    <row r="3472" customFormat="false" ht="15" hidden="false" customHeight="false" outlineLevel="0" collapsed="false">
      <c r="A3472" s="9" t="s">
        <v>1587</v>
      </c>
      <c r="B3472" s="9" t="s">
        <v>1591</v>
      </c>
      <c r="C3472" s="9" t="n">
        <v>1</v>
      </c>
      <c r="D3472" s="10" t="n">
        <v>2.55</v>
      </c>
      <c r="E3472" s="10" t="n">
        <f aca="false">C3472*D3472</f>
        <v>2.55</v>
      </c>
    </row>
    <row r="3473" customFormat="false" ht="15" hidden="false" customHeight="false" outlineLevel="0" collapsed="false">
      <c r="A3473" s="9" t="s">
        <v>1587</v>
      </c>
      <c r="B3473" s="9" t="s">
        <v>1592</v>
      </c>
      <c r="C3473" s="9" t="n">
        <v>1</v>
      </c>
      <c r="D3473" s="10" t="n">
        <v>3.75</v>
      </c>
      <c r="E3473" s="10" t="n">
        <f aca="false">C3473*D3473</f>
        <v>3.75</v>
      </c>
    </row>
    <row r="3474" customFormat="false" ht="15" hidden="false" customHeight="false" outlineLevel="0" collapsed="false">
      <c r="A3474" s="9" t="s">
        <v>1587</v>
      </c>
      <c r="B3474" s="9" t="s">
        <v>747</v>
      </c>
      <c r="C3474" s="9" t="n">
        <v>1</v>
      </c>
      <c r="D3474" s="10" t="n">
        <v>2.95</v>
      </c>
      <c r="E3474" s="10" t="n">
        <f aca="false">C3474*D3474</f>
        <v>2.95</v>
      </c>
    </row>
    <row r="3475" customFormat="false" ht="15" hidden="false" customHeight="false" outlineLevel="0" collapsed="false">
      <c r="A3475" s="9" t="s">
        <v>1587</v>
      </c>
      <c r="B3475" s="9" t="s">
        <v>416</v>
      </c>
      <c r="C3475" s="9" t="n">
        <v>1</v>
      </c>
      <c r="D3475" s="10" t="n">
        <v>3.75</v>
      </c>
      <c r="E3475" s="10" t="n">
        <f aca="false">C3475*D3475</f>
        <v>3.75</v>
      </c>
    </row>
    <row r="3476" customFormat="false" ht="15" hidden="false" customHeight="false" outlineLevel="0" collapsed="false">
      <c r="A3476" s="9" t="s">
        <v>1587</v>
      </c>
      <c r="B3476" s="9" t="s">
        <v>579</v>
      </c>
      <c r="C3476" s="9" t="n">
        <v>1</v>
      </c>
      <c r="D3476" s="10" t="n">
        <v>1.25</v>
      </c>
      <c r="E3476" s="10" t="n">
        <f aca="false">C3476*D3476</f>
        <v>1.25</v>
      </c>
    </row>
    <row r="3477" customFormat="false" ht="15" hidden="false" customHeight="false" outlineLevel="0" collapsed="false">
      <c r="A3477" s="9" t="s">
        <v>1587</v>
      </c>
      <c r="B3477" s="9" t="s">
        <v>535</v>
      </c>
      <c r="C3477" s="9" t="n">
        <v>1</v>
      </c>
      <c r="D3477" s="10" t="n">
        <v>1.25</v>
      </c>
      <c r="E3477" s="10" t="n">
        <f aca="false">C3477*D3477</f>
        <v>1.25</v>
      </c>
    </row>
    <row r="3478" customFormat="false" ht="15" hidden="false" customHeight="false" outlineLevel="0" collapsed="false">
      <c r="A3478" s="9" t="s">
        <v>1587</v>
      </c>
      <c r="B3478" s="9" t="s">
        <v>683</v>
      </c>
      <c r="C3478" s="9" t="n">
        <v>2</v>
      </c>
      <c r="D3478" s="10" t="n">
        <v>0.65</v>
      </c>
      <c r="E3478" s="10" t="n">
        <f aca="false">C3478*D3478</f>
        <v>1.3</v>
      </c>
    </row>
    <row r="3479" customFormat="false" ht="15" hidden="false" customHeight="false" outlineLevel="0" collapsed="false">
      <c r="A3479" s="9" t="s">
        <v>1587</v>
      </c>
      <c r="B3479" s="9" t="s">
        <v>570</v>
      </c>
      <c r="C3479" s="9" t="n">
        <v>4</v>
      </c>
      <c r="D3479" s="10" t="n">
        <v>1.25</v>
      </c>
      <c r="E3479" s="10" t="n">
        <f aca="false">C3479*D3479</f>
        <v>5</v>
      </c>
    </row>
    <row r="3480" customFormat="false" ht="15" hidden="false" customHeight="false" outlineLevel="0" collapsed="false">
      <c r="A3480" s="9" t="s">
        <v>1587</v>
      </c>
      <c r="B3480" s="9" t="s">
        <v>606</v>
      </c>
      <c r="C3480" s="9" t="n">
        <v>12</v>
      </c>
      <c r="D3480" s="10" t="n">
        <v>0.85</v>
      </c>
      <c r="E3480" s="10" t="n">
        <f aca="false">C3480*D3480</f>
        <v>10.2</v>
      </c>
    </row>
    <row r="3481" customFormat="false" ht="15" hidden="false" customHeight="false" outlineLevel="0" collapsed="false">
      <c r="A3481" s="9" t="s">
        <v>1587</v>
      </c>
      <c r="B3481" s="9" t="s">
        <v>230</v>
      </c>
      <c r="C3481" s="9" t="n">
        <v>2</v>
      </c>
      <c r="D3481" s="10" t="n">
        <v>1.65</v>
      </c>
      <c r="E3481" s="10" t="n">
        <f aca="false">C3481*D3481</f>
        <v>3.3</v>
      </c>
    </row>
    <row r="3482" customFormat="false" ht="15" hidden="false" customHeight="false" outlineLevel="0" collapsed="false">
      <c r="A3482" s="9" t="s">
        <v>1587</v>
      </c>
      <c r="B3482" s="9" t="s">
        <v>497</v>
      </c>
      <c r="C3482" s="9" t="n">
        <v>12</v>
      </c>
      <c r="D3482" s="10" t="n">
        <v>0.85</v>
      </c>
      <c r="E3482" s="10" t="n">
        <f aca="false">C3482*D3482</f>
        <v>10.2</v>
      </c>
    </row>
    <row r="3483" customFormat="false" ht="15" hidden="false" customHeight="false" outlineLevel="0" collapsed="false">
      <c r="A3483" s="9" t="s">
        <v>1587</v>
      </c>
      <c r="B3483" s="9" t="s">
        <v>1593</v>
      </c>
      <c r="C3483" s="9" t="n">
        <v>1</v>
      </c>
      <c r="D3483" s="10" t="n">
        <v>0.85</v>
      </c>
      <c r="E3483" s="10" t="n">
        <f aca="false">C3483*D3483</f>
        <v>0.85</v>
      </c>
    </row>
    <row r="3484" customFormat="false" ht="15" hidden="false" customHeight="false" outlineLevel="0" collapsed="false">
      <c r="A3484" s="9" t="s">
        <v>1587</v>
      </c>
      <c r="B3484" s="9" t="s">
        <v>1018</v>
      </c>
      <c r="C3484" s="9" t="n">
        <v>1</v>
      </c>
      <c r="D3484" s="10" t="n">
        <v>0.85</v>
      </c>
      <c r="E3484" s="10" t="n">
        <f aca="false">C3484*D3484</f>
        <v>0.85</v>
      </c>
    </row>
    <row r="3485" customFormat="false" ht="15" hidden="false" customHeight="false" outlineLevel="0" collapsed="false">
      <c r="A3485" s="9" t="s">
        <v>1587</v>
      </c>
      <c r="B3485" s="9" t="s">
        <v>258</v>
      </c>
      <c r="C3485" s="9" t="n">
        <v>1</v>
      </c>
      <c r="D3485" s="10" t="n">
        <v>2.1</v>
      </c>
      <c r="E3485" s="10" t="n">
        <f aca="false">C3485*D3485</f>
        <v>2.1</v>
      </c>
    </row>
    <row r="3486" customFormat="false" ht="15" hidden="false" customHeight="false" outlineLevel="0" collapsed="false">
      <c r="A3486" s="9" t="s">
        <v>1587</v>
      </c>
      <c r="B3486" s="9" t="s">
        <v>45</v>
      </c>
      <c r="C3486" s="9" t="n">
        <v>2</v>
      </c>
      <c r="D3486" s="10" t="n">
        <v>2.1</v>
      </c>
      <c r="E3486" s="10" t="n">
        <f aca="false">C3486*D3486</f>
        <v>4.2</v>
      </c>
    </row>
    <row r="3487" customFormat="false" ht="15" hidden="false" customHeight="false" outlineLevel="0" collapsed="false">
      <c r="A3487" s="9" t="s">
        <v>1587</v>
      </c>
      <c r="B3487" s="9" t="s">
        <v>576</v>
      </c>
      <c r="C3487" s="9" t="n">
        <v>1</v>
      </c>
      <c r="D3487" s="10" t="n">
        <v>0.85</v>
      </c>
      <c r="E3487" s="10" t="n">
        <f aca="false">C3487*D3487</f>
        <v>0.85</v>
      </c>
    </row>
    <row r="3488" customFormat="false" ht="15" hidden="false" customHeight="false" outlineLevel="0" collapsed="false">
      <c r="A3488" s="9" t="s">
        <v>1587</v>
      </c>
      <c r="B3488" s="9" t="s">
        <v>582</v>
      </c>
      <c r="C3488" s="9" t="n">
        <v>1</v>
      </c>
      <c r="D3488" s="10" t="n">
        <v>0.85</v>
      </c>
      <c r="E3488" s="10" t="n">
        <f aca="false">C3488*D3488</f>
        <v>0.85</v>
      </c>
    </row>
    <row r="3489" customFormat="false" ht="15" hidden="false" customHeight="false" outlineLevel="0" collapsed="false">
      <c r="A3489" s="9" t="s">
        <v>1587</v>
      </c>
      <c r="B3489" s="9" t="s">
        <v>116</v>
      </c>
      <c r="C3489" s="9" t="n">
        <v>1</v>
      </c>
      <c r="D3489" s="10" t="n">
        <v>0.55</v>
      </c>
      <c r="E3489" s="10" t="n">
        <f aca="false">C3489*D3489</f>
        <v>0.55</v>
      </c>
    </row>
    <row r="3490" customFormat="false" ht="15" hidden="false" customHeight="false" outlineLevel="0" collapsed="false">
      <c r="A3490" s="9" t="s">
        <v>1587</v>
      </c>
      <c r="B3490" s="9" t="s">
        <v>45</v>
      </c>
      <c r="C3490" s="9" t="n">
        <v>1</v>
      </c>
      <c r="D3490" s="10" t="n">
        <v>2.1</v>
      </c>
      <c r="E3490" s="10" t="n">
        <f aca="false">C3490*D3490</f>
        <v>2.1</v>
      </c>
    </row>
    <row r="3491" customFormat="false" ht="15" hidden="false" customHeight="false" outlineLevel="0" collapsed="false">
      <c r="A3491" s="9" t="s">
        <v>1587</v>
      </c>
      <c r="B3491" s="9" t="s">
        <v>1594</v>
      </c>
      <c r="C3491" s="9" t="n">
        <v>1</v>
      </c>
      <c r="D3491" s="10" t="n">
        <v>0.85</v>
      </c>
      <c r="E3491" s="10" t="n">
        <f aca="false">C3491*D3491</f>
        <v>0.85</v>
      </c>
    </row>
    <row r="3492" customFormat="false" ht="15" hidden="false" customHeight="false" outlineLevel="0" collapsed="false">
      <c r="A3492" s="9" t="s">
        <v>1587</v>
      </c>
      <c r="B3492" s="9" t="s">
        <v>224</v>
      </c>
      <c r="C3492" s="9" t="n">
        <v>1</v>
      </c>
      <c r="D3492" s="10" t="n">
        <v>5.95</v>
      </c>
      <c r="E3492" s="10" t="n">
        <f aca="false">C3492*D3492</f>
        <v>5.95</v>
      </c>
    </row>
    <row r="3493" customFormat="false" ht="15" hidden="false" customHeight="false" outlineLevel="0" collapsed="false">
      <c r="A3493" s="9" t="s">
        <v>1587</v>
      </c>
      <c r="B3493" s="9" t="s">
        <v>1595</v>
      </c>
      <c r="C3493" s="9" t="n">
        <v>1</v>
      </c>
      <c r="D3493" s="10" t="n">
        <v>0.65</v>
      </c>
      <c r="E3493" s="10" t="n">
        <f aca="false">C3493*D3493</f>
        <v>0.65</v>
      </c>
    </row>
    <row r="3494" customFormat="false" ht="15" hidden="false" customHeight="false" outlineLevel="0" collapsed="false">
      <c r="A3494" s="9" t="s">
        <v>1587</v>
      </c>
      <c r="B3494" s="9" t="s">
        <v>690</v>
      </c>
      <c r="C3494" s="9" t="n">
        <v>2</v>
      </c>
      <c r="D3494" s="10" t="n">
        <v>1.95</v>
      </c>
      <c r="E3494" s="10" t="n">
        <f aca="false">C3494*D3494</f>
        <v>3.9</v>
      </c>
    </row>
    <row r="3495" customFormat="false" ht="15" hidden="false" customHeight="false" outlineLevel="0" collapsed="false">
      <c r="A3495" s="9" t="s">
        <v>1587</v>
      </c>
      <c r="B3495" s="9" t="s">
        <v>251</v>
      </c>
      <c r="C3495" s="9" t="n">
        <v>1</v>
      </c>
      <c r="D3495" s="10" t="n">
        <v>1.65</v>
      </c>
      <c r="E3495" s="10" t="n">
        <f aca="false">C3495*D3495</f>
        <v>1.65</v>
      </c>
    </row>
    <row r="3496" customFormat="false" ht="15" hidden="false" customHeight="false" outlineLevel="0" collapsed="false">
      <c r="A3496" s="9" t="s">
        <v>1587</v>
      </c>
      <c r="B3496" s="9" t="s">
        <v>254</v>
      </c>
      <c r="C3496" s="9" t="n">
        <v>1</v>
      </c>
      <c r="D3496" s="10" t="n">
        <v>2.1</v>
      </c>
      <c r="E3496" s="10" t="n">
        <f aca="false">C3496*D3496</f>
        <v>2.1</v>
      </c>
    </row>
    <row r="3497" customFormat="false" ht="15" hidden="false" customHeight="false" outlineLevel="0" collapsed="false">
      <c r="A3497" s="9" t="s">
        <v>1587</v>
      </c>
      <c r="B3497" s="9" t="s">
        <v>874</v>
      </c>
      <c r="C3497" s="9" t="n">
        <v>1</v>
      </c>
      <c r="D3497" s="10" t="n">
        <v>7.95</v>
      </c>
      <c r="E3497" s="10" t="n">
        <f aca="false">C3497*D3497</f>
        <v>7.95</v>
      </c>
    </row>
    <row r="3498" customFormat="false" ht="15" hidden="false" customHeight="false" outlineLevel="0" collapsed="false">
      <c r="A3498" s="9" t="s">
        <v>1587</v>
      </c>
      <c r="B3498" s="9" t="s">
        <v>335</v>
      </c>
      <c r="C3498" s="9" t="n">
        <v>2</v>
      </c>
      <c r="D3498" s="10" t="n">
        <v>9.95</v>
      </c>
      <c r="E3498" s="10" t="n">
        <f aca="false">C3498*D3498</f>
        <v>19.9</v>
      </c>
    </row>
    <row r="3499" customFormat="false" ht="15" hidden="false" customHeight="false" outlineLevel="0" collapsed="false">
      <c r="A3499" s="9" t="s">
        <v>1587</v>
      </c>
      <c r="B3499" s="9" t="s">
        <v>606</v>
      </c>
      <c r="C3499" s="9" t="n">
        <v>6</v>
      </c>
      <c r="D3499" s="10" t="n">
        <v>0.85</v>
      </c>
      <c r="E3499" s="10" t="n">
        <f aca="false">C3499*D3499</f>
        <v>5.1</v>
      </c>
    </row>
    <row r="3500" customFormat="false" ht="15" hidden="false" customHeight="false" outlineLevel="0" collapsed="false">
      <c r="A3500" s="9" t="s">
        <v>1587</v>
      </c>
      <c r="B3500" s="9" t="s">
        <v>1246</v>
      </c>
      <c r="C3500" s="9" t="n">
        <v>1</v>
      </c>
      <c r="D3500" s="10" t="n">
        <v>1.95</v>
      </c>
      <c r="E3500" s="10" t="n">
        <f aca="false">C3500*D3500</f>
        <v>1.95</v>
      </c>
    </row>
    <row r="3501" customFormat="false" ht="15" hidden="false" customHeight="false" outlineLevel="0" collapsed="false">
      <c r="A3501" s="9" t="s">
        <v>1587</v>
      </c>
      <c r="B3501" s="9" t="s">
        <v>210</v>
      </c>
      <c r="C3501" s="9" t="n">
        <v>2</v>
      </c>
      <c r="D3501" s="10" t="n">
        <v>0.85</v>
      </c>
      <c r="E3501" s="10" t="n">
        <f aca="false">C3501*D3501</f>
        <v>1.7</v>
      </c>
    </row>
    <row r="3502" customFormat="false" ht="15" hidden="false" customHeight="false" outlineLevel="0" collapsed="false">
      <c r="A3502" s="9" t="s">
        <v>1587</v>
      </c>
      <c r="B3502" s="9" t="s">
        <v>231</v>
      </c>
      <c r="C3502" s="9" t="n">
        <v>1</v>
      </c>
      <c r="D3502" s="10" t="n">
        <v>0.85</v>
      </c>
      <c r="E3502" s="10" t="n">
        <f aca="false">C3502*D3502</f>
        <v>0.85</v>
      </c>
    </row>
    <row r="3503" customFormat="false" ht="15" hidden="false" customHeight="false" outlineLevel="0" collapsed="false">
      <c r="A3503" s="9" t="s">
        <v>1587</v>
      </c>
      <c r="B3503" s="9" t="s">
        <v>876</v>
      </c>
      <c r="C3503" s="9" t="n">
        <v>1</v>
      </c>
      <c r="D3503" s="10" t="n">
        <v>7.95</v>
      </c>
      <c r="E3503" s="10" t="n">
        <f aca="false">C3503*D3503</f>
        <v>7.95</v>
      </c>
    </row>
    <row r="3504" customFormat="false" ht="15" hidden="false" customHeight="false" outlineLevel="0" collapsed="false">
      <c r="A3504" s="9" t="s">
        <v>1587</v>
      </c>
      <c r="B3504" s="9" t="s">
        <v>498</v>
      </c>
      <c r="C3504" s="9" t="n">
        <v>12</v>
      </c>
      <c r="D3504" s="10" t="n">
        <v>0.29</v>
      </c>
      <c r="E3504" s="10" t="n">
        <f aca="false">C3504*D3504</f>
        <v>3.48</v>
      </c>
    </row>
    <row r="3505" customFormat="false" ht="15" hidden="false" customHeight="false" outlineLevel="0" collapsed="false">
      <c r="A3505" s="9" t="s">
        <v>1587</v>
      </c>
      <c r="B3505" s="9" t="s">
        <v>128</v>
      </c>
      <c r="C3505" s="9" t="n">
        <v>2</v>
      </c>
      <c r="D3505" s="10" t="n">
        <v>1.45</v>
      </c>
      <c r="E3505" s="10" t="n">
        <f aca="false">C3505*D3505</f>
        <v>2.9</v>
      </c>
    </row>
    <row r="3506" customFormat="false" ht="15" hidden="false" customHeight="false" outlineLevel="0" collapsed="false">
      <c r="A3506" s="9" t="s">
        <v>1587</v>
      </c>
      <c r="B3506" s="9" t="s">
        <v>387</v>
      </c>
      <c r="C3506" s="9" t="n">
        <v>1</v>
      </c>
      <c r="D3506" s="10" t="n">
        <v>1.25</v>
      </c>
      <c r="E3506" s="10" t="n">
        <f aca="false">C3506*D3506</f>
        <v>1.25</v>
      </c>
    </row>
    <row r="3507" customFormat="false" ht="15" hidden="false" customHeight="false" outlineLevel="0" collapsed="false">
      <c r="A3507" s="9" t="s">
        <v>1587</v>
      </c>
      <c r="B3507" s="9" t="s">
        <v>63</v>
      </c>
      <c r="C3507" s="9" t="n">
        <v>2</v>
      </c>
      <c r="D3507" s="10" t="n">
        <v>4.25</v>
      </c>
      <c r="E3507" s="10" t="n">
        <f aca="false">C3507*D3507</f>
        <v>8.5</v>
      </c>
    </row>
    <row r="3508" customFormat="false" ht="15" hidden="false" customHeight="false" outlineLevel="0" collapsed="false">
      <c r="A3508" s="9" t="s">
        <v>1596</v>
      </c>
      <c r="B3508" s="9" t="s">
        <v>143</v>
      </c>
      <c r="C3508" s="9" t="n">
        <v>24</v>
      </c>
      <c r="D3508" s="10" t="n">
        <v>0.85</v>
      </c>
      <c r="E3508" s="10" t="n">
        <f aca="false">C3508*D3508</f>
        <v>20.4</v>
      </c>
    </row>
    <row r="3509" customFormat="false" ht="15" hidden="false" customHeight="false" outlineLevel="0" collapsed="false">
      <c r="A3509" s="9" t="s">
        <v>1596</v>
      </c>
      <c r="B3509" s="9" t="s">
        <v>261</v>
      </c>
      <c r="C3509" s="9" t="n">
        <v>4</v>
      </c>
      <c r="D3509" s="10" t="n">
        <v>3.95</v>
      </c>
      <c r="E3509" s="10" t="n">
        <f aca="false">C3509*D3509</f>
        <v>15.8</v>
      </c>
    </row>
    <row r="3510" customFormat="false" ht="15" hidden="false" customHeight="false" outlineLevel="0" collapsed="false">
      <c r="A3510" s="9" t="s">
        <v>1596</v>
      </c>
      <c r="B3510" s="9" t="s">
        <v>39</v>
      </c>
      <c r="C3510" s="9" t="n">
        <v>8</v>
      </c>
      <c r="D3510" s="10" t="n">
        <v>3.25</v>
      </c>
      <c r="E3510" s="10" t="n">
        <f aca="false">C3510*D3510</f>
        <v>26</v>
      </c>
    </row>
    <row r="3511" customFormat="false" ht="15" hidden="false" customHeight="false" outlineLevel="0" collapsed="false">
      <c r="A3511" s="9" t="s">
        <v>1596</v>
      </c>
      <c r="B3511" s="9" t="s">
        <v>1186</v>
      </c>
      <c r="C3511" s="9" t="n">
        <v>6</v>
      </c>
      <c r="D3511" s="10" t="n">
        <v>2.1</v>
      </c>
      <c r="E3511" s="10" t="n">
        <f aca="false">C3511*D3511</f>
        <v>12.6</v>
      </c>
    </row>
    <row r="3512" customFormat="false" ht="15" hidden="false" customHeight="false" outlineLevel="0" collapsed="false">
      <c r="A3512" s="9" t="s">
        <v>1596</v>
      </c>
      <c r="B3512" s="9" t="s">
        <v>179</v>
      </c>
      <c r="C3512" s="9" t="n">
        <v>12</v>
      </c>
      <c r="D3512" s="10" t="n">
        <v>1.65</v>
      </c>
      <c r="E3512" s="10" t="n">
        <f aca="false">C3512*D3512</f>
        <v>19.8</v>
      </c>
    </row>
    <row r="3513" customFormat="false" ht="15" hidden="false" customHeight="false" outlineLevel="0" collapsed="false">
      <c r="A3513" s="9" t="s">
        <v>1596</v>
      </c>
      <c r="B3513" s="9" t="s">
        <v>1597</v>
      </c>
      <c r="C3513" s="9" t="n">
        <v>12</v>
      </c>
      <c r="D3513" s="10" t="n">
        <v>1.45</v>
      </c>
      <c r="E3513" s="10" t="n">
        <f aca="false">C3513*D3513</f>
        <v>17.4</v>
      </c>
    </row>
    <row r="3514" customFormat="false" ht="15" hidden="false" customHeight="false" outlineLevel="0" collapsed="false">
      <c r="A3514" s="9" t="s">
        <v>1596</v>
      </c>
      <c r="B3514" s="9" t="s">
        <v>870</v>
      </c>
      <c r="C3514" s="9" t="n">
        <v>18</v>
      </c>
      <c r="D3514" s="10" t="n">
        <v>1.45</v>
      </c>
      <c r="E3514" s="10" t="n">
        <f aca="false">C3514*D3514</f>
        <v>26.1</v>
      </c>
    </row>
    <row r="3515" customFormat="false" ht="15" hidden="false" customHeight="false" outlineLevel="0" collapsed="false">
      <c r="A3515" s="9" t="s">
        <v>1596</v>
      </c>
      <c r="B3515" s="9" t="s">
        <v>394</v>
      </c>
      <c r="C3515" s="9" t="n">
        <v>12</v>
      </c>
      <c r="D3515" s="10" t="n">
        <v>0.95</v>
      </c>
      <c r="E3515" s="10" t="n">
        <f aca="false">C3515*D3515</f>
        <v>11.4</v>
      </c>
    </row>
    <row r="3516" customFormat="false" ht="15" hidden="false" customHeight="false" outlineLevel="0" collapsed="false">
      <c r="A3516" s="9" t="s">
        <v>1596</v>
      </c>
      <c r="B3516" s="9" t="s">
        <v>1598</v>
      </c>
      <c r="C3516" s="9" t="n">
        <v>12</v>
      </c>
      <c r="D3516" s="10" t="n">
        <v>1.45</v>
      </c>
      <c r="E3516" s="10" t="n">
        <f aca="false">C3516*D3516</f>
        <v>17.4</v>
      </c>
    </row>
    <row r="3517" customFormat="false" ht="15" hidden="false" customHeight="false" outlineLevel="0" collapsed="false">
      <c r="A3517" s="9" t="s">
        <v>1596</v>
      </c>
      <c r="B3517" s="9" t="s">
        <v>1599</v>
      </c>
      <c r="C3517" s="9" t="n">
        <v>12</v>
      </c>
      <c r="D3517" s="10" t="n">
        <v>1.45</v>
      </c>
      <c r="E3517" s="10" t="n">
        <f aca="false">C3517*D3517</f>
        <v>17.4</v>
      </c>
    </row>
    <row r="3518" customFormat="false" ht="15" hidden="false" customHeight="false" outlineLevel="0" collapsed="false">
      <c r="A3518" s="9" t="s">
        <v>1596</v>
      </c>
      <c r="B3518" s="9" t="s">
        <v>997</v>
      </c>
      <c r="C3518" s="9" t="n">
        <v>12</v>
      </c>
      <c r="D3518" s="10" t="n">
        <v>1.45</v>
      </c>
      <c r="E3518" s="10" t="n">
        <f aca="false">C3518*D3518</f>
        <v>17.4</v>
      </c>
    </row>
    <row r="3519" customFormat="false" ht="15" hidden="false" customHeight="false" outlineLevel="0" collapsed="false">
      <c r="A3519" s="9" t="s">
        <v>1596</v>
      </c>
      <c r="B3519" s="9" t="s">
        <v>1600</v>
      </c>
      <c r="C3519" s="9" t="n">
        <v>24</v>
      </c>
      <c r="D3519" s="10" t="n">
        <v>1.25</v>
      </c>
      <c r="E3519" s="10" t="n">
        <f aca="false">C3519*D3519</f>
        <v>30</v>
      </c>
    </row>
    <row r="3520" customFormat="false" ht="15" hidden="false" customHeight="false" outlineLevel="0" collapsed="false">
      <c r="A3520" s="9" t="s">
        <v>1596</v>
      </c>
      <c r="B3520" s="9" t="s">
        <v>239</v>
      </c>
      <c r="C3520" s="9" t="n">
        <v>4</v>
      </c>
      <c r="D3520" s="10" t="n">
        <v>5.95</v>
      </c>
      <c r="E3520" s="10" t="n">
        <f aca="false">C3520*D3520</f>
        <v>23.8</v>
      </c>
    </row>
    <row r="3521" customFormat="false" ht="15" hidden="false" customHeight="false" outlineLevel="0" collapsed="false">
      <c r="A3521" s="9" t="s">
        <v>1596</v>
      </c>
      <c r="B3521" s="9" t="s">
        <v>553</v>
      </c>
      <c r="C3521" s="9" t="n">
        <v>12</v>
      </c>
      <c r="D3521" s="10" t="n">
        <v>1.25</v>
      </c>
      <c r="E3521" s="10" t="n">
        <f aca="false">C3521*D3521</f>
        <v>15</v>
      </c>
    </row>
    <row r="3522" customFormat="false" ht="15" hidden="false" customHeight="false" outlineLevel="0" collapsed="false">
      <c r="A3522" s="9" t="s">
        <v>1596</v>
      </c>
      <c r="B3522" s="9" t="s">
        <v>725</v>
      </c>
      <c r="C3522" s="9" t="n">
        <v>24</v>
      </c>
      <c r="D3522" s="10" t="n">
        <v>0.65</v>
      </c>
      <c r="E3522" s="10" t="n">
        <f aca="false">C3522*D3522</f>
        <v>15.6</v>
      </c>
    </row>
    <row r="3523" customFormat="false" ht="15" hidden="false" customHeight="false" outlineLevel="0" collapsed="false">
      <c r="A3523" s="9" t="s">
        <v>1596</v>
      </c>
      <c r="B3523" s="9" t="s">
        <v>1080</v>
      </c>
      <c r="C3523" s="9" t="n">
        <v>24</v>
      </c>
      <c r="D3523" s="10" t="n">
        <v>0.65</v>
      </c>
      <c r="E3523" s="10" t="n">
        <f aca="false">C3523*D3523</f>
        <v>15.6</v>
      </c>
    </row>
    <row r="3524" customFormat="false" ht="15" hidden="false" customHeight="false" outlineLevel="0" collapsed="false">
      <c r="A3524" s="9" t="s">
        <v>1596</v>
      </c>
      <c r="B3524" s="9" t="s">
        <v>1601</v>
      </c>
      <c r="C3524" s="9" t="n">
        <v>12</v>
      </c>
      <c r="D3524" s="10" t="n">
        <v>1.65</v>
      </c>
      <c r="E3524" s="10" t="n">
        <f aca="false">C3524*D3524</f>
        <v>19.8</v>
      </c>
    </row>
    <row r="3525" customFormat="false" ht="15" hidden="false" customHeight="false" outlineLevel="0" collapsed="false">
      <c r="A3525" s="9" t="s">
        <v>1596</v>
      </c>
      <c r="B3525" s="9" t="s">
        <v>1602</v>
      </c>
      <c r="C3525" s="9" t="n">
        <v>12</v>
      </c>
      <c r="D3525" s="10" t="n">
        <v>1.65</v>
      </c>
      <c r="E3525" s="10" t="n">
        <f aca="false">C3525*D3525</f>
        <v>19.8</v>
      </c>
    </row>
    <row r="3526" customFormat="false" ht="15" hidden="false" customHeight="false" outlineLevel="0" collapsed="false">
      <c r="A3526" s="9" t="s">
        <v>1596</v>
      </c>
      <c r="B3526" s="9" t="s">
        <v>1603</v>
      </c>
      <c r="C3526" s="9" t="n">
        <v>12</v>
      </c>
      <c r="D3526" s="10" t="n">
        <v>0.65</v>
      </c>
      <c r="E3526" s="10" t="n">
        <f aca="false">C3526*D3526</f>
        <v>7.8</v>
      </c>
    </row>
    <row r="3527" customFormat="false" ht="15" hidden="false" customHeight="false" outlineLevel="0" collapsed="false">
      <c r="A3527" s="9" t="s">
        <v>1596</v>
      </c>
      <c r="B3527" s="9" t="s">
        <v>1604</v>
      </c>
      <c r="C3527" s="9" t="n">
        <v>12</v>
      </c>
      <c r="D3527" s="10" t="n">
        <v>1.69</v>
      </c>
      <c r="E3527" s="10" t="n">
        <f aca="false">C3527*D3527</f>
        <v>20.28</v>
      </c>
    </row>
    <row r="3528" customFormat="false" ht="15" hidden="false" customHeight="false" outlineLevel="0" collapsed="false">
      <c r="A3528" s="9" t="s">
        <v>1596</v>
      </c>
      <c r="B3528" s="9" t="s">
        <v>1490</v>
      </c>
      <c r="C3528" s="9" t="n">
        <v>6</v>
      </c>
      <c r="D3528" s="10" t="n">
        <v>2.95</v>
      </c>
      <c r="E3528" s="10" t="n">
        <f aca="false">C3528*D3528</f>
        <v>17.7</v>
      </c>
    </row>
    <row r="3529" customFormat="false" ht="15" hidden="false" customHeight="false" outlineLevel="0" collapsed="false">
      <c r="A3529" s="9" t="s">
        <v>1596</v>
      </c>
      <c r="B3529" s="9" t="s">
        <v>1315</v>
      </c>
      <c r="C3529" s="9" t="n">
        <v>3</v>
      </c>
      <c r="D3529" s="10" t="n">
        <v>5.45</v>
      </c>
      <c r="E3529" s="10" t="n">
        <f aca="false">C3529*D3529</f>
        <v>16.35</v>
      </c>
    </row>
    <row r="3530" customFormat="false" ht="15" hidden="false" customHeight="false" outlineLevel="0" collapsed="false">
      <c r="A3530" s="9" t="s">
        <v>1596</v>
      </c>
      <c r="B3530" s="9" t="s">
        <v>1314</v>
      </c>
      <c r="C3530" s="9" t="n">
        <v>3</v>
      </c>
      <c r="D3530" s="10" t="n">
        <v>5.45</v>
      </c>
      <c r="E3530" s="10" t="n">
        <f aca="false">C3530*D3530</f>
        <v>16.35</v>
      </c>
    </row>
    <row r="3531" customFormat="false" ht="15" hidden="false" customHeight="false" outlineLevel="0" collapsed="false">
      <c r="A3531" s="9" t="s">
        <v>1596</v>
      </c>
      <c r="B3531" s="9" t="s">
        <v>1605</v>
      </c>
      <c r="C3531" s="9" t="n">
        <v>12</v>
      </c>
      <c r="D3531" s="10" t="n">
        <v>1.65</v>
      </c>
      <c r="E3531" s="10" t="n">
        <f aca="false">C3531*D3531</f>
        <v>19.8</v>
      </c>
    </row>
    <row r="3532" customFormat="false" ht="15" hidden="false" customHeight="false" outlineLevel="0" collapsed="false">
      <c r="A3532" s="9" t="s">
        <v>1596</v>
      </c>
      <c r="B3532" s="9" t="s">
        <v>1606</v>
      </c>
      <c r="C3532" s="9" t="n">
        <v>12</v>
      </c>
      <c r="D3532" s="10" t="n">
        <v>1.65</v>
      </c>
      <c r="E3532" s="10" t="n">
        <f aca="false">C3532*D3532</f>
        <v>19.8</v>
      </c>
    </row>
    <row r="3533" customFormat="false" ht="15" hidden="false" customHeight="false" outlineLevel="0" collapsed="false">
      <c r="A3533" s="9" t="s">
        <v>1596</v>
      </c>
      <c r="B3533" s="9" t="s">
        <v>1473</v>
      </c>
      <c r="C3533" s="9" t="n">
        <v>12</v>
      </c>
      <c r="D3533" s="10" t="n">
        <v>1.65</v>
      </c>
      <c r="E3533" s="10" t="n">
        <f aca="false">C3533*D3533</f>
        <v>19.8</v>
      </c>
    </row>
    <row r="3534" customFormat="false" ht="15" hidden="false" customHeight="false" outlineLevel="0" collapsed="false">
      <c r="A3534" s="9" t="s">
        <v>1596</v>
      </c>
      <c r="B3534" s="9" t="s">
        <v>207</v>
      </c>
      <c r="C3534" s="9" t="n">
        <v>6</v>
      </c>
      <c r="D3534" s="10" t="n">
        <v>2.95</v>
      </c>
      <c r="E3534" s="10" t="n">
        <f aca="false">C3534*D3534</f>
        <v>17.7</v>
      </c>
    </row>
    <row r="3535" customFormat="false" ht="15" hidden="false" customHeight="false" outlineLevel="0" collapsed="false">
      <c r="A3535" s="9" t="s">
        <v>1596</v>
      </c>
      <c r="B3535" s="9" t="s">
        <v>1607</v>
      </c>
      <c r="C3535" s="9" t="n">
        <v>6</v>
      </c>
      <c r="D3535" s="10" t="n">
        <v>1.95</v>
      </c>
      <c r="E3535" s="10" t="n">
        <f aca="false">C3535*D3535</f>
        <v>11.7</v>
      </c>
    </row>
    <row r="3536" customFormat="false" ht="15" hidden="false" customHeight="false" outlineLevel="0" collapsed="false">
      <c r="A3536" s="9" t="s">
        <v>1596</v>
      </c>
      <c r="B3536" s="9" t="s">
        <v>383</v>
      </c>
      <c r="C3536" s="9" t="n">
        <v>12</v>
      </c>
      <c r="D3536" s="10" t="n">
        <v>0.85</v>
      </c>
      <c r="E3536" s="10" t="n">
        <f aca="false">C3536*D3536</f>
        <v>10.2</v>
      </c>
    </row>
    <row r="3537" customFormat="false" ht="15" hidden="false" customHeight="false" outlineLevel="0" collapsed="false">
      <c r="A3537" s="9" t="s">
        <v>1596</v>
      </c>
      <c r="B3537" s="9" t="s">
        <v>352</v>
      </c>
      <c r="C3537" s="9" t="n">
        <v>24</v>
      </c>
      <c r="D3537" s="10" t="n">
        <v>1.25</v>
      </c>
      <c r="E3537" s="10" t="n">
        <f aca="false">C3537*D3537</f>
        <v>30</v>
      </c>
    </row>
    <row r="3538" customFormat="false" ht="15" hidden="false" customHeight="false" outlineLevel="0" collapsed="false">
      <c r="A3538" s="9" t="s">
        <v>1596</v>
      </c>
      <c r="B3538" s="9" t="s">
        <v>320</v>
      </c>
      <c r="C3538" s="9" t="n">
        <v>10</v>
      </c>
      <c r="D3538" s="10" t="n">
        <v>1.25</v>
      </c>
      <c r="E3538" s="10" t="n">
        <f aca="false">C3538*D3538</f>
        <v>12.5</v>
      </c>
    </row>
    <row r="3539" customFormat="false" ht="15" hidden="false" customHeight="false" outlineLevel="0" collapsed="false">
      <c r="A3539" s="9" t="s">
        <v>1596</v>
      </c>
      <c r="B3539" s="9" t="s">
        <v>1050</v>
      </c>
      <c r="C3539" s="9" t="n">
        <v>24</v>
      </c>
      <c r="D3539" s="10" t="n">
        <v>0.65</v>
      </c>
      <c r="E3539" s="10" t="n">
        <f aca="false">C3539*D3539</f>
        <v>15.6</v>
      </c>
    </row>
    <row r="3540" customFormat="false" ht="15" hidden="false" customHeight="false" outlineLevel="0" collapsed="false">
      <c r="A3540" s="9" t="s">
        <v>1596</v>
      </c>
      <c r="B3540" s="9" t="s">
        <v>126</v>
      </c>
      <c r="C3540" s="9" t="n">
        <v>6</v>
      </c>
      <c r="D3540" s="10" t="n">
        <v>2.55</v>
      </c>
      <c r="E3540" s="10" t="n">
        <f aca="false">C3540*D3540</f>
        <v>15.3</v>
      </c>
    </row>
    <row r="3541" customFormat="false" ht="15" hidden="false" customHeight="false" outlineLevel="0" collapsed="false">
      <c r="A3541" s="9" t="s">
        <v>1596</v>
      </c>
      <c r="B3541" s="9" t="s">
        <v>283</v>
      </c>
      <c r="C3541" s="9" t="n">
        <v>12</v>
      </c>
      <c r="D3541" s="10" t="n">
        <v>0.85</v>
      </c>
      <c r="E3541" s="10" t="n">
        <f aca="false">C3541*D3541</f>
        <v>10.2</v>
      </c>
    </row>
    <row r="3542" customFormat="false" ht="15" hidden="false" customHeight="false" outlineLevel="0" collapsed="false">
      <c r="A3542" s="9" t="s">
        <v>1596</v>
      </c>
      <c r="B3542" s="9" t="s">
        <v>1190</v>
      </c>
      <c r="C3542" s="9" t="n">
        <v>12</v>
      </c>
      <c r="D3542" s="10" t="n">
        <v>0.85</v>
      </c>
      <c r="E3542" s="10" t="n">
        <f aca="false">C3542*D3542</f>
        <v>10.2</v>
      </c>
    </row>
    <row r="3543" customFormat="false" ht="15" hidden="false" customHeight="false" outlineLevel="0" collapsed="false">
      <c r="A3543" s="9" t="s">
        <v>1596</v>
      </c>
      <c r="B3543" s="9" t="s">
        <v>515</v>
      </c>
      <c r="C3543" s="9" t="n">
        <v>4</v>
      </c>
      <c r="D3543" s="10" t="n">
        <v>3.75</v>
      </c>
      <c r="E3543" s="10" t="n">
        <f aca="false">C3543*D3543</f>
        <v>15</v>
      </c>
    </row>
    <row r="3544" customFormat="false" ht="15" hidden="false" customHeight="false" outlineLevel="0" collapsed="false">
      <c r="A3544" s="9" t="s">
        <v>1596</v>
      </c>
      <c r="B3544" s="9" t="s">
        <v>272</v>
      </c>
      <c r="C3544" s="9" t="n">
        <v>3</v>
      </c>
      <c r="D3544" s="10" t="n">
        <v>4.95</v>
      </c>
      <c r="E3544" s="10" t="n">
        <f aca="false">C3544*D3544</f>
        <v>14.85</v>
      </c>
    </row>
    <row r="3545" customFormat="false" ht="15" hidden="false" customHeight="false" outlineLevel="0" collapsed="false">
      <c r="A3545" s="9" t="s">
        <v>1596</v>
      </c>
      <c r="B3545" s="9" t="s">
        <v>481</v>
      </c>
      <c r="C3545" s="9" t="n">
        <v>6</v>
      </c>
      <c r="D3545" s="10" t="n">
        <v>2.95</v>
      </c>
      <c r="E3545" s="10" t="n">
        <f aca="false">C3545*D3545</f>
        <v>17.7</v>
      </c>
    </row>
    <row r="3546" customFormat="false" ht="15" hidden="false" customHeight="false" outlineLevel="0" collapsed="false">
      <c r="A3546" s="9" t="s">
        <v>1596</v>
      </c>
      <c r="B3546" s="9" t="s">
        <v>972</v>
      </c>
      <c r="C3546" s="9" t="n">
        <v>3</v>
      </c>
      <c r="D3546" s="10" t="n">
        <v>4.65</v>
      </c>
      <c r="E3546" s="10" t="n">
        <f aca="false">C3546*D3546</f>
        <v>13.95</v>
      </c>
    </row>
    <row r="3547" customFormat="false" ht="15" hidden="false" customHeight="false" outlineLevel="0" collapsed="false">
      <c r="A3547" s="9" t="s">
        <v>1596</v>
      </c>
      <c r="B3547" s="9" t="s">
        <v>973</v>
      </c>
      <c r="C3547" s="9" t="n">
        <v>3</v>
      </c>
      <c r="D3547" s="10" t="n">
        <v>4.65</v>
      </c>
      <c r="E3547" s="10" t="n">
        <f aca="false">C3547*D3547</f>
        <v>13.95</v>
      </c>
    </row>
    <row r="3548" customFormat="false" ht="15" hidden="false" customHeight="false" outlineLevel="0" collapsed="false">
      <c r="A3548" s="9" t="s">
        <v>1596</v>
      </c>
      <c r="B3548" s="9" t="s">
        <v>1608</v>
      </c>
      <c r="C3548" s="9" t="n">
        <v>4</v>
      </c>
      <c r="D3548" s="10" t="n">
        <v>3.75</v>
      </c>
      <c r="E3548" s="10" t="n">
        <f aca="false">C3548*D3548</f>
        <v>15</v>
      </c>
    </row>
    <row r="3549" customFormat="false" ht="15" hidden="false" customHeight="false" outlineLevel="0" collapsed="false">
      <c r="A3549" s="9" t="s">
        <v>1596</v>
      </c>
      <c r="B3549" s="9" t="s">
        <v>868</v>
      </c>
      <c r="C3549" s="9" t="n">
        <v>8</v>
      </c>
      <c r="D3549" s="10" t="n">
        <v>1.65</v>
      </c>
      <c r="E3549" s="10" t="n">
        <f aca="false">C3549*D3549</f>
        <v>13.2</v>
      </c>
    </row>
    <row r="3550" customFormat="false" ht="15" hidden="false" customHeight="false" outlineLevel="0" collapsed="false">
      <c r="A3550" s="9" t="s">
        <v>1596</v>
      </c>
      <c r="B3550" s="9" t="s">
        <v>983</v>
      </c>
      <c r="C3550" s="9" t="n">
        <v>12</v>
      </c>
      <c r="D3550" s="10" t="n">
        <v>0.85</v>
      </c>
      <c r="E3550" s="10" t="n">
        <f aca="false">C3550*D3550</f>
        <v>10.2</v>
      </c>
    </row>
    <row r="3551" customFormat="false" ht="15" hidden="false" customHeight="false" outlineLevel="0" collapsed="false">
      <c r="A3551" s="9" t="s">
        <v>1596</v>
      </c>
      <c r="B3551" s="9" t="s">
        <v>302</v>
      </c>
      <c r="C3551" s="9" t="n">
        <v>9</v>
      </c>
      <c r="D3551" s="10" t="n">
        <v>2.55</v>
      </c>
      <c r="E3551" s="10" t="n">
        <f aca="false">C3551*D3551</f>
        <v>22.95</v>
      </c>
    </row>
    <row r="3552" customFormat="false" ht="15" hidden="false" customHeight="false" outlineLevel="0" collapsed="false">
      <c r="A3552" s="9" t="s">
        <v>1596</v>
      </c>
      <c r="B3552" s="9" t="s">
        <v>319</v>
      </c>
      <c r="C3552" s="9" t="n">
        <v>4</v>
      </c>
      <c r="D3552" s="10" t="n">
        <v>3.75</v>
      </c>
      <c r="E3552" s="10" t="n">
        <f aca="false">C3552*D3552</f>
        <v>15</v>
      </c>
    </row>
    <row r="3553" customFormat="false" ht="15" hidden="false" customHeight="false" outlineLevel="0" collapsed="false">
      <c r="A3553" s="9" t="s">
        <v>1596</v>
      </c>
      <c r="B3553" s="9" t="s">
        <v>1312</v>
      </c>
      <c r="C3553" s="9" t="n">
        <v>5</v>
      </c>
      <c r="D3553" s="10" t="n">
        <v>4.65</v>
      </c>
      <c r="E3553" s="10" t="n">
        <f aca="false">C3553*D3553</f>
        <v>23.25</v>
      </c>
    </row>
    <row r="3554" customFormat="false" ht="15" hidden="false" customHeight="false" outlineLevel="0" collapsed="false">
      <c r="A3554" s="9" t="s">
        <v>1596</v>
      </c>
      <c r="B3554" s="9" t="s">
        <v>1461</v>
      </c>
      <c r="C3554" s="9" t="n">
        <v>3</v>
      </c>
      <c r="D3554" s="10" t="n">
        <v>5.95</v>
      </c>
      <c r="E3554" s="10" t="n">
        <f aca="false">C3554*D3554</f>
        <v>17.85</v>
      </c>
    </row>
    <row r="3555" customFormat="false" ht="15" hidden="false" customHeight="false" outlineLevel="0" collapsed="false">
      <c r="A3555" s="9" t="s">
        <v>1596</v>
      </c>
      <c r="B3555" s="9" t="s">
        <v>706</v>
      </c>
      <c r="C3555" s="9" t="n">
        <v>6</v>
      </c>
      <c r="D3555" s="10" t="n">
        <v>2.1</v>
      </c>
      <c r="E3555" s="10" t="n">
        <f aca="false">C3555*D3555</f>
        <v>12.6</v>
      </c>
    </row>
    <row r="3556" customFormat="false" ht="15" hidden="false" customHeight="false" outlineLevel="0" collapsed="false">
      <c r="A3556" s="9" t="s">
        <v>1596</v>
      </c>
      <c r="B3556" s="9" t="s">
        <v>1106</v>
      </c>
      <c r="C3556" s="9" t="n">
        <v>6</v>
      </c>
      <c r="D3556" s="10" t="n">
        <v>3.75</v>
      </c>
      <c r="E3556" s="10" t="n">
        <f aca="false">C3556*D3556</f>
        <v>22.5</v>
      </c>
    </row>
    <row r="3557" customFormat="false" ht="15" hidden="false" customHeight="false" outlineLevel="0" collapsed="false">
      <c r="A3557" s="9" t="s">
        <v>1596</v>
      </c>
      <c r="B3557" s="9" t="s">
        <v>113</v>
      </c>
      <c r="C3557" s="9" t="n">
        <v>24</v>
      </c>
      <c r="D3557" s="10" t="n">
        <v>0.55</v>
      </c>
      <c r="E3557" s="10" t="n">
        <f aca="false">C3557*D3557</f>
        <v>13.2</v>
      </c>
    </row>
    <row r="3558" customFormat="false" ht="15" hidden="false" customHeight="false" outlineLevel="0" collapsed="false">
      <c r="A3558" s="9" t="s">
        <v>1596</v>
      </c>
      <c r="B3558" s="9" t="s">
        <v>345</v>
      </c>
      <c r="C3558" s="9" t="n">
        <v>24</v>
      </c>
      <c r="D3558" s="10" t="n">
        <v>0.55</v>
      </c>
      <c r="E3558" s="10" t="n">
        <f aca="false">C3558*D3558</f>
        <v>13.2</v>
      </c>
    </row>
    <row r="3559" customFormat="false" ht="15" hidden="false" customHeight="false" outlineLevel="0" collapsed="false">
      <c r="A3559" s="9" t="s">
        <v>1596</v>
      </c>
      <c r="B3559" s="9" t="s">
        <v>1609</v>
      </c>
      <c r="C3559" s="9" t="n">
        <v>12</v>
      </c>
      <c r="D3559" s="10" t="n">
        <v>0.65</v>
      </c>
      <c r="E3559" s="10" t="n">
        <f aca="false">C3559*D3559</f>
        <v>7.8</v>
      </c>
    </row>
    <row r="3560" customFormat="false" ht="15" hidden="false" customHeight="false" outlineLevel="0" collapsed="false">
      <c r="A3560" s="9" t="s">
        <v>1596</v>
      </c>
      <c r="B3560" s="9" t="s">
        <v>1102</v>
      </c>
      <c r="C3560" s="9" t="n">
        <v>6</v>
      </c>
      <c r="D3560" s="10" t="n">
        <v>2.95</v>
      </c>
      <c r="E3560" s="10" t="n">
        <f aca="false">C3560*D3560</f>
        <v>17.7</v>
      </c>
    </row>
    <row r="3561" customFormat="false" ht="15" hidden="false" customHeight="false" outlineLevel="0" collapsed="false">
      <c r="A3561" s="9" t="s">
        <v>1596</v>
      </c>
      <c r="B3561" s="9" t="s">
        <v>1610</v>
      </c>
      <c r="C3561" s="9" t="n">
        <v>2</v>
      </c>
      <c r="D3561" s="10" t="n">
        <v>7.95</v>
      </c>
      <c r="E3561" s="10" t="n">
        <f aca="false">C3561*D3561</f>
        <v>15.9</v>
      </c>
    </row>
    <row r="3562" customFormat="false" ht="15" hidden="false" customHeight="false" outlineLevel="0" collapsed="false">
      <c r="A3562" s="9" t="s">
        <v>1596</v>
      </c>
      <c r="B3562" s="9" t="s">
        <v>130</v>
      </c>
      <c r="C3562" s="9" t="n">
        <v>3</v>
      </c>
      <c r="D3562" s="10" t="n">
        <v>4.95</v>
      </c>
      <c r="E3562" s="10" t="n">
        <f aca="false">C3562*D3562</f>
        <v>14.85</v>
      </c>
    </row>
    <row r="3563" customFormat="false" ht="15" hidden="false" customHeight="false" outlineLevel="0" collapsed="false">
      <c r="A3563" s="9" t="s">
        <v>1596</v>
      </c>
      <c r="B3563" s="9" t="s">
        <v>1611</v>
      </c>
      <c r="C3563" s="9" t="n">
        <v>4</v>
      </c>
      <c r="D3563" s="10" t="n">
        <v>3.75</v>
      </c>
      <c r="E3563" s="10" t="n">
        <f aca="false">C3563*D3563</f>
        <v>15</v>
      </c>
    </row>
    <row r="3564" customFormat="false" ht="15" hidden="false" customHeight="false" outlineLevel="0" collapsed="false">
      <c r="A3564" s="9" t="s">
        <v>1596</v>
      </c>
      <c r="B3564" s="9" t="s">
        <v>708</v>
      </c>
      <c r="C3564" s="9" t="n">
        <v>6</v>
      </c>
      <c r="D3564" s="10" t="n">
        <v>2.95</v>
      </c>
      <c r="E3564" s="10" t="n">
        <f aca="false">C3564*D3564</f>
        <v>17.7</v>
      </c>
    </row>
    <row r="3565" customFormat="false" ht="15" hidden="false" customHeight="false" outlineLevel="0" collapsed="false">
      <c r="A3565" s="9" t="s">
        <v>1596</v>
      </c>
      <c r="B3565" s="9" t="s">
        <v>446</v>
      </c>
      <c r="C3565" s="9" t="n">
        <v>2</v>
      </c>
      <c r="D3565" s="10" t="n">
        <v>7.95</v>
      </c>
      <c r="E3565" s="10" t="n">
        <f aca="false">C3565*D3565</f>
        <v>15.9</v>
      </c>
    </row>
    <row r="3566" customFormat="false" ht="15" hidden="false" customHeight="false" outlineLevel="0" collapsed="false">
      <c r="A3566" s="9" t="s">
        <v>1596</v>
      </c>
      <c r="B3566" s="9" t="s">
        <v>1612</v>
      </c>
      <c r="C3566" s="9" t="n">
        <v>12</v>
      </c>
      <c r="D3566" s="10" t="n">
        <v>0.85</v>
      </c>
      <c r="E3566" s="10" t="n">
        <f aca="false">C3566*D3566</f>
        <v>10.2</v>
      </c>
    </row>
    <row r="3567" customFormat="false" ht="15" hidden="false" customHeight="false" outlineLevel="0" collapsed="false">
      <c r="A3567" s="9" t="s">
        <v>1596</v>
      </c>
      <c r="B3567" s="9" t="s">
        <v>155</v>
      </c>
      <c r="C3567" s="9" t="n">
        <v>6</v>
      </c>
      <c r="D3567" s="10" t="n">
        <v>2.55</v>
      </c>
      <c r="E3567" s="10" t="n">
        <f aca="false">C3567*D3567</f>
        <v>15.3</v>
      </c>
    </row>
    <row r="3568" customFormat="false" ht="15" hidden="false" customHeight="false" outlineLevel="0" collapsed="false">
      <c r="A3568" s="9" t="s">
        <v>1596</v>
      </c>
      <c r="B3568" s="9" t="s">
        <v>990</v>
      </c>
      <c r="C3568" s="9" t="n">
        <v>4</v>
      </c>
      <c r="D3568" s="10" t="n">
        <v>4.95</v>
      </c>
      <c r="E3568" s="10" t="n">
        <f aca="false">C3568*D3568</f>
        <v>19.8</v>
      </c>
    </row>
    <row r="3569" customFormat="false" ht="15" hidden="false" customHeight="false" outlineLevel="0" collapsed="false">
      <c r="A3569" s="9" t="s">
        <v>1596</v>
      </c>
      <c r="B3569" s="9" t="s">
        <v>1613</v>
      </c>
      <c r="C3569" s="9" t="n">
        <v>6</v>
      </c>
      <c r="D3569" s="10" t="n">
        <v>3.75</v>
      </c>
      <c r="E3569" s="10" t="n">
        <f aca="false">C3569*D3569</f>
        <v>22.5</v>
      </c>
    </row>
    <row r="3570" customFormat="false" ht="15" hidden="false" customHeight="false" outlineLevel="0" collapsed="false">
      <c r="A3570" s="9" t="s">
        <v>1596</v>
      </c>
      <c r="B3570" s="9" t="s">
        <v>1396</v>
      </c>
      <c r="C3570" s="9" t="n">
        <v>4</v>
      </c>
      <c r="D3570" s="10" t="n">
        <v>4.25</v>
      </c>
      <c r="E3570" s="10" t="n">
        <f aca="false">C3570*D3570</f>
        <v>17</v>
      </c>
    </row>
    <row r="3571" customFormat="false" ht="15" hidden="false" customHeight="false" outlineLevel="0" collapsed="false">
      <c r="A3571" s="9" t="s">
        <v>1614</v>
      </c>
      <c r="B3571" s="9" t="s">
        <v>155</v>
      </c>
      <c r="C3571" s="9" t="n">
        <v>6</v>
      </c>
      <c r="D3571" s="10" t="n">
        <v>2.55</v>
      </c>
      <c r="E3571" s="10" t="n">
        <f aca="false">C3571*D3571</f>
        <v>15.3</v>
      </c>
    </row>
    <row r="3572" customFormat="false" ht="15" hidden="false" customHeight="false" outlineLevel="0" collapsed="false">
      <c r="A3572" s="9" t="s">
        <v>1614</v>
      </c>
      <c r="B3572" s="9" t="s">
        <v>874</v>
      </c>
      <c r="C3572" s="9" t="n">
        <v>2</v>
      </c>
      <c r="D3572" s="10" t="n">
        <v>7.95</v>
      </c>
      <c r="E3572" s="10" t="n">
        <f aca="false">C3572*D3572</f>
        <v>15.9</v>
      </c>
    </row>
    <row r="3573" customFormat="false" ht="15" hidden="false" customHeight="false" outlineLevel="0" collapsed="false">
      <c r="A3573" s="9" t="s">
        <v>1614</v>
      </c>
      <c r="B3573" s="9" t="s">
        <v>1516</v>
      </c>
      <c r="C3573" s="9" t="n">
        <v>2</v>
      </c>
      <c r="D3573" s="10" t="n">
        <v>7.95</v>
      </c>
      <c r="E3573" s="10" t="n">
        <f aca="false">C3573*D3573</f>
        <v>15.9</v>
      </c>
    </row>
    <row r="3574" customFormat="false" ht="15" hidden="false" customHeight="false" outlineLevel="0" collapsed="false">
      <c r="A3574" s="9" t="s">
        <v>1614</v>
      </c>
      <c r="B3574" s="9" t="s">
        <v>128</v>
      </c>
      <c r="C3574" s="9" t="n">
        <v>12</v>
      </c>
      <c r="D3574" s="10" t="n">
        <v>1.45</v>
      </c>
      <c r="E3574" s="10" t="n">
        <f aca="false">C3574*D3574</f>
        <v>17.4</v>
      </c>
    </row>
    <row r="3575" customFormat="false" ht="15" hidden="false" customHeight="false" outlineLevel="0" collapsed="false">
      <c r="A3575" s="9" t="s">
        <v>1614</v>
      </c>
      <c r="B3575" s="9" t="s">
        <v>1137</v>
      </c>
      <c r="C3575" s="9" t="n">
        <v>2</v>
      </c>
      <c r="D3575" s="10" t="n">
        <v>5.95</v>
      </c>
      <c r="E3575" s="10" t="n">
        <f aca="false">C3575*D3575</f>
        <v>11.9</v>
      </c>
    </row>
    <row r="3576" customFormat="false" ht="15" hidden="false" customHeight="false" outlineLevel="0" collapsed="false">
      <c r="A3576" s="9" t="s">
        <v>1614</v>
      </c>
      <c r="B3576" s="9" t="s">
        <v>1102</v>
      </c>
      <c r="C3576" s="9" t="n">
        <v>6</v>
      </c>
      <c r="D3576" s="10" t="n">
        <v>2.95</v>
      </c>
      <c r="E3576" s="10" t="n">
        <f aca="false">C3576*D3576</f>
        <v>17.7</v>
      </c>
    </row>
    <row r="3577" customFormat="false" ht="15" hidden="false" customHeight="false" outlineLevel="0" collapsed="false">
      <c r="A3577" s="9" t="s">
        <v>1614</v>
      </c>
      <c r="B3577" s="9" t="s">
        <v>40</v>
      </c>
      <c r="C3577" s="9" t="n">
        <v>4</v>
      </c>
      <c r="D3577" s="10" t="n">
        <v>3.75</v>
      </c>
      <c r="E3577" s="10" t="n">
        <f aca="false">C3577*D3577</f>
        <v>15</v>
      </c>
    </row>
    <row r="3578" customFormat="false" ht="15" hidden="false" customHeight="false" outlineLevel="0" collapsed="false">
      <c r="A3578" s="9" t="s">
        <v>1614</v>
      </c>
      <c r="B3578" s="9" t="s">
        <v>1513</v>
      </c>
      <c r="C3578" s="9" t="n">
        <v>3</v>
      </c>
      <c r="D3578" s="10" t="n">
        <v>5.95</v>
      </c>
      <c r="E3578" s="10" t="n">
        <f aca="false">C3578*D3578</f>
        <v>17.85</v>
      </c>
    </row>
    <row r="3579" customFormat="false" ht="15" hidden="false" customHeight="false" outlineLevel="0" collapsed="false">
      <c r="A3579" s="9" t="s">
        <v>1614</v>
      </c>
      <c r="B3579" s="9" t="s">
        <v>255</v>
      </c>
      <c r="C3579" s="9" t="n">
        <v>12</v>
      </c>
      <c r="D3579" s="10" t="n">
        <v>2.1</v>
      </c>
      <c r="E3579" s="10" t="n">
        <f aca="false">C3579*D3579</f>
        <v>25.2</v>
      </c>
    </row>
    <row r="3580" customFormat="false" ht="15" hidden="false" customHeight="false" outlineLevel="0" collapsed="false">
      <c r="A3580" s="9" t="s">
        <v>1614</v>
      </c>
      <c r="B3580" s="9" t="s">
        <v>254</v>
      </c>
      <c r="C3580" s="9" t="n">
        <v>12</v>
      </c>
      <c r="D3580" s="10" t="n">
        <v>2.1</v>
      </c>
      <c r="E3580" s="10" t="n">
        <f aca="false">C3580*D3580</f>
        <v>25.2</v>
      </c>
    </row>
    <row r="3581" customFormat="false" ht="15" hidden="false" customHeight="false" outlineLevel="0" collapsed="false">
      <c r="A3581" s="9" t="s">
        <v>1614</v>
      </c>
      <c r="B3581" s="9" t="s">
        <v>258</v>
      </c>
      <c r="C3581" s="9" t="n">
        <v>12</v>
      </c>
      <c r="D3581" s="10" t="n">
        <v>2.1</v>
      </c>
      <c r="E3581" s="10" t="n">
        <f aca="false">C3581*D3581</f>
        <v>25.2</v>
      </c>
    </row>
    <row r="3582" customFormat="false" ht="15" hidden="false" customHeight="false" outlineLevel="0" collapsed="false">
      <c r="A3582" s="9" t="s">
        <v>1614</v>
      </c>
      <c r="B3582" s="9" t="s">
        <v>1088</v>
      </c>
      <c r="C3582" s="9" t="n">
        <v>4</v>
      </c>
      <c r="D3582" s="10" t="n">
        <v>3.75</v>
      </c>
      <c r="E3582" s="10" t="n">
        <f aca="false">C3582*D3582</f>
        <v>15</v>
      </c>
    </row>
    <row r="3583" customFormat="false" ht="15" hidden="false" customHeight="false" outlineLevel="0" collapsed="false">
      <c r="A3583" s="9" t="s">
        <v>1614</v>
      </c>
      <c r="B3583" s="9" t="s">
        <v>1199</v>
      </c>
      <c r="C3583" s="9" t="n">
        <v>2</v>
      </c>
      <c r="D3583" s="10" t="n">
        <v>7.95</v>
      </c>
      <c r="E3583" s="10" t="n">
        <f aca="false">C3583*D3583</f>
        <v>15.9</v>
      </c>
    </row>
    <row r="3584" customFormat="false" ht="15" hidden="false" customHeight="false" outlineLevel="0" collapsed="false">
      <c r="A3584" s="9" t="s">
        <v>1614</v>
      </c>
      <c r="B3584" s="9" t="s">
        <v>1615</v>
      </c>
      <c r="C3584" s="9" t="n">
        <v>12</v>
      </c>
      <c r="D3584" s="10" t="n">
        <v>1.25</v>
      </c>
      <c r="E3584" s="10" t="n">
        <f aca="false">C3584*D3584</f>
        <v>15</v>
      </c>
    </row>
    <row r="3585" customFormat="false" ht="15" hidden="false" customHeight="false" outlineLevel="0" collapsed="false">
      <c r="A3585" s="9" t="s">
        <v>1614</v>
      </c>
      <c r="B3585" s="9" t="s">
        <v>46</v>
      </c>
      <c r="C3585" s="9" t="n">
        <v>12</v>
      </c>
      <c r="D3585" s="10" t="n">
        <v>2.1</v>
      </c>
      <c r="E3585" s="10" t="n">
        <f aca="false">C3585*D3585</f>
        <v>25.2</v>
      </c>
    </row>
    <row r="3586" customFormat="false" ht="15" hidden="false" customHeight="false" outlineLevel="0" collapsed="false">
      <c r="A3586" s="9" t="s">
        <v>1614</v>
      </c>
      <c r="B3586" s="9" t="s">
        <v>270</v>
      </c>
      <c r="C3586" s="9" t="n">
        <v>3</v>
      </c>
      <c r="D3586" s="10" t="n">
        <v>4.95</v>
      </c>
      <c r="E3586" s="10" t="n">
        <f aca="false">C3586*D3586</f>
        <v>14.85</v>
      </c>
    </row>
    <row r="3587" customFormat="false" ht="15" hidden="false" customHeight="false" outlineLevel="0" collapsed="false">
      <c r="A3587" s="9" t="s">
        <v>1616</v>
      </c>
      <c r="B3587" s="9" t="s">
        <v>1617</v>
      </c>
      <c r="C3587" s="9" t="n">
        <v>1</v>
      </c>
      <c r="D3587" s="10" t="n">
        <v>24.95</v>
      </c>
      <c r="E3587" s="10" t="n">
        <f aca="false">C3587*D3587</f>
        <v>24.95</v>
      </c>
    </row>
    <row r="3588" customFormat="false" ht="15" hidden="false" customHeight="false" outlineLevel="0" collapsed="false">
      <c r="A3588" s="9" t="s">
        <v>1616</v>
      </c>
      <c r="B3588" s="9" t="s">
        <v>797</v>
      </c>
      <c r="C3588" s="9" t="n">
        <v>1</v>
      </c>
      <c r="D3588" s="10" t="n">
        <v>2.95</v>
      </c>
      <c r="E3588" s="10" t="n">
        <f aca="false">C3588*D3588</f>
        <v>2.95</v>
      </c>
    </row>
    <row r="3589" customFormat="false" ht="15" hidden="false" customHeight="false" outlineLevel="0" collapsed="false">
      <c r="A3589" s="9" t="s">
        <v>1616</v>
      </c>
      <c r="B3589" s="9" t="s">
        <v>662</v>
      </c>
      <c r="C3589" s="9" t="n">
        <v>1</v>
      </c>
      <c r="D3589" s="10" t="n">
        <v>2.1</v>
      </c>
      <c r="E3589" s="10" t="n">
        <f aca="false">C3589*D3589</f>
        <v>2.1</v>
      </c>
    </row>
    <row r="3590" customFormat="false" ht="15" hidden="false" customHeight="false" outlineLevel="0" collapsed="false">
      <c r="A3590" s="9" t="s">
        <v>1616</v>
      </c>
      <c r="B3590" s="9" t="s">
        <v>258</v>
      </c>
      <c r="C3590" s="9" t="n">
        <v>1</v>
      </c>
      <c r="D3590" s="10" t="n">
        <v>2.1</v>
      </c>
      <c r="E3590" s="10" t="n">
        <f aca="false">C3590*D3590</f>
        <v>2.1</v>
      </c>
    </row>
    <row r="3591" customFormat="false" ht="15" hidden="false" customHeight="false" outlineLevel="0" collapsed="false">
      <c r="A3591" s="9" t="s">
        <v>1616</v>
      </c>
      <c r="B3591" s="9" t="s">
        <v>46</v>
      </c>
      <c r="C3591" s="9" t="n">
        <v>1</v>
      </c>
      <c r="D3591" s="10" t="n">
        <v>2.1</v>
      </c>
      <c r="E3591" s="10" t="n">
        <f aca="false">C3591*D3591</f>
        <v>2.1</v>
      </c>
    </row>
    <row r="3592" customFormat="false" ht="15" hidden="false" customHeight="false" outlineLevel="0" collapsed="false">
      <c r="A3592" s="9" t="s">
        <v>1616</v>
      </c>
      <c r="B3592" s="9" t="s">
        <v>1618</v>
      </c>
      <c r="C3592" s="9" t="n">
        <v>1</v>
      </c>
      <c r="D3592" s="10" t="n">
        <v>4.25</v>
      </c>
      <c r="E3592" s="10" t="n">
        <f aca="false">C3592*D3592</f>
        <v>4.25</v>
      </c>
    </row>
    <row r="3593" customFormat="false" ht="15" hidden="false" customHeight="false" outlineLevel="0" collapsed="false">
      <c r="A3593" s="9" t="s">
        <v>1616</v>
      </c>
      <c r="B3593" s="9" t="s">
        <v>150</v>
      </c>
      <c r="C3593" s="9" t="n">
        <v>1</v>
      </c>
      <c r="D3593" s="10" t="n">
        <v>1.95</v>
      </c>
      <c r="E3593" s="10" t="n">
        <f aca="false">C3593*D3593</f>
        <v>1.95</v>
      </c>
    </row>
    <row r="3594" customFormat="false" ht="15" hidden="false" customHeight="false" outlineLevel="0" collapsed="false">
      <c r="A3594" s="9" t="s">
        <v>1616</v>
      </c>
      <c r="B3594" s="9" t="s">
        <v>1153</v>
      </c>
      <c r="C3594" s="9" t="n">
        <v>1</v>
      </c>
      <c r="D3594" s="10" t="n">
        <v>1.25</v>
      </c>
      <c r="E3594" s="10" t="n">
        <f aca="false">C3594*D3594</f>
        <v>1.25</v>
      </c>
    </row>
    <row r="3595" customFormat="false" ht="15" hidden="false" customHeight="false" outlineLevel="0" collapsed="false">
      <c r="A3595" s="9" t="s">
        <v>1616</v>
      </c>
      <c r="B3595" s="9" t="s">
        <v>74</v>
      </c>
      <c r="C3595" s="9" t="n">
        <v>1</v>
      </c>
      <c r="D3595" s="10" t="n">
        <v>0.85</v>
      </c>
      <c r="E3595" s="10" t="n">
        <f aca="false">C3595*D3595</f>
        <v>0.85</v>
      </c>
    </row>
    <row r="3596" customFormat="false" ht="15" hidden="false" customHeight="false" outlineLevel="0" collapsed="false">
      <c r="A3596" s="9" t="s">
        <v>1616</v>
      </c>
      <c r="B3596" s="9" t="s">
        <v>387</v>
      </c>
      <c r="C3596" s="9" t="n">
        <v>1</v>
      </c>
      <c r="D3596" s="10" t="n">
        <v>1.25</v>
      </c>
      <c r="E3596" s="10" t="n">
        <f aca="false">C3596*D3596</f>
        <v>1.25</v>
      </c>
    </row>
    <row r="3597" customFormat="false" ht="15" hidden="false" customHeight="false" outlineLevel="0" collapsed="false">
      <c r="A3597" s="9" t="s">
        <v>1616</v>
      </c>
      <c r="B3597" s="9" t="s">
        <v>45</v>
      </c>
      <c r="C3597" s="9" t="n">
        <v>1</v>
      </c>
      <c r="D3597" s="10" t="n">
        <v>2.1</v>
      </c>
      <c r="E3597" s="10" t="n">
        <f aca="false">C3597*D3597</f>
        <v>2.1</v>
      </c>
    </row>
    <row r="3598" customFormat="false" ht="15" hidden="false" customHeight="false" outlineLevel="0" collapsed="false">
      <c r="A3598" s="9" t="s">
        <v>1619</v>
      </c>
      <c r="B3598" s="9" t="s">
        <v>766</v>
      </c>
      <c r="C3598" s="9" t="n">
        <v>1</v>
      </c>
      <c r="D3598" s="10" t="n">
        <v>4.25</v>
      </c>
      <c r="E3598" s="10" t="n">
        <f aca="false">C3598*D3598</f>
        <v>4.25</v>
      </c>
    </row>
    <row r="3599" customFormat="false" ht="15" hidden="false" customHeight="false" outlineLevel="0" collapsed="false">
      <c r="A3599" s="9" t="s">
        <v>1620</v>
      </c>
      <c r="B3599" s="9" t="s">
        <v>189</v>
      </c>
      <c r="C3599" s="9" t="n">
        <v>2</v>
      </c>
      <c r="D3599" s="10" t="n">
        <v>1.95</v>
      </c>
      <c r="E3599" s="10" t="n">
        <f aca="false">C3599*D3599</f>
        <v>3.9</v>
      </c>
    </row>
    <row r="3600" customFormat="false" ht="15" hidden="false" customHeight="false" outlineLevel="0" collapsed="false">
      <c r="A3600" s="9" t="s">
        <v>1620</v>
      </c>
      <c r="B3600" s="9" t="s">
        <v>188</v>
      </c>
      <c r="C3600" s="9" t="n">
        <v>2</v>
      </c>
      <c r="D3600" s="10" t="n">
        <v>1.65</v>
      </c>
      <c r="E3600" s="10" t="n">
        <f aca="false">C3600*D3600</f>
        <v>3.3</v>
      </c>
    </row>
    <row r="3601" customFormat="false" ht="15" hidden="false" customHeight="false" outlineLevel="0" collapsed="false">
      <c r="A3601" s="9" t="s">
        <v>1620</v>
      </c>
      <c r="B3601" s="9" t="s">
        <v>1249</v>
      </c>
      <c r="C3601" s="9" t="n">
        <v>5</v>
      </c>
      <c r="D3601" s="10" t="n">
        <v>0.85</v>
      </c>
      <c r="E3601" s="10" t="n">
        <f aca="false">C3601*D3601</f>
        <v>4.25</v>
      </c>
    </row>
    <row r="3602" customFormat="false" ht="15" hidden="false" customHeight="false" outlineLevel="0" collapsed="false">
      <c r="A3602" s="9" t="s">
        <v>1620</v>
      </c>
      <c r="B3602" s="9" t="s">
        <v>1235</v>
      </c>
      <c r="C3602" s="9" t="n">
        <v>6</v>
      </c>
      <c r="D3602" s="10" t="n">
        <v>0.85</v>
      </c>
      <c r="E3602" s="10" t="n">
        <f aca="false">C3602*D3602</f>
        <v>5.1</v>
      </c>
    </row>
    <row r="3603" customFormat="false" ht="15" hidden="false" customHeight="false" outlineLevel="0" collapsed="false">
      <c r="A3603" s="9" t="s">
        <v>1620</v>
      </c>
      <c r="B3603" s="9" t="s">
        <v>269</v>
      </c>
      <c r="C3603" s="9" t="n">
        <v>2</v>
      </c>
      <c r="D3603" s="10" t="n">
        <v>3.75</v>
      </c>
      <c r="E3603" s="10" t="n">
        <f aca="false">C3603*D3603</f>
        <v>7.5</v>
      </c>
    </row>
    <row r="3604" customFormat="false" ht="15" hidden="false" customHeight="false" outlineLevel="0" collapsed="false">
      <c r="A3604" s="9" t="s">
        <v>1620</v>
      </c>
      <c r="B3604" s="9" t="s">
        <v>122</v>
      </c>
      <c r="C3604" s="9" t="n">
        <v>3</v>
      </c>
      <c r="D3604" s="10" t="n">
        <v>3.75</v>
      </c>
      <c r="E3604" s="10" t="n">
        <f aca="false">C3604*D3604</f>
        <v>11.25</v>
      </c>
    </row>
    <row r="3605" customFormat="false" ht="15" hidden="false" customHeight="false" outlineLevel="0" collapsed="false">
      <c r="A3605" s="9" t="s">
        <v>1620</v>
      </c>
      <c r="B3605" s="9" t="s">
        <v>309</v>
      </c>
      <c r="C3605" s="9" t="n">
        <v>4</v>
      </c>
      <c r="D3605" s="10" t="n">
        <v>2.55</v>
      </c>
      <c r="E3605" s="10" t="n">
        <f aca="false">C3605*D3605</f>
        <v>10.2</v>
      </c>
    </row>
    <row r="3606" customFormat="false" ht="15" hidden="false" customHeight="false" outlineLevel="0" collapsed="false">
      <c r="A3606" s="9" t="s">
        <v>1620</v>
      </c>
      <c r="B3606" s="9" t="s">
        <v>1278</v>
      </c>
      <c r="C3606" s="9" t="n">
        <v>3</v>
      </c>
      <c r="D3606" s="10" t="n">
        <v>3.75</v>
      </c>
      <c r="E3606" s="10" t="n">
        <f aca="false">C3606*D3606</f>
        <v>11.25</v>
      </c>
    </row>
    <row r="3607" customFormat="false" ht="15" hidden="false" customHeight="false" outlineLevel="0" collapsed="false">
      <c r="A3607" s="9" t="s">
        <v>1620</v>
      </c>
      <c r="B3607" s="9" t="s">
        <v>121</v>
      </c>
      <c r="C3607" s="9" t="n">
        <v>2</v>
      </c>
      <c r="D3607" s="10" t="n">
        <v>3.75</v>
      </c>
      <c r="E3607" s="10" t="n">
        <f aca="false">C3607*D3607</f>
        <v>7.5</v>
      </c>
    </row>
    <row r="3608" customFormat="false" ht="15" hidden="false" customHeight="false" outlineLevel="0" collapsed="false">
      <c r="A3608" s="9" t="s">
        <v>1620</v>
      </c>
      <c r="B3608" s="9" t="s">
        <v>710</v>
      </c>
      <c r="C3608" s="9" t="n">
        <v>7</v>
      </c>
      <c r="D3608" s="10" t="n">
        <v>3.75</v>
      </c>
      <c r="E3608" s="10" t="n">
        <f aca="false">C3608*D3608</f>
        <v>26.25</v>
      </c>
    </row>
    <row r="3609" customFormat="false" ht="15" hidden="false" customHeight="false" outlineLevel="0" collapsed="false">
      <c r="A3609" s="9" t="s">
        <v>1620</v>
      </c>
      <c r="B3609" s="9" t="s">
        <v>755</v>
      </c>
      <c r="C3609" s="9" t="n">
        <v>2</v>
      </c>
      <c r="D3609" s="10" t="n">
        <v>9.95</v>
      </c>
      <c r="E3609" s="10" t="n">
        <f aca="false">C3609*D3609</f>
        <v>19.9</v>
      </c>
    </row>
    <row r="3610" customFormat="false" ht="15" hidden="false" customHeight="false" outlineLevel="0" collapsed="false">
      <c r="A3610" s="9" t="s">
        <v>1620</v>
      </c>
      <c r="B3610" s="9" t="s">
        <v>270</v>
      </c>
      <c r="C3610" s="9" t="n">
        <v>6</v>
      </c>
      <c r="D3610" s="10" t="n">
        <v>4.95</v>
      </c>
      <c r="E3610" s="10" t="n">
        <f aca="false">C3610*D3610</f>
        <v>29.7</v>
      </c>
    </row>
    <row r="3611" customFormat="false" ht="15" hidden="false" customHeight="false" outlineLevel="0" collapsed="false">
      <c r="A3611" s="9" t="s">
        <v>1620</v>
      </c>
      <c r="B3611" s="9" t="s">
        <v>371</v>
      </c>
      <c r="C3611" s="9" t="n">
        <v>1</v>
      </c>
      <c r="D3611" s="10" t="n">
        <v>4.25</v>
      </c>
      <c r="E3611" s="10" t="n">
        <f aca="false">C3611*D3611</f>
        <v>4.25</v>
      </c>
    </row>
    <row r="3612" customFormat="false" ht="15" hidden="false" customHeight="false" outlineLevel="0" collapsed="false">
      <c r="A3612" s="9" t="s">
        <v>1620</v>
      </c>
      <c r="B3612" s="9" t="s">
        <v>528</v>
      </c>
      <c r="C3612" s="9" t="n">
        <v>4</v>
      </c>
      <c r="D3612" s="10" t="n">
        <v>1.45</v>
      </c>
      <c r="E3612" s="10" t="n">
        <f aca="false">C3612*D3612</f>
        <v>5.8</v>
      </c>
    </row>
    <row r="3613" customFormat="false" ht="15" hidden="false" customHeight="false" outlineLevel="0" collapsed="false">
      <c r="A3613" s="9" t="s">
        <v>1620</v>
      </c>
      <c r="B3613" s="9" t="s">
        <v>620</v>
      </c>
      <c r="C3613" s="9" t="n">
        <v>2</v>
      </c>
      <c r="D3613" s="10" t="n">
        <v>4.25</v>
      </c>
      <c r="E3613" s="10" t="n">
        <f aca="false">C3613*D3613</f>
        <v>8.5</v>
      </c>
    </row>
    <row r="3614" customFormat="false" ht="15" hidden="false" customHeight="false" outlineLevel="0" collapsed="false">
      <c r="A3614" s="9" t="s">
        <v>1620</v>
      </c>
      <c r="B3614" s="9" t="s">
        <v>1621</v>
      </c>
      <c r="C3614" s="9" t="n">
        <v>2</v>
      </c>
      <c r="D3614" s="10" t="n">
        <v>4.25</v>
      </c>
      <c r="E3614" s="10" t="n">
        <f aca="false">C3614*D3614</f>
        <v>8.5</v>
      </c>
    </row>
    <row r="3615" customFormat="false" ht="15" hidden="false" customHeight="false" outlineLevel="0" collapsed="false">
      <c r="A3615" s="9" t="s">
        <v>1620</v>
      </c>
      <c r="B3615" s="9" t="s">
        <v>396</v>
      </c>
      <c r="C3615" s="9" t="n">
        <v>2</v>
      </c>
      <c r="D3615" s="10" t="n">
        <v>0.85</v>
      </c>
      <c r="E3615" s="10" t="n">
        <f aca="false">C3615*D3615</f>
        <v>1.7</v>
      </c>
    </row>
    <row r="3616" customFormat="false" ht="15" hidden="false" customHeight="false" outlineLevel="0" collapsed="false">
      <c r="A3616" s="9" t="s">
        <v>1620</v>
      </c>
      <c r="B3616" s="9" t="s">
        <v>1073</v>
      </c>
      <c r="C3616" s="9" t="n">
        <v>2</v>
      </c>
      <c r="D3616" s="10" t="n">
        <v>4.25</v>
      </c>
      <c r="E3616" s="10" t="n">
        <f aca="false">C3616*D3616</f>
        <v>8.5</v>
      </c>
    </row>
    <row r="3617" customFormat="false" ht="15" hidden="false" customHeight="false" outlineLevel="0" collapsed="false">
      <c r="A3617" s="9" t="s">
        <v>1620</v>
      </c>
      <c r="B3617" s="9" t="s">
        <v>193</v>
      </c>
      <c r="C3617" s="9" t="n">
        <v>3</v>
      </c>
      <c r="D3617" s="10" t="n">
        <v>1.95</v>
      </c>
      <c r="E3617" s="10" t="n">
        <f aca="false">C3617*D3617</f>
        <v>5.85</v>
      </c>
    </row>
    <row r="3618" customFormat="false" ht="15" hidden="false" customHeight="false" outlineLevel="0" collapsed="false">
      <c r="A3618" s="9" t="s">
        <v>1620</v>
      </c>
      <c r="B3618" s="9" t="s">
        <v>1347</v>
      </c>
      <c r="C3618" s="9" t="n">
        <v>1</v>
      </c>
      <c r="D3618" s="10" t="n">
        <v>3.75</v>
      </c>
      <c r="E3618" s="10" t="n">
        <f aca="false">C3618*D3618</f>
        <v>3.75</v>
      </c>
    </row>
    <row r="3619" customFormat="false" ht="15" hidden="false" customHeight="false" outlineLevel="0" collapsed="false">
      <c r="A3619" s="9" t="s">
        <v>1620</v>
      </c>
      <c r="B3619" s="9" t="s">
        <v>1052</v>
      </c>
      <c r="C3619" s="9" t="n">
        <v>2</v>
      </c>
      <c r="D3619" s="10" t="n">
        <v>3.75</v>
      </c>
      <c r="E3619" s="10" t="n">
        <f aca="false">C3619*D3619</f>
        <v>7.5</v>
      </c>
    </row>
    <row r="3620" customFormat="false" ht="15" hidden="false" customHeight="false" outlineLevel="0" collapsed="false">
      <c r="A3620" s="9" t="s">
        <v>1620</v>
      </c>
      <c r="B3620" s="9" t="s">
        <v>1592</v>
      </c>
      <c r="C3620" s="9" t="n">
        <v>2</v>
      </c>
      <c r="D3620" s="10" t="n">
        <v>3.75</v>
      </c>
      <c r="E3620" s="10" t="n">
        <f aca="false">C3620*D3620</f>
        <v>7.5</v>
      </c>
    </row>
    <row r="3621" customFormat="false" ht="15" hidden="false" customHeight="false" outlineLevel="0" collapsed="false">
      <c r="A3621" s="9" t="s">
        <v>1620</v>
      </c>
      <c r="B3621" s="9" t="s">
        <v>123</v>
      </c>
      <c r="C3621" s="9" t="n">
        <v>1</v>
      </c>
      <c r="D3621" s="10" t="n">
        <v>0.85</v>
      </c>
      <c r="E3621" s="10" t="n">
        <f aca="false">C3621*D3621</f>
        <v>0.85</v>
      </c>
    </row>
    <row r="3622" customFormat="false" ht="15" hidden="false" customHeight="false" outlineLevel="0" collapsed="false">
      <c r="A3622" s="9" t="s">
        <v>1620</v>
      </c>
      <c r="B3622" s="9" t="s">
        <v>794</v>
      </c>
      <c r="C3622" s="9" t="n">
        <v>1</v>
      </c>
      <c r="D3622" s="10" t="n">
        <v>1.25</v>
      </c>
      <c r="E3622" s="10" t="n">
        <f aca="false">C3622*D3622</f>
        <v>1.25</v>
      </c>
    </row>
    <row r="3623" customFormat="false" ht="15" hidden="false" customHeight="false" outlineLevel="0" collapsed="false">
      <c r="A3623" s="9" t="s">
        <v>1620</v>
      </c>
      <c r="B3623" s="9" t="s">
        <v>1622</v>
      </c>
      <c r="C3623" s="9" t="n">
        <v>4</v>
      </c>
      <c r="D3623" s="10" t="n">
        <v>1.95</v>
      </c>
      <c r="E3623" s="10" t="n">
        <f aca="false">C3623*D3623</f>
        <v>7.8</v>
      </c>
    </row>
    <row r="3624" customFormat="false" ht="15" hidden="false" customHeight="false" outlineLevel="0" collapsed="false">
      <c r="A3624" s="9" t="s">
        <v>1620</v>
      </c>
      <c r="B3624" s="9" t="s">
        <v>193</v>
      </c>
      <c r="C3624" s="9" t="n">
        <v>2</v>
      </c>
      <c r="D3624" s="10" t="n">
        <v>1.95</v>
      </c>
      <c r="E3624" s="10" t="n">
        <f aca="false">C3624*D3624</f>
        <v>3.9</v>
      </c>
    </row>
    <row r="3625" customFormat="false" ht="15" hidden="false" customHeight="false" outlineLevel="0" collapsed="false">
      <c r="A3625" s="9" t="s">
        <v>1620</v>
      </c>
      <c r="B3625" s="9" t="s">
        <v>880</v>
      </c>
      <c r="C3625" s="9" t="n">
        <v>1</v>
      </c>
      <c r="D3625" s="10" t="n">
        <v>7.95</v>
      </c>
      <c r="E3625" s="10" t="n">
        <f aca="false">C3625*D3625</f>
        <v>7.95</v>
      </c>
    </row>
    <row r="3626" customFormat="false" ht="15" hidden="false" customHeight="false" outlineLevel="0" collapsed="false">
      <c r="A3626" s="9" t="s">
        <v>1623</v>
      </c>
      <c r="B3626" s="9" t="s">
        <v>487</v>
      </c>
      <c r="C3626" s="9" t="n">
        <v>24</v>
      </c>
      <c r="D3626" s="10" t="n">
        <v>0.55</v>
      </c>
      <c r="E3626" s="10" t="n">
        <f aca="false">C3626*D3626</f>
        <v>13.2</v>
      </c>
    </row>
    <row r="3627" customFormat="false" ht="15" hidden="false" customHeight="false" outlineLevel="0" collapsed="false">
      <c r="A3627" s="9" t="s">
        <v>1623</v>
      </c>
      <c r="B3627" s="9" t="s">
        <v>593</v>
      </c>
      <c r="C3627" s="9" t="n">
        <v>20</v>
      </c>
      <c r="D3627" s="10" t="n">
        <v>1.65</v>
      </c>
      <c r="E3627" s="10" t="n">
        <f aca="false">C3627*D3627</f>
        <v>33</v>
      </c>
    </row>
    <row r="3628" customFormat="false" ht="15" hidden="false" customHeight="false" outlineLevel="0" collapsed="false">
      <c r="A3628" s="9" t="s">
        <v>1623</v>
      </c>
      <c r="B3628" s="9" t="s">
        <v>233</v>
      </c>
      <c r="C3628" s="9" t="n">
        <v>40</v>
      </c>
      <c r="D3628" s="10" t="n">
        <v>2.55</v>
      </c>
      <c r="E3628" s="10" t="n">
        <f aca="false">C3628*D3628</f>
        <v>102</v>
      </c>
    </row>
    <row r="3629" customFormat="false" ht="15" hidden="false" customHeight="false" outlineLevel="0" collapsed="false">
      <c r="A3629" s="9" t="s">
        <v>1623</v>
      </c>
      <c r="B3629" s="9" t="s">
        <v>258</v>
      </c>
      <c r="C3629" s="9" t="n">
        <v>24</v>
      </c>
      <c r="D3629" s="10" t="n">
        <v>2.1</v>
      </c>
      <c r="E3629" s="10" t="n">
        <f aca="false">C3629*D3629</f>
        <v>50.4</v>
      </c>
    </row>
    <row r="3630" customFormat="false" ht="15" hidden="false" customHeight="false" outlineLevel="0" collapsed="false">
      <c r="A3630" s="9" t="s">
        <v>1623</v>
      </c>
      <c r="B3630" s="9" t="s">
        <v>45</v>
      </c>
      <c r="C3630" s="9" t="n">
        <v>24</v>
      </c>
      <c r="D3630" s="10" t="n">
        <v>2.1</v>
      </c>
      <c r="E3630" s="10" t="n">
        <f aca="false">C3630*D3630</f>
        <v>50.4</v>
      </c>
    </row>
    <row r="3631" customFormat="false" ht="15" hidden="false" customHeight="false" outlineLevel="0" collapsed="false">
      <c r="A3631" s="9" t="s">
        <v>1623</v>
      </c>
      <c r="B3631" s="9" t="s">
        <v>46</v>
      </c>
      <c r="C3631" s="9" t="n">
        <v>24</v>
      </c>
      <c r="D3631" s="10" t="n">
        <v>2.1</v>
      </c>
      <c r="E3631" s="10" t="n">
        <f aca="false">C3631*D3631</f>
        <v>50.4</v>
      </c>
    </row>
    <row r="3632" customFormat="false" ht="15" hidden="false" customHeight="false" outlineLevel="0" collapsed="false">
      <c r="A3632" s="9" t="s">
        <v>1624</v>
      </c>
      <c r="B3632" s="9" t="s">
        <v>88</v>
      </c>
      <c r="C3632" s="9" t="n">
        <v>12</v>
      </c>
      <c r="D3632" s="10" t="n">
        <v>2.95</v>
      </c>
      <c r="E3632" s="10" t="n">
        <f aca="false">C3632*D3632</f>
        <v>35.4</v>
      </c>
    </row>
    <row r="3633" customFormat="false" ht="15" hidden="false" customHeight="false" outlineLevel="0" collapsed="false">
      <c r="A3633" s="9" t="s">
        <v>1624</v>
      </c>
      <c r="B3633" s="9" t="s">
        <v>443</v>
      </c>
      <c r="C3633" s="9" t="n">
        <v>6</v>
      </c>
      <c r="D3633" s="10" t="n">
        <v>2.95</v>
      </c>
      <c r="E3633" s="10" t="n">
        <f aca="false">C3633*D3633</f>
        <v>17.7</v>
      </c>
    </row>
    <row r="3634" customFormat="false" ht="15" hidden="false" customHeight="false" outlineLevel="0" collapsed="false">
      <c r="A3634" s="9" t="s">
        <v>1624</v>
      </c>
      <c r="B3634" s="9" t="s">
        <v>196</v>
      </c>
      <c r="C3634" s="9" t="n">
        <v>4</v>
      </c>
      <c r="D3634" s="10" t="n">
        <v>4.95</v>
      </c>
      <c r="E3634" s="10" t="n">
        <f aca="false">C3634*D3634</f>
        <v>19.8</v>
      </c>
    </row>
    <row r="3635" customFormat="false" ht="15" hidden="false" customHeight="false" outlineLevel="0" collapsed="false">
      <c r="A3635" s="9" t="s">
        <v>1624</v>
      </c>
      <c r="B3635" s="9" t="s">
        <v>439</v>
      </c>
      <c r="C3635" s="9" t="n">
        <v>6</v>
      </c>
      <c r="D3635" s="10" t="n">
        <v>2.95</v>
      </c>
      <c r="E3635" s="10" t="n">
        <f aca="false">C3635*D3635</f>
        <v>17.7</v>
      </c>
    </row>
    <row r="3636" customFormat="false" ht="15" hidden="false" customHeight="false" outlineLevel="0" collapsed="false">
      <c r="A3636" s="9" t="s">
        <v>1624</v>
      </c>
      <c r="B3636" s="9" t="s">
        <v>1625</v>
      </c>
      <c r="C3636" s="9" t="n">
        <v>6</v>
      </c>
      <c r="D3636" s="10" t="n">
        <v>2.95</v>
      </c>
      <c r="E3636" s="10" t="n">
        <f aca="false">C3636*D3636</f>
        <v>17.7</v>
      </c>
    </row>
    <row r="3637" customFormat="false" ht="15" hidden="false" customHeight="false" outlineLevel="0" collapsed="false">
      <c r="A3637" s="9" t="s">
        <v>1624</v>
      </c>
      <c r="B3637" s="9" t="s">
        <v>375</v>
      </c>
      <c r="C3637" s="9" t="n">
        <v>6</v>
      </c>
      <c r="D3637" s="10" t="n">
        <v>2.55</v>
      </c>
      <c r="E3637" s="10" t="n">
        <f aca="false">C3637*D3637</f>
        <v>15.3</v>
      </c>
    </row>
    <row r="3638" customFormat="false" ht="15" hidden="false" customHeight="false" outlineLevel="0" collapsed="false">
      <c r="A3638" s="9" t="s">
        <v>1624</v>
      </c>
      <c r="B3638" s="9" t="s">
        <v>233</v>
      </c>
      <c r="C3638" s="9" t="n">
        <v>12</v>
      </c>
      <c r="D3638" s="10" t="n">
        <v>2.95</v>
      </c>
      <c r="E3638" s="10" t="n">
        <f aca="false">C3638*D3638</f>
        <v>35.4</v>
      </c>
    </row>
    <row r="3639" customFormat="false" ht="15" hidden="false" customHeight="false" outlineLevel="0" collapsed="false">
      <c r="A3639" s="9" t="s">
        <v>1624</v>
      </c>
      <c r="B3639" s="9" t="s">
        <v>989</v>
      </c>
      <c r="C3639" s="9" t="n">
        <v>2</v>
      </c>
      <c r="D3639" s="10" t="n">
        <v>9.95</v>
      </c>
      <c r="E3639" s="10" t="n">
        <f aca="false">C3639*D3639</f>
        <v>19.9</v>
      </c>
    </row>
    <row r="3640" customFormat="false" ht="15" hidden="false" customHeight="false" outlineLevel="0" collapsed="false">
      <c r="A3640" s="9" t="s">
        <v>1624</v>
      </c>
      <c r="B3640" s="9" t="s">
        <v>1327</v>
      </c>
      <c r="C3640" s="9" t="n">
        <v>24</v>
      </c>
      <c r="D3640" s="10" t="n">
        <v>0.85</v>
      </c>
      <c r="E3640" s="10" t="n">
        <f aca="false">C3640*D3640</f>
        <v>20.4</v>
      </c>
    </row>
    <row r="3641" customFormat="false" ht="15" hidden="false" customHeight="false" outlineLevel="0" collapsed="false">
      <c r="A3641" s="9" t="s">
        <v>1624</v>
      </c>
      <c r="B3641" s="9" t="s">
        <v>501</v>
      </c>
      <c r="C3641" s="9" t="n">
        <v>12</v>
      </c>
      <c r="D3641" s="10" t="n">
        <v>0.85</v>
      </c>
      <c r="E3641" s="10" t="n">
        <f aca="false">C3641*D3641</f>
        <v>10.2</v>
      </c>
    </row>
    <row r="3642" customFormat="false" ht="15" hidden="false" customHeight="false" outlineLevel="0" collapsed="false">
      <c r="A3642" s="9" t="s">
        <v>1624</v>
      </c>
      <c r="B3642" s="9" t="s">
        <v>508</v>
      </c>
      <c r="C3642" s="9" t="n">
        <v>24</v>
      </c>
      <c r="D3642" s="10" t="n">
        <v>0.85</v>
      </c>
      <c r="E3642" s="10" t="n">
        <f aca="false">C3642*D3642</f>
        <v>20.4</v>
      </c>
    </row>
    <row r="3643" customFormat="false" ht="15" hidden="false" customHeight="false" outlineLevel="0" collapsed="false">
      <c r="A3643" s="9" t="s">
        <v>1624</v>
      </c>
      <c r="B3643" s="9" t="s">
        <v>1217</v>
      </c>
      <c r="C3643" s="9" t="n">
        <v>24</v>
      </c>
      <c r="D3643" s="10" t="n">
        <v>0.85</v>
      </c>
      <c r="E3643" s="10" t="n">
        <f aca="false">C3643*D3643</f>
        <v>20.4</v>
      </c>
    </row>
    <row r="3644" customFormat="false" ht="15" hidden="false" customHeight="false" outlineLevel="0" collapsed="false">
      <c r="A3644" s="9" t="s">
        <v>1624</v>
      </c>
      <c r="B3644" s="9" t="s">
        <v>852</v>
      </c>
      <c r="C3644" s="9" t="n">
        <v>24</v>
      </c>
      <c r="D3644" s="10" t="n">
        <v>0.85</v>
      </c>
      <c r="E3644" s="10" t="n">
        <f aca="false">C3644*D3644</f>
        <v>20.4</v>
      </c>
    </row>
    <row r="3645" customFormat="false" ht="15" hidden="false" customHeight="false" outlineLevel="0" collapsed="false">
      <c r="A3645" s="9" t="s">
        <v>1624</v>
      </c>
      <c r="B3645" s="9" t="s">
        <v>1235</v>
      </c>
      <c r="C3645" s="9" t="n">
        <v>24</v>
      </c>
      <c r="D3645" s="10" t="n">
        <v>0.85</v>
      </c>
      <c r="E3645" s="10" t="n">
        <f aca="false">C3645*D3645</f>
        <v>20.4</v>
      </c>
    </row>
    <row r="3646" customFormat="false" ht="15" hidden="false" customHeight="false" outlineLevel="0" collapsed="false">
      <c r="A3646" s="9" t="s">
        <v>1624</v>
      </c>
      <c r="B3646" s="9" t="s">
        <v>850</v>
      </c>
      <c r="C3646" s="9" t="n">
        <v>24</v>
      </c>
      <c r="D3646" s="10" t="n">
        <v>0.85</v>
      </c>
      <c r="E3646" s="10" t="n">
        <f aca="false">C3646*D3646</f>
        <v>20.4</v>
      </c>
    </row>
    <row r="3647" customFormat="false" ht="15" hidden="false" customHeight="false" outlineLevel="0" collapsed="false">
      <c r="A3647" s="9" t="s">
        <v>1624</v>
      </c>
      <c r="B3647" s="9" t="s">
        <v>613</v>
      </c>
      <c r="C3647" s="9" t="n">
        <v>4</v>
      </c>
      <c r="D3647" s="10" t="n">
        <v>12.75</v>
      </c>
      <c r="E3647" s="10" t="n">
        <f aca="false">C3647*D3647</f>
        <v>51</v>
      </c>
    </row>
    <row r="3648" customFormat="false" ht="15" hidden="false" customHeight="false" outlineLevel="0" collapsed="false">
      <c r="A3648" s="9" t="s">
        <v>1626</v>
      </c>
      <c r="B3648" s="9" t="s">
        <v>179</v>
      </c>
      <c r="C3648" s="9" t="n">
        <v>40</v>
      </c>
      <c r="D3648" s="10" t="n">
        <v>1.45</v>
      </c>
      <c r="E3648" s="10" t="n">
        <f aca="false">C3648*D3648</f>
        <v>58</v>
      </c>
    </row>
    <row r="3649" customFormat="false" ht="15" hidden="false" customHeight="false" outlineLevel="0" collapsed="false">
      <c r="A3649" s="9" t="s">
        <v>1627</v>
      </c>
      <c r="B3649" s="9" t="s">
        <v>1015</v>
      </c>
      <c r="C3649" s="9" t="n">
        <v>24</v>
      </c>
      <c r="D3649" s="10" t="n">
        <v>0.85</v>
      </c>
      <c r="E3649" s="10" t="n">
        <f aca="false">C3649*D3649</f>
        <v>20.4</v>
      </c>
    </row>
    <row r="3650" customFormat="false" ht="15" hidden="false" customHeight="false" outlineLevel="0" collapsed="false">
      <c r="A3650" s="9" t="s">
        <v>1627</v>
      </c>
      <c r="B3650" s="9" t="s">
        <v>1628</v>
      </c>
      <c r="C3650" s="9" t="n">
        <v>24</v>
      </c>
      <c r="D3650" s="10" t="n">
        <v>0.85</v>
      </c>
      <c r="E3650" s="10" t="n">
        <f aca="false">C3650*D3650</f>
        <v>20.4</v>
      </c>
    </row>
    <row r="3651" customFormat="false" ht="15" hidden="false" customHeight="false" outlineLevel="0" collapsed="false">
      <c r="A3651" s="9" t="s">
        <v>1627</v>
      </c>
      <c r="B3651" s="9" t="s">
        <v>1248</v>
      </c>
      <c r="C3651" s="9" t="n">
        <v>12</v>
      </c>
      <c r="D3651" s="10" t="n">
        <v>1.25</v>
      </c>
      <c r="E3651" s="10" t="n">
        <f aca="false">C3651*D3651</f>
        <v>15</v>
      </c>
    </row>
    <row r="3652" customFormat="false" ht="15" hidden="false" customHeight="false" outlineLevel="0" collapsed="false">
      <c r="A3652" s="9" t="s">
        <v>1627</v>
      </c>
      <c r="B3652" s="9" t="s">
        <v>392</v>
      </c>
      <c r="C3652" s="9" t="n">
        <v>24</v>
      </c>
      <c r="D3652" s="10" t="n">
        <v>1.65</v>
      </c>
      <c r="E3652" s="10" t="n">
        <f aca="false">C3652*D3652</f>
        <v>39.6</v>
      </c>
    </row>
    <row r="3653" customFormat="false" ht="15" hidden="false" customHeight="false" outlineLevel="0" collapsed="false">
      <c r="A3653" s="9" t="s">
        <v>1627</v>
      </c>
      <c r="B3653" s="9" t="s">
        <v>829</v>
      </c>
      <c r="C3653" s="9" t="n">
        <v>48</v>
      </c>
      <c r="D3653" s="10" t="n">
        <v>0.85</v>
      </c>
      <c r="E3653" s="10" t="n">
        <f aca="false">C3653*D3653</f>
        <v>40.8</v>
      </c>
    </row>
    <row r="3654" customFormat="false" ht="15" hidden="false" customHeight="false" outlineLevel="0" collapsed="false">
      <c r="A3654" s="9" t="s">
        <v>1629</v>
      </c>
      <c r="B3654" s="9" t="s">
        <v>259</v>
      </c>
      <c r="C3654" s="9" t="n">
        <v>4</v>
      </c>
      <c r="D3654" s="10" t="n">
        <v>3.75</v>
      </c>
      <c r="E3654" s="10" t="n">
        <f aca="false">C3654*D3654</f>
        <v>15</v>
      </c>
    </row>
    <row r="3655" customFormat="false" ht="15" hidden="false" customHeight="false" outlineLevel="0" collapsed="false">
      <c r="A3655" s="9" t="s">
        <v>1629</v>
      </c>
      <c r="B3655" s="9" t="s">
        <v>1402</v>
      </c>
      <c r="C3655" s="9" t="n">
        <v>6</v>
      </c>
      <c r="D3655" s="10" t="n">
        <v>2.95</v>
      </c>
      <c r="E3655" s="10" t="n">
        <f aca="false">C3655*D3655</f>
        <v>17.7</v>
      </c>
    </row>
    <row r="3656" customFormat="false" ht="15" hidden="false" customHeight="false" outlineLevel="0" collapsed="false">
      <c r="A3656" s="9" t="s">
        <v>1629</v>
      </c>
      <c r="B3656" s="9" t="s">
        <v>372</v>
      </c>
      <c r="C3656" s="9" t="n">
        <v>24</v>
      </c>
      <c r="D3656" s="10" t="n">
        <v>1.95</v>
      </c>
      <c r="E3656" s="10" t="n">
        <f aca="false">C3656*D3656</f>
        <v>46.8</v>
      </c>
    </row>
    <row r="3657" customFormat="false" ht="15" hidden="false" customHeight="false" outlineLevel="0" collapsed="false">
      <c r="A3657" s="9" t="s">
        <v>1629</v>
      </c>
      <c r="B3657" s="9" t="s">
        <v>305</v>
      </c>
      <c r="C3657" s="9" t="n">
        <v>6</v>
      </c>
      <c r="D3657" s="10" t="n">
        <v>7.95</v>
      </c>
      <c r="E3657" s="10" t="n">
        <f aca="false">C3657*D3657</f>
        <v>47.7</v>
      </c>
    </row>
    <row r="3658" customFormat="false" ht="15" hidden="false" customHeight="false" outlineLevel="0" collapsed="false">
      <c r="A3658" s="9" t="s">
        <v>1630</v>
      </c>
      <c r="B3658" s="9" t="s">
        <v>1551</v>
      </c>
      <c r="C3658" s="9" t="n">
        <v>48</v>
      </c>
      <c r="D3658" s="10" t="n">
        <v>0.85</v>
      </c>
      <c r="E3658" s="10" t="n">
        <f aca="false">C3658*D3658</f>
        <v>40.8</v>
      </c>
    </row>
    <row r="3659" customFormat="false" ht="15" hidden="false" customHeight="false" outlineLevel="0" collapsed="false">
      <c r="A3659" s="9" t="s">
        <v>1630</v>
      </c>
      <c r="B3659" s="9" t="s">
        <v>1631</v>
      </c>
      <c r="C3659" s="9" t="n">
        <v>144</v>
      </c>
      <c r="D3659" s="10" t="n">
        <v>0.42</v>
      </c>
      <c r="E3659" s="10" t="n">
        <f aca="false">C3659*D3659</f>
        <v>60.48</v>
      </c>
    </row>
    <row r="3660" customFormat="false" ht="15" hidden="false" customHeight="false" outlineLevel="0" collapsed="false">
      <c r="A3660" s="9" t="s">
        <v>1630</v>
      </c>
      <c r="B3660" s="9" t="s">
        <v>490</v>
      </c>
      <c r="C3660" s="9" t="n">
        <v>96</v>
      </c>
      <c r="D3660" s="10" t="n">
        <v>0.64</v>
      </c>
      <c r="E3660" s="10" t="n">
        <f aca="false">C3660*D3660</f>
        <v>61.44</v>
      </c>
    </row>
    <row r="3661" customFormat="false" ht="15" hidden="false" customHeight="false" outlineLevel="0" collapsed="false">
      <c r="A3661" s="9" t="s">
        <v>1630</v>
      </c>
      <c r="B3661" s="9" t="s">
        <v>79</v>
      </c>
      <c r="C3661" s="9" t="n">
        <v>36</v>
      </c>
      <c r="D3661" s="10" t="n">
        <v>1.25</v>
      </c>
      <c r="E3661" s="10" t="n">
        <f aca="false">C3661*D3661</f>
        <v>45</v>
      </c>
    </row>
    <row r="3662" customFormat="false" ht="15" hidden="false" customHeight="false" outlineLevel="0" collapsed="false">
      <c r="A3662" s="9" t="s">
        <v>1630</v>
      </c>
      <c r="B3662" s="9" t="s">
        <v>1097</v>
      </c>
      <c r="C3662" s="9" t="n">
        <v>36</v>
      </c>
      <c r="D3662" s="10" t="n">
        <v>0.42</v>
      </c>
      <c r="E3662" s="10" t="n">
        <f aca="false">C3662*D3662</f>
        <v>15.12</v>
      </c>
    </row>
    <row r="3663" customFormat="false" ht="15" hidden="false" customHeight="false" outlineLevel="0" collapsed="false">
      <c r="A3663" s="9" t="s">
        <v>1630</v>
      </c>
      <c r="B3663" s="9" t="s">
        <v>1095</v>
      </c>
      <c r="C3663" s="9" t="n">
        <v>36</v>
      </c>
      <c r="D3663" s="10" t="n">
        <v>0.42</v>
      </c>
      <c r="E3663" s="10" t="n">
        <f aca="false">C3663*D3663</f>
        <v>15.12</v>
      </c>
    </row>
    <row r="3664" customFormat="false" ht="15" hidden="false" customHeight="false" outlineLevel="0" collapsed="false">
      <c r="A3664" s="9" t="s">
        <v>1630</v>
      </c>
      <c r="B3664" s="9" t="s">
        <v>1221</v>
      </c>
      <c r="C3664" s="9" t="n">
        <v>60</v>
      </c>
      <c r="D3664" s="10" t="n">
        <v>0.85</v>
      </c>
      <c r="E3664" s="10" t="n">
        <f aca="false">C3664*D3664</f>
        <v>51</v>
      </c>
    </row>
    <row r="3665" customFormat="false" ht="15" hidden="false" customHeight="false" outlineLevel="0" collapsed="false">
      <c r="A3665" s="9" t="s">
        <v>1630</v>
      </c>
      <c r="B3665" s="9" t="s">
        <v>962</v>
      </c>
      <c r="C3665" s="9" t="n">
        <v>48</v>
      </c>
      <c r="D3665" s="10" t="n">
        <v>1.06</v>
      </c>
      <c r="E3665" s="10" t="n">
        <f aca="false">C3665*D3665</f>
        <v>50.88</v>
      </c>
    </row>
    <row r="3666" customFormat="false" ht="15" hidden="false" customHeight="false" outlineLevel="0" collapsed="false">
      <c r="A3666" s="9" t="s">
        <v>1632</v>
      </c>
      <c r="B3666" s="9" t="s">
        <v>1633</v>
      </c>
      <c r="C3666" s="9" t="n">
        <v>1</v>
      </c>
      <c r="D3666" s="10" t="n">
        <v>0.85</v>
      </c>
      <c r="E3666" s="10" t="n">
        <f aca="false">C3666*D3666</f>
        <v>0.85</v>
      </c>
    </row>
    <row r="3667" customFormat="false" ht="15" hidden="false" customHeight="false" outlineLevel="0" collapsed="false">
      <c r="A3667" s="9" t="s">
        <v>1632</v>
      </c>
      <c r="B3667" s="9" t="s">
        <v>659</v>
      </c>
      <c r="C3667" s="9" t="n">
        <v>1</v>
      </c>
      <c r="D3667" s="10" t="n">
        <v>9.95</v>
      </c>
      <c r="E3667" s="10" t="n">
        <f aca="false">C3667*D3667</f>
        <v>9.95</v>
      </c>
    </row>
    <row r="3668" customFormat="false" ht="15" hidden="false" customHeight="false" outlineLevel="0" collapsed="false">
      <c r="A3668" s="9" t="s">
        <v>1632</v>
      </c>
      <c r="B3668" s="9" t="s">
        <v>1634</v>
      </c>
      <c r="C3668" s="9" t="n">
        <v>4</v>
      </c>
      <c r="D3668" s="10" t="n">
        <v>0.85</v>
      </c>
      <c r="E3668" s="10" t="n">
        <f aca="false">C3668*D3668</f>
        <v>3.4</v>
      </c>
    </row>
    <row r="3669" customFormat="false" ht="15" hidden="false" customHeight="false" outlineLevel="0" collapsed="false">
      <c r="A3669" s="9" t="s">
        <v>1632</v>
      </c>
      <c r="B3669" s="9" t="s">
        <v>1635</v>
      </c>
      <c r="C3669" s="9" t="n">
        <v>4</v>
      </c>
      <c r="D3669" s="10" t="n">
        <v>1.25</v>
      </c>
      <c r="E3669" s="10" t="n">
        <f aca="false">C3669*D3669</f>
        <v>5</v>
      </c>
    </row>
    <row r="3670" customFormat="false" ht="15" hidden="false" customHeight="false" outlineLevel="0" collapsed="false">
      <c r="A3670" s="9" t="s">
        <v>1632</v>
      </c>
      <c r="B3670" s="9" t="s">
        <v>1599</v>
      </c>
      <c r="C3670" s="9" t="n">
        <v>2</v>
      </c>
      <c r="D3670" s="10" t="n">
        <v>1.45</v>
      </c>
      <c r="E3670" s="10" t="n">
        <f aca="false">C3670*D3670</f>
        <v>2.9</v>
      </c>
    </row>
    <row r="3671" customFormat="false" ht="15" hidden="false" customHeight="false" outlineLevel="0" collapsed="false">
      <c r="A3671" s="9" t="s">
        <v>1632</v>
      </c>
      <c r="B3671" s="9" t="s">
        <v>183</v>
      </c>
      <c r="C3671" s="9" t="n">
        <v>32</v>
      </c>
      <c r="D3671" s="10" t="n">
        <v>0.65</v>
      </c>
      <c r="E3671" s="10" t="n">
        <f aca="false">C3671*D3671</f>
        <v>20.8</v>
      </c>
    </row>
    <row r="3672" customFormat="false" ht="15" hidden="false" customHeight="false" outlineLevel="0" collapsed="false">
      <c r="A3672" s="9" t="s">
        <v>1632</v>
      </c>
      <c r="B3672" s="9" t="s">
        <v>1636</v>
      </c>
      <c r="C3672" s="9" t="n">
        <v>48</v>
      </c>
      <c r="D3672" s="10" t="n">
        <v>0.21</v>
      </c>
      <c r="E3672" s="10" t="n">
        <f aca="false">C3672*D3672</f>
        <v>10.08</v>
      </c>
    </row>
    <row r="3673" customFormat="false" ht="15" hidden="false" customHeight="false" outlineLevel="0" collapsed="false">
      <c r="A3673" s="9" t="s">
        <v>1632</v>
      </c>
      <c r="B3673" s="9" t="s">
        <v>492</v>
      </c>
      <c r="C3673" s="9" t="n">
        <v>2</v>
      </c>
      <c r="D3673" s="10" t="n">
        <v>1.95</v>
      </c>
      <c r="E3673" s="10" t="n">
        <f aca="false">C3673*D3673</f>
        <v>3.9</v>
      </c>
    </row>
    <row r="3674" customFormat="false" ht="15" hidden="false" customHeight="false" outlineLevel="0" collapsed="false">
      <c r="A3674" s="9" t="s">
        <v>1632</v>
      </c>
      <c r="B3674" s="9" t="s">
        <v>1637</v>
      </c>
      <c r="C3674" s="9" t="n">
        <v>2</v>
      </c>
      <c r="D3674" s="10" t="n">
        <v>3.75</v>
      </c>
      <c r="E3674" s="10" t="n">
        <f aca="false">C3674*D3674</f>
        <v>7.5</v>
      </c>
    </row>
    <row r="3675" customFormat="false" ht="15" hidden="false" customHeight="false" outlineLevel="0" collapsed="false">
      <c r="A3675" s="9" t="s">
        <v>1632</v>
      </c>
      <c r="B3675" s="9" t="s">
        <v>211</v>
      </c>
      <c r="C3675" s="9" t="n">
        <v>1</v>
      </c>
      <c r="D3675" s="10" t="n">
        <v>1.65</v>
      </c>
      <c r="E3675" s="10" t="n">
        <f aca="false">C3675*D3675</f>
        <v>1.65</v>
      </c>
    </row>
    <row r="3676" customFormat="false" ht="15" hidden="false" customHeight="false" outlineLevel="0" collapsed="false">
      <c r="A3676" s="9" t="s">
        <v>1632</v>
      </c>
      <c r="B3676" s="9" t="s">
        <v>583</v>
      </c>
      <c r="C3676" s="9" t="n">
        <v>1</v>
      </c>
      <c r="D3676" s="10" t="n">
        <v>7.95</v>
      </c>
      <c r="E3676" s="10" t="n">
        <f aca="false">C3676*D3676</f>
        <v>7.95</v>
      </c>
    </row>
    <row r="3677" customFormat="false" ht="15" hidden="false" customHeight="false" outlineLevel="0" collapsed="false">
      <c r="A3677" s="9" t="s">
        <v>1632</v>
      </c>
      <c r="B3677" s="9" t="s">
        <v>945</v>
      </c>
      <c r="C3677" s="9" t="n">
        <v>1</v>
      </c>
      <c r="D3677" s="10" t="n">
        <v>1.95</v>
      </c>
      <c r="E3677" s="10" t="n">
        <f aca="false">C3677*D3677</f>
        <v>1.95</v>
      </c>
    </row>
    <row r="3678" customFormat="false" ht="15" hidden="false" customHeight="false" outlineLevel="0" collapsed="false">
      <c r="A3678" s="9" t="s">
        <v>1632</v>
      </c>
      <c r="B3678" s="9" t="s">
        <v>946</v>
      </c>
      <c r="C3678" s="9" t="n">
        <v>1</v>
      </c>
      <c r="D3678" s="10" t="n">
        <v>1.65</v>
      </c>
      <c r="E3678" s="10" t="n">
        <f aca="false">C3678*D3678</f>
        <v>1.65</v>
      </c>
    </row>
    <row r="3679" customFormat="false" ht="15" hidden="false" customHeight="false" outlineLevel="0" collapsed="false">
      <c r="A3679" s="9" t="s">
        <v>1632</v>
      </c>
      <c r="B3679" s="9" t="s">
        <v>1607</v>
      </c>
      <c r="C3679" s="9" t="n">
        <v>1</v>
      </c>
      <c r="D3679" s="10" t="n">
        <v>1.95</v>
      </c>
      <c r="E3679" s="10" t="n">
        <f aca="false">C3679*D3679</f>
        <v>1.95</v>
      </c>
    </row>
    <row r="3680" customFormat="false" ht="15" hidden="false" customHeight="false" outlineLevel="0" collapsed="false">
      <c r="A3680" s="9" t="s">
        <v>1632</v>
      </c>
      <c r="B3680" s="9" t="s">
        <v>348</v>
      </c>
      <c r="C3680" s="9" t="n">
        <v>1</v>
      </c>
      <c r="D3680" s="10" t="n">
        <v>2.1</v>
      </c>
      <c r="E3680" s="10" t="n">
        <f aca="false">C3680*D3680</f>
        <v>2.1</v>
      </c>
    </row>
    <row r="3681" customFormat="false" ht="15" hidden="false" customHeight="false" outlineLevel="0" collapsed="false">
      <c r="A3681" s="9" t="s">
        <v>1632</v>
      </c>
      <c r="B3681" s="9" t="s">
        <v>1512</v>
      </c>
      <c r="C3681" s="9" t="n">
        <v>1</v>
      </c>
      <c r="D3681" s="10" t="n">
        <v>6.75</v>
      </c>
      <c r="E3681" s="10" t="n">
        <f aca="false">C3681*D3681</f>
        <v>6.75</v>
      </c>
    </row>
    <row r="3682" customFormat="false" ht="15" hidden="false" customHeight="false" outlineLevel="0" collapsed="false">
      <c r="A3682" s="9" t="s">
        <v>1632</v>
      </c>
      <c r="B3682" s="9" t="s">
        <v>1638</v>
      </c>
      <c r="C3682" s="9" t="n">
        <v>1</v>
      </c>
      <c r="D3682" s="10" t="n">
        <v>5.95</v>
      </c>
      <c r="E3682" s="10" t="n">
        <f aca="false">C3682*D3682</f>
        <v>5.95</v>
      </c>
    </row>
    <row r="3683" customFormat="false" ht="15" hidden="false" customHeight="false" outlineLevel="0" collapsed="false">
      <c r="A3683" s="9" t="s">
        <v>1632</v>
      </c>
      <c r="B3683" s="9" t="s">
        <v>1639</v>
      </c>
      <c r="C3683" s="9" t="n">
        <v>2</v>
      </c>
      <c r="D3683" s="10" t="n">
        <v>3.75</v>
      </c>
      <c r="E3683" s="10" t="n">
        <f aca="false">C3683*D3683</f>
        <v>7.5</v>
      </c>
    </row>
    <row r="3684" customFormat="false" ht="15" hidden="false" customHeight="false" outlineLevel="0" collapsed="false">
      <c r="A3684" s="9" t="s">
        <v>1632</v>
      </c>
      <c r="B3684" s="9" t="s">
        <v>528</v>
      </c>
      <c r="C3684" s="9" t="n">
        <v>4</v>
      </c>
      <c r="D3684" s="10" t="n">
        <v>1.45</v>
      </c>
      <c r="E3684" s="10" t="n">
        <f aca="false">C3684*D3684</f>
        <v>5.8</v>
      </c>
    </row>
    <row r="3685" customFormat="false" ht="15" hidden="false" customHeight="false" outlineLevel="0" collapsed="false">
      <c r="A3685" s="9" t="s">
        <v>1632</v>
      </c>
      <c r="B3685" s="9" t="s">
        <v>435</v>
      </c>
      <c r="C3685" s="9" t="n">
        <v>5</v>
      </c>
      <c r="D3685" s="10" t="n">
        <v>0.95</v>
      </c>
      <c r="E3685" s="10" t="n">
        <f aca="false">C3685*D3685</f>
        <v>4.75</v>
      </c>
    </row>
    <row r="3686" customFormat="false" ht="15" hidden="false" customHeight="false" outlineLevel="0" collapsed="false">
      <c r="A3686" s="9" t="s">
        <v>1632</v>
      </c>
      <c r="B3686" s="9" t="s">
        <v>1256</v>
      </c>
      <c r="C3686" s="9" t="n">
        <v>7</v>
      </c>
      <c r="D3686" s="10" t="n">
        <v>2.1</v>
      </c>
      <c r="E3686" s="10" t="n">
        <f aca="false">C3686*D3686</f>
        <v>14.7</v>
      </c>
    </row>
    <row r="3687" customFormat="false" ht="15" hidden="false" customHeight="false" outlineLevel="0" collapsed="false">
      <c r="A3687" s="9" t="s">
        <v>1640</v>
      </c>
      <c r="B3687" s="9" t="s">
        <v>501</v>
      </c>
      <c r="C3687" s="9" t="n">
        <v>12</v>
      </c>
      <c r="D3687" s="10" t="n">
        <v>0.85</v>
      </c>
      <c r="E3687" s="10" t="n">
        <f aca="false">C3687*D3687</f>
        <v>10.2</v>
      </c>
    </row>
    <row r="3688" customFormat="false" ht="15" hidden="false" customHeight="false" outlineLevel="0" collapsed="false">
      <c r="A3688" s="9" t="s">
        <v>1640</v>
      </c>
      <c r="B3688" s="9" t="s">
        <v>200</v>
      </c>
      <c r="C3688" s="9" t="n">
        <v>12</v>
      </c>
      <c r="D3688" s="10" t="n">
        <v>1.45</v>
      </c>
      <c r="E3688" s="10" t="n">
        <f aca="false">C3688*D3688</f>
        <v>17.4</v>
      </c>
    </row>
    <row r="3689" customFormat="false" ht="15" hidden="false" customHeight="false" outlineLevel="0" collapsed="false">
      <c r="A3689" s="9" t="s">
        <v>1640</v>
      </c>
      <c r="B3689" s="9" t="s">
        <v>1011</v>
      </c>
      <c r="C3689" s="9" t="n">
        <v>6</v>
      </c>
      <c r="D3689" s="10" t="n">
        <v>2.95</v>
      </c>
      <c r="E3689" s="10" t="n">
        <f aca="false">C3689*D3689</f>
        <v>17.7</v>
      </c>
    </row>
    <row r="3690" customFormat="false" ht="15" hidden="false" customHeight="false" outlineLevel="0" collapsed="false">
      <c r="A3690" s="9" t="s">
        <v>1640</v>
      </c>
      <c r="B3690" s="9" t="s">
        <v>828</v>
      </c>
      <c r="C3690" s="9" t="n">
        <v>1</v>
      </c>
      <c r="D3690" s="10" t="n">
        <v>16.95</v>
      </c>
      <c r="E3690" s="10" t="n">
        <f aca="false">C3690*D3690</f>
        <v>16.95</v>
      </c>
    </row>
    <row r="3691" customFormat="false" ht="15" hidden="false" customHeight="false" outlineLevel="0" collapsed="false">
      <c r="A3691" s="9" t="s">
        <v>1640</v>
      </c>
      <c r="B3691" s="9" t="s">
        <v>1641</v>
      </c>
      <c r="C3691" s="9" t="n">
        <v>1</v>
      </c>
      <c r="D3691" s="10" t="n">
        <v>79.95</v>
      </c>
      <c r="E3691" s="10" t="n">
        <f aca="false">C3691*D3691</f>
        <v>79.95</v>
      </c>
    </row>
    <row r="3692" customFormat="false" ht="15" hidden="false" customHeight="false" outlineLevel="0" collapsed="false">
      <c r="A3692" s="9" t="s">
        <v>1640</v>
      </c>
      <c r="B3692" s="9" t="s">
        <v>440</v>
      </c>
      <c r="C3692" s="9" t="n">
        <v>12</v>
      </c>
      <c r="D3692" s="10" t="n">
        <v>1.65</v>
      </c>
      <c r="E3692" s="10" t="n">
        <f aca="false">C3692*D3692</f>
        <v>19.8</v>
      </c>
    </row>
    <row r="3693" customFormat="false" ht="15" hidden="false" customHeight="false" outlineLevel="0" collapsed="false">
      <c r="A3693" s="9" t="s">
        <v>1640</v>
      </c>
      <c r="B3693" s="9" t="s">
        <v>1642</v>
      </c>
      <c r="C3693" s="9" t="n">
        <v>2</v>
      </c>
      <c r="D3693" s="10" t="n">
        <v>7.95</v>
      </c>
      <c r="E3693" s="10" t="n">
        <f aca="false">C3693*D3693</f>
        <v>15.9</v>
      </c>
    </row>
    <row r="3694" customFormat="false" ht="15" hidden="false" customHeight="false" outlineLevel="0" collapsed="false">
      <c r="A3694" s="9" t="s">
        <v>1640</v>
      </c>
      <c r="B3694" s="9" t="s">
        <v>1643</v>
      </c>
      <c r="C3694" s="9" t="n">
        <v>6</v>
      </c>
      <c r="D3694" s="10" t="n">
        <v>2.1</v>
      </c>
      <c r="E3694" s="10" t="n">
        <f aca="false">C3694*D3694</f>
        <v>12.6</v>
      </c>
    </row>
    <row r="3695" customFormat="false" ht="15" hidden="false" customHeight="false" outlineLevel="0" collapsed="false">
      <c r="A3695" s="9" t="s">
        <v>1640</v>
      </c>
      <c r="B3695" s="9" t="s">
        <v>187</v>
      </c>
      <c r="C3695" s="9" t="n">
        <v>2</v>
      </c>
      <c r="D3695" s="10" t="n">
        <v>8.5</v>
      </c>
      <c r="E3695" s="10" t="n">
        <f aca="false">C3695*D3695</f>
        <v>17</v>
      </c>
    </row>
    <row r="3696" customFormat="false" ht="15" hidden="false" customHeight="false" outlineLevel="0" collapsed="false">
      <c r="A3696" s="9" t="s">
        <v>1644</v>
      </c>
      <c r="B3696" s="9" t="s">
        <v>657</v>
      </c>
      <c r="C3696" s="9" t="n">
        <v>3</v>
      </c>
      <c r="D3696" s="10" t="n">
        <v>2.55</v>
      </c>
      <c r="E3696" s="10" t="n">
        <f aca="false">C3696*D3696</f>
        <v>7.65</v>
      </c>
    </row>
    <row r="3697" customFormat="false" ht="15" hidden="false" customHeight="false" outlineLevel="0" collapsed="false">
      <c r="A3697" s="9" t="s">
        <v>1644</v>
      </c>
      <c r="B3697" s="9" t="s">
        <v>572</v>
      </c>
      <c r="C3697" s="9" t="n">
        <v>6</v>
      </c>
      <c r="D3697" s="10" t="n">
        <v>1.65</v>
      </c>
      <c r="E3697" s="10" t="n">
        <f aca="false">C3697*D3697</f>
        <v>9.9</v>
      </c>
    </row>
    <row r="3698" customFormat="false" ht="15" hidden="false" customHeight="false" outlineLevel="0" collapsed="false">
      <c r="A3698" s="9" t="s">
        <v>1644</v>
      </c>
      <c r="B3698" s="9" t="s">
        <v>541</v>
      </c>
      <c r="C3698" s="9" t="n">
        <v>3</v>
      </c>
      <c r="D3698" s="10" t="n">
        <v>2.55</v>
      </c>
      <c r="E3698" s="10" t="n">
        <f aca="false">C3698*D3698</f>
        <v>7.65</v>
      </c>
    </row>
    <row r="3699" customFormat="false" ht="15" hidden="false" customHeight="false" outlineLevel="0" collapsed="false">
      <c r="A3699" s="9" t="s">
        <v>1644</v>
      </c>
      <c r="B3699" s="9" t="s">
        <v>254</v>
      </c>
      <c r="C3699" s="9" t="n">
        <v>1</v>
      </c>
      <c r="D3699" s="10" t="n">
        <v>2.1</v>
      </c>
      <c r="E3699" s="10" t="n">
        <f aca="false">C3699*D3699</f>
        <v>2.1</v>
      </c>
    </row>
    <row r="3700" customFormat="false" ht="15" hidden="false" customHeight="false" outlineLevel="0" collapsed="false">
      <c r="A3700" s="9" t="s">
        <v>1644</v>
      </c>
      <c r="B3700" s="9" t="s">
        <v>45</v>
      </c>
      <c r="C3700" s="9" t="n">
        <v>2</v>
      </c>
      <c r="D3700" s="10" t="n">
        <v>2.1</v>
      </c>
      <c r="E3700" s="10" t="n">
        <f aca="false">C3700*D3700</f>
        <v>4.2</v>
      </c>
    </row>
    <row r="3701" customFormat="false" ht="15" hidden="false" customHeight="false" outlineLevel="0" collapsed="false">
      <c r="A3701" s="9" t="s">
        <v>1644</v>
      </c>
      <c r="B3701" s="9" t="s">
        <v>613</v>
      </c>
      <c r="C3701" s="9" t="n">
        <v>3</v>
      </c>
      <c r="D3701" s="10" t="n">
        <v>12.75</v>
      </c>
      <c r="E3701" s="10" t="n">
        <f aca="false">C3701*D3701</f>
        <v>38.25</v>
      </c>
    </row>
    <row r="3702" customFormat="false" ht="15" hidden="false" customHeight="false" outlineLevel="0" collapsed="false">
      <c r="A3702" s="9" t="s">
        <v>1644</v>
      </c>
      <c r="B3702" s="9" t="s">
        <v>258</v>
      </c>
      <c r="C3702" s="9" t="n">
        <v>1</v>
      </c>
      <c r="D3702" s="10" t="n">
        <v>2.1</v>
      </c>
      <c r="E3702" s="10" t="n">
        <f aca="false">C3702*D3702</f>
        <v>2.1</v>
      </c>
    </row>
    <row r="3703" customFormat="false" ht="15" hidden="false" customHeight="false" outlineLevel="0" collapsed="false">
      <c r="A3703" s="9" t="s">
        <v>1644</v>
      </c>
      <c r="B3703" s="9" t="s">
        <v>447</v>
      </c>
      <c r="C3703" s="9" t="n">
        <v>1</v>
      </c>
      <c r="D3703" s="10" t="n">
        <v>1.25</v>
      </c>
      <c r="E3703" s="10" t="n">
        <f aca="false">C3703*D3703</f>
        <v>1.25</v>
      </c>
    </row>
    <row r="3704" customFormat="false" ht="15" hidden="false" customHeight="false" outlineLevel="0" collapsed="false">
      <c r="A3704" s="9" t="s">
        <v>1644</v>
      </c>
      <c r="B3704" s="9" t="s">
        <v>689</v>
      </c>
      <c r="C3704" s="9" t="n">
        <v>1</v>
      </c>
      <c r="D3704" s="10" t="n">
        <v>1.65</v>
      </c>
      <c r="E3704" s="10" t="n">
        <f aca="false">C3704*D3704</f>
        <v>1.65</v>
      </c>
    </row>
    <row r="3705" customFormat="false" ht="15" hidden="false" customHeight="false" outlineLevel="0" collapsed="false">
      <c r="A3705" s="9" t="s">
        <v>1644</v>
      </c>
      <c r="B3705" s="9" t="s">
        <v>604</v>
      </c>
      <c r="C3705" s="9" t="n">
        <v>6</v>
      </c>
      <c r="D3705" s="10" t="n">
        <v>1.65</v>
      </c>
      <c r="E3705" s="10" t="n">
        <f aca="false">C3705*D3705</f>
        <v>9.9</v>
      </c>
    </row>
    <row r="3706" customFormat="false" ht="15" hidden="false" customHeight="false" outlineLevel="0" collapsed="false">
      <c r="A3706" s="9" t="s">
        <v>1644</v>
      </c>
      <c r="B3706" s="9" t="s">
        <v>549</v>
      </c>
      <c r="C3706" s="9" t="n">
        <v>10</v>
      </c>
      <c r="D3706" s="10" t="n">
        <v>1.25</v>
      </c>
      <c r="E3706" s="10" t="n">
        <f aca="false">C3706*D3706</f>
        <v>12.5</v>
      </c>
    </row>
    <row r="3707" customFormat="false" ht="15" hidden="false" customHeight="false" outlineLevel="0" collapsed="false">
      <c r="A3707" s="9" t="s">
        <v>1644</v>
      </c>
      <c r="B3707" s="9" t="s">
        <v>39</v>
      </c>
      <c r="C3707" s="9" t="n">
        <v>1</v>
      </c>
      <c r="D3707" s="10" t="n">
        <v>3.25</v>
      </c>
      <c r="E3707" s="10" t="n">
        <f aca="false">C3707*D3707</f>
        <v>3.25</v>
      </c>
    </row>
    <row r="3708" customFormat="false" ht="15" hidden="false" customHeight="false" outlineLevel="0" collapsed="false">
      <c r="A3708" s="9" t="s">
        <v>1644</v>
      </c>
      <c r="B3708" s="9" t="s">
        <v>59</v>
      </c>
      <c r="C3708" s="9" t="n">
        <v>8</v>
      </c>
      <c r="D3708" s="10" t="n">
        <v>1.69</v>
      </c>
      <c r="E3708" s="10" t="n">
        <f aca="false">C3708*D3708</f>
        <v>13.52</v>
      </c>
    </row>
    <row r="3709" customFormat="false" ht="15" hidden="false" customHeight="false" outlineLevel="0" collapsed="false">
      <c r="A3709" s="9" t="s">
        <v>1645</v>
      </c>
      <c r="B3709" s="9" t="s">
        <v>99</v>
      </c>
      <c r="C3709" s="9" t="n">
        <v>6</v>
      </c>
      <c r="D3709" s="10" t="n">
        <v>1.06</v>
      </c>
      <c r="E3709" s="10" t="n">
        <f aca="false">C3709*D3709</f>
        <v>6.36</v>
      </c>
    </row>
    <row r="3710" customFormat="false" ht="15" hidden="false" customHeight="false" outlineLevel="0" collapsed="false">
      <c r="A3710" s="9" t="s">
        <v>1645</v>
      </c>
      <c r="B3710" s="9" t="s">
        <v>150</v>
      </c>
      <c r="C3710" s="9" t="n">
        <v>6</v>
      </c>
      <c r="D3710" s="10" t="n">
        <v>1.65</v>
      </c>
      <c r="E3710" s="10" t="n">
        <f aca="false">C3710*D3710</f>
        <v>9.9</v>
      </c>
    </row>
    <row r="3711" customFormat="false" ht="15" hidden="false" customHeight="false" outlineLevel="0" collapsed="false">
      <c r="A3711" s="9" t="s">
        <v>1645</v>
      </c>
      <c r="B3711" s="9" t="s">
        <v>94</v>
      </c>
      <c r="C3711" s="9" t="n">
        <v>6</v>
      </c>
      <c r="D3711" s="10" t="n">
        <v>2.55</v>
      </c>
      <c r="E3711" s="10" t="n">
        <f aca="false">C3711*D3711</f>
        <v>15.3</v>
      </c>
    </row>
    <row r="3712" customFormat="false" ht="15" hidden="false" customHeight="false" outlineLevel="0" collapsed="false">
      <c r="A3712" s="9" t="s">
        <v>1645</v>
      </c>
      <c r="B3712" s="9" t="s">
        <v>91</v>
      </c>
      <c r="C3712" s="9" t="n">
        <v>6</v>
      </c>
      <c r="D3712" s="10" t="n">
        <v>2.1</v>
      </c>
      <c r="E3712" s="10" t="n">
        <f aca="false">C3712*D3712</f>
        <v>12.6</v>
      </c>
    </row>
    <row r="3713" customFormat="false" ht="15" hidden="false" customHeight="false" outlineLevel="0" collapsed="false">
      <c r="A3713" s="9" t="s">
        <v>1645</v>
      </c>
      <c r="B3713" s="9" t="s">
        <v>92</v>
      </c>
      <c r="C3713" s="9" t="n">
        <v>4</v>
      </c>
      <c r="D3713" s="10" t="n">
        <v>6.95</v>
      </c>
      <c r="E3713" s="10" t="n">
        <f aca="false">C3713*D3713</f>
        <v>27.8</v>
      </c>
    </row>
    <row r="3714" customFormat="false" ht="15" hidden="false" customHeight="false" outlineLevel="0" collapsed="false">
      <c r="A3714" s="9" t="s">
        <v>1645</v>
      </c>
      <c r="B3714" s="9" t="s">
        <v>40</v>
      </c>
      <c r="C3714" s="9" t="n">
        <v>8</v>
      </c>
      <c r="D3714" s="10" t="n">
        <v>3.39</v>
      </c>
      <c r="E3714" s="10" t="n">
        <f aca="false">C3714*D3714</f>
        <v>27.12</v>
      </c>
    </row>
    <row r="3715" customFormat="false" ht="15" hidden="false" customHeight="false" outlineLevel="0" collapsed="false">
      <c r="A3715" s="9" t="s">
        <v>1645</v>
      </c>
      <c r="B3715" s="9" t="s">
        <v>93</v>
      </c>
      <c r="C3715" s="9" t="n">
        <v>4</v>
      </c>
      <c r="D3715" s="10" t="n">
        <v>4.95</v>
      </c>
      <c r="E3715" s="10" t="n">
        <f aca="false">C3715*D3715</f>
        <v>19.8</v>
      </c>
    </row>
    <row r="3716" customFormat="false" ht="15" hidden="false" customHeight="false" outlineLevel="0" collapsed="false">
      <c r="A3716" s="9" t="s">
        <v>1645</v>
      </c>
      <c r="B3716" s="9" t="s">
        <v>95</v>
      </c>
      <c r="C3716" s="9" t="n">
        <v>6</v>
      </c>
      <c r="D3716" s="10" t="n">
        <v>1.06</v>
      </c>
      <c r="E3716" s="10" t="n">
        <f aca="false">C3716*D3716</f>
        <v>6.36</v>
      </c>
    </row>
    <row r="3717" customFormat="false" ht="15" hidden="false" customHeight="false" outlineLevel="0" collapsed="false">
      <c r="A3717" s="9" t="s">
        <v>1645</v>
      </c>
      <c r="B3717" s="9" t="s">
        <v>37</v>
      </c>
      <c r="C3717" s="9" t="n">
        <v>12</v>
      </c>
      <c r="D3717" s="10" t="n">
        <v>2.55</v>
      </c>
      <c r="E3717" s="10" t="n">
        <f aca="false">C3717*D3717</f>
        <v>30.6</v>
      </c>
    </row>
    <row r="3718" customFormat="false" ht="15" hidden="false" customHeight="false" outlineLevel="0" collapsed="false">
      <c r="A3718" s="9" t="s">
        <v>1645</v>
      </c>
      <c r="B3718" s="9" t="s">
        <v>97</v>
      </c>
      <c r="C3718" s="9" t="n">
        <v>6</v>
      </c>
      <c r="D3718" s="10" t="n">
        <v>1.06</v>
      </c>
      <c r="E3718" s="10" t="n">
        <f aca="false">C3718*D3718</f>
        <v>6.36</v>
      </c>
    </row>
    <row r="3719" customFormat="false" ht="15" hidden="false" customHeight="false" outlineLevel="0" collapsed="false">
      <c r="A3719" s="9" t="s">
        <v>1645</v>
      </c>
      <c r="B3719" s="9" t="s">
        <v>39</v>
      </c>
      <c r="C3719" s="9" t="n">
        <v>6</v>
      </c>
      <c r="D3719" s="10" t="n">
        <v>2.75</v>
      </c>
      <c r="E3719" s="10" t="n">
        <f aca="false">C3719*D3719</f>
        <v>16.5</v>
      </c>
    </row>
    <row r="3720" customFormat="false" ht="15" hidden="false" customHeight="false" outlineLevel="0" collapsed="false">
      <c r="A3720" s="9" t="s">
        <v>1645</v>
      </c>
      <c r="B3720" s="9" t="s">
        <v>38</v>
      </c>
      <c r="C3720" s="9" t="n">
        <v>12</v>
      </c>
      <c r="D3720" s="10" t="n">
        <v>3.39</v>
      </c>
      <c r="E3720" s="10" t="n">
        <f aca="false">C3720*D3720</f>
        <v>40.68</v>
      </c>
    </row>
    <row r="3721" customFormat="false" ht="15" hidden="false" customHeight="false" outlineLevel="0" collapsed="false">
      <c r="A3721" s="9" t="s">
        <v>1645</v>
      </c>
      <c r="B3721" s="9" t="s">
        <v>43</v>
      </c>
      <c r="C3721" s="9" t="n">
        <v>6</v>
      </c>
      <c r="D3721" s="10" t="n">
        <v>4.25</v>
      </c>
      <c r="E3721" s="10" t="n">
        <f aca="false">C3721*D3721</f>
        <v>25.5</v>
      </c>
    </row>
    <row r="3722" customFormat="false" ht="15" hidden="false" customHeight="false" outlineLevel="0" collapsed="false">
      <c r="A3722" s="9" t="s">
        <v>1645</v>
      </c>
      <c r="B3722" s="9" t="s">
        <v>265</v>
      </c>
      <c r="C3722" s="9" t="n">
        <v>2</v>
      </c>
      <c r="D3722" s="10" t="n">
        <v>35.75</v>
      </c>
      <c r="E3722" s="10" t="n">
        <f aca="false">C3722*D3722</f>
        <v>71.5</v>
      </c>
    </row>
    <row r="3723" customFormat="false" ht="15" hidden="false" customHeight="false" outlineLevel="0" collapsed="false">
      <c r="A3723" s="9" t="s">
        <v>1645</v>
      </c>
      <c r="B3723" s="9" t="s">
        <v>42</v>
      </c>
      <c r="C3723" s="9" t="n">
        <v>4</v>
      </c>
      <c r="D3723" s="10" t="n">
        <v>7.65</v>
      </c>
      <c r="E3723" s="10" t="n">
        <f aca="false">C3723*D3723</f>
        <v>30.6</v>
      </c>
    </row>
    <row r="3724" customFormat="false" ht="15" hidden="false" customHeight="false" outlineLevel="0" collapsed="false">
      <c r="A3724" s="9" t="s">
        <v>1645</v>
      </c>
      <c r="B3724" s="9" t="s">
        <v>41</v>
      </c>
      <c r="C3724" s="9" t="n">
        <v>8</v>
      </c>
      <c r="D3724" s="10" t="n">
        <v>3.39</v>
      </c>
      <c r="E3724" s="10" t="n">
        <f aca="false">C3724*D3724</f>
        <v>27.12</v>
      </c>
    </row>
    <row r="3725" customFormat="false" ht="15" hidden="false" customHeight="false" outlineLevel="0" collapsed="false">
      <c r="A3725" s="9" t="s">
        <v>1645</v>
      </c>
      <c r="B3725" s="9" t="s">
        <v>96</v>
      </c>
      <c r="C3725" s="9" t="n">
        <v>6</v>
      </c>
      <c r="D3725" s="10" t="n">
        <v>1.06</v>
      </c>
      <c r="E3725" s="10" t="n">
        <f aca="false">C3725*D3725</f>
        <v>6.36</v>
      </c>
    </row>
    <row r="3726" customFormat="false" ht="15" hidden="false" customHeight="false" outlineLevel="0" collapsed="false">
      <c r="A3726" s="9" t="s">
        <v>1646</v>
      </c>
      <c r="B3726" s="9" t="s">
        <v>45</v>
      </c>
      <c r="C3726" s="9" t="n">
        <v>6</v>
      </c>
      <c r="D3726" s="10" t="n">
        <v>1.85</v>
      </c>
      <c r="E3726" s="10" t="n">
        <f aca="false">C3726*D3726</f>
        <v>11.1</v>
      </c>
    </row>
    <row r="3727" customFormat="false" ht="15" hidden="false" customHeight="false" outlineLevel="0" collapsed="false">
      <c r="A3727" s="9" t="s">
        <v>1646</v>
      </c>
      <c r="B3727" s="9" t="s">
        <v>46</v>
      </c>
      <c r="C3727" s="9" t="n">
        <v>6</v>
      </c>
      <c r="D3727" s="10" t="n">
        <v>1.85</v>
      </c>
      <c r="E3727" s="10" t="n">
        <f aca="false">C3727*D3727</f>
        <v>11.1</v>
      </c>
    </row>
    <row r="3728" customFormat="false" ht="15" hidden="false" customHeight="false" outlineLevel="0" collapsed="false">
      <c r="A3728" s="9" t="s">
        <v>1647</v>
      </c>
      <c r="B3728" s="9" t="s">
        <v>265</v>
      </c>
      <c r="C3728" s="9" t="n">
        <v>2</v>
      </c>
      <c r="D3728" s="10" t="n">
        <v>35.75</v>
      </c>
      <c r="E3728" s="10" t="n">
        <f aca="false">C3728*D3728</f>
        <v>71.5</v>
      </c>
    </row>
    <row r="3729" customFormat="false" ht="15" hidden="false" customHeight="false" outlineLevel="0" collapsed="false">
      <c r="A3729" s="9" t="s">
        <v>1647</v>
      </c>
      <c r="B3729" s="9" t="s">
        <v>42</v>
      </c>
      <c r="C3729" s="9" t="n">
        <v>4</v>
      </c>
      <c r="D3729" s="10" t="n">
        <v>7.65</v>
      </c>
      <c r="E3729" s="10" t="n">
        <f aca="false">C3729*D3729</f>
        <v>30.6</v>
      </c>
    </row>
    <row r="3730" customFormat="false" ht="15" hidden="false" customHeight="false" outlineLevel="0" collapsed="false">
      <c r="A3730" s="9" t="s">
        <v>1647</v>
      </c>
      <c r="B3730" s="9" t="s">
        <v>41</v>
      </c>
      <c r="C3730" s="9" t="n">
        <v>6</v>
      </c>
      <c r="D3730" s="10" t="n">
        <v>3.39</v>
      </c>
      <c r="E3730" s="10" t="n">
        <f aca="false">C3730*D3730</f>
        <v>20.34</v>
      </c>
    </row>
    <row r="3731" customFormat="false" ht="15" hidden="false" customHeight="false" outlineLevel="0" collapsed="false">
      <c r="A3731" s="9" t="s">
        <v>1647</v>
      </c>
      <c r="B3731" s="9" t="s">
        <v>40</v>
      </c>
      <c r="C3731" s="9" t="n">
        <v>6</v>
      </c>
      <c r="D3731" s="10" t="n">
        <v>3.39</v>
      </c>
      <c r="E3731" s="10" t="n">
        <f aca="false">C3731*D3731</f>
        <v>20.34</v>
      </c>
    </row>
    <row r="3732" customFormat="false" ht="15" hidden="false" customHeight="false" outlineLevel="0" collapsed="false">
      <c r="A3732" s="9" t="s">
        <v>1647</v>
      </c>
      <c r="B3732" s="9" t="s">
        <v>43</v>
      </c>
      <c r="C3732" s="9" t="n">
        <v>6</v>
      </c>
      <c r="D3732" s="10" t="n">
        <v>4.25</v>
      </c>
      <c r="E3732" s="10" t="n">
        <f aca="false">C3732*D3732</f>
        <v>25.5</v>
      </c>
    </row>
    <row r="3733" customFormat="false" ht="15" hidden="false" customHeight="false" outlineLevel="0" collapsed="false">
      <c r="A3733" s="9" t="s">
        <v>1647</v>
      </c>
      <c r="B3733" s="9" t="s">
        <v>150</v>
      </c>
      <c r="C3733" s="9" t="n">
        <v>6</v>
      </c>
      <c r="D3733" s="10" t="n">
        <v>1.65</v>
      </c>
      <c r="E3733" s="10" t="n">
        <f aca="false">C3733*D3733</f>
        <v>9.9</v>
      </c>
    </row>
    <row r="3734" customFormat="false" ht="15" hidden="false" customHeight="false" outlineLevel="0" collapsed="false">
      <c r="A3734" s="9" t="s">
        <v>1647</v>
      </c>
      <c r="B3734" s="9" t="s">
        <v>94</v>
      </c>
      <c r="C3734" s="9" t="n">
        <v>6</v>
      </c>
      <c r="D3734" s="10" t="n">
        <v>2.55</v>
      </c>
      <c r="E3734" s="10" t="n">
        <f aca="false">C3734*D3734</f>
        <v>15.3</v>
      </c>
    </row>
    <row r="3735" customFormat="false" ht="15" hidden="false" customHeight="false" outlineLevel="0" collapsed="false">
      <c r="A3735" s="9" t="s">
        <v>1647</v>
      </c>
      <c r="B3735" s="9" t="s">
        <v>91</v>
      </c>
      <c r="C3735" s="9" t="n">
        <v>6</v>
      </c>
      <c r="D3735" s="10" t="n">
        <v>2.1</v>
      </c>
      <c r="E3735" s="10" t="n">
        <f aca="false">C3735*D3735</f>
        <v>12.6</v>
      </c>
    </row>
    <row r="3736" customFormat="false" ht="15" hidden="false" customHeight="false" outlineLevel="0" collapsed="false">
      <c r="A3736" s="9" t="s">
        <v>1647</v>
      </c>
      <c r="B3736" s="9" t="s">
        <v>96</v>
      </c>
      <c r="C3736" s="9" t="n">
        <v>6</v>
      </c>
      <c r="D3736" s="10" t="n">
        <v>1.06</v>
      </c>
      <c r="E3736" s="10" t="n">
        <f aca="false">C3736*D3736</f>
        <v>6.36</v>
      </c>
    </row>
    <row r="3737" customFormat="false" ht="15" hidden="false" customHeight="false" outlineLevel="0" collapsed="false">
      <c r="A3737" s="9" t="s">
        <v>1647</v>
      </c>
      <c r="B3737" s="9" t="s">
        <v>93</v>
      </c>
      <c r="C3737" s="9" t="n">
        <v>4</v>
      </c>
      <c r="D3737" s="10" t="n">
        <v>4.95</v>
      </c>
      <c r="E3737" s="10" t="n">
        <f aca="false">C3737*D3737</f>
        <v>19.8</v>
      </c>
    </row>
    <row r="3738" customFormat="false" ht="15" hidden="false" customHeight="false" outlineLevel="0" collapsed="false">
      <c r="A3738" s="9" t="s">
        <v>1647</v>
      </c>
      <c r="B3738" s="9" t="s">
        <v>99</v>
      </c>
      <c r="C3738" s="9" t="n">
        <v>6</v>
      </c>
      <c r="D3738" s="10" t="n">
        <v>1.06</v>
      </c>
      <c r="E3738" s="10" t="n">
        <f aca="false">C3738*D3738</f>
        <v>6.36</v>
      </c>
    </row>
    <row r="3739" customFormat="false" ht="15" hidden="false" customHeight="false" outlineLevel="0" collapsed="false">
      <c r="A3739" s="9" t="s">
        <v>1647</v>
      </c>
      <c r="B3739" s="9" t="s">
        <v>95</v>
      </c>
      <c r="C3739" s="9" t="n">
        <v>6</v>
      </c>
      <c r="D3739" s="10" t="n">
        <v>1.06</v>
      </c>
      <c r="E3739" s="10" t="n">
        <f aca="false">C3739*D3739</f>
        <v>6.36</v>
      </c>
    </row>
    <row r="3740" customFormat="false" ht="15" hidden="false" customHeight="false" outlineLevel="0" collapsed="false">
      <c r="A3740" s="9" t="s">
        <v>1647</v>
      </c>
      <c r="B3740" s="9" t="s">
        <v>97</v>
      </c>
      <c r="C3740" s="9" t="n">
        <v>6</v>
      </c>
      <c r="D3740" s="10" t="n">
        <v>1.06</v>
      </c>
      <c r="E3740" s="10" t="n">
        <f aca="false">C3740*D3740</f>
        <v>6.36</v>
      </c>
    </row>
    <row r="3741" customFormat="false" ht="15" hidden="false" customHeight="false" outlineLevel="0" collapsed="false">
      <c r="A3741" s="9" t="s">
        <v>1647</v>
      </c>
      <c r="B3741" s="9" t="s">
        <v>39</v>
      </c>
      <c r="C3741" s="9" t="n">
        <v>6</v>
      </c>
      <c r="D3741" s="10" t="n">
        <v>2.75</v>
      </c>
      <c r="E3741" s="10" t="n">
        <f aca="false">C3741*D3741</f>
        <v>16.5</v>
      </c>
    </row>
    <row r="3742" customFormat="false" ht="15" hidden="false" customHeight="false" outlineLevel="0" collapsed="false">
      <c r="A3742" s="9" t="s">
        <v>1647</v>
      </c>
      <c r="B3742" s="9" t="s">
        <v>38</v>
      </c>
      <c r="C3742" s="9" t="n">
        <v>6</v>
      </c>
      <c r="D3742" s="10" t="n">
        <v>3.39</v>
      </c>
      <c r="E3742" s="10" t="n">
        <f aca="false">C3742*D3742</f>
        <v>20.34</v>
      </c>
    </row>
    <row r="3743" customFormat="false" ht="15" hidden="false" customHeight="false" outlineLevel="0" collapsed="false">
      <c r="A3743" s="9" t="s">
        <v>1647</v>
      </c>
      <c r="B3743" s="9" t="s">
        <v>37</v>
      </c>
      <c r="C3743" s="9" t="n">
        <v>6</v>
      </c>
      <c r="D3743" s="10" t="n">
        <v>2.55</v>
      </c>
      <c r="E3743" s="10" t="n">
        <f aca="false">C3743*D3743</f>
        <v>15.3</v>
      </c>
    </row>
    <row r="3744" customFormat="false" ht="15" hidden="false" customHeight="false" outlineLevel="0" collapsed="false">
      <c r="A3744" s="9" t="s">
        <v>1647</v>
      </c>
      <c r="B3744" s="9" t="s">
        <v>92</v>
      </c>
      <c r="C3744" s="9" t="n">
        <v>4</v>
      </c>
      <c r="D3744" s="10" t="n">
        <v>6.95</v>
      </c>
      <c r="E3744" s="10" t="n">
        <f aca="false">C3744*D3744</f>
        <v>27.8</v>
      </c>
    </row>
    <row r="3745" customFormat="false" ht="15" hidden="false" customHeight="false" outlineLevel="0" collapsed="false">
      <c r="A3745" s="9" t="s">
        <v>1648</v>
      </c>
      <c r="B3745" s="9" t="s">
        <v>45</v>
      </c>
      <c r="C3745" s="9" t="n">
        <v>6</v>
      </c>
      <c r="D3745" s="10" t="n">
        <v>1.85</v>
      </c>
      <c r="E3745" s="10" t="n">
        <f aca="false">C3745*D3745</f>
        <v>11.1</v>
      </c>
    </row>
    <row r="3746" customFormat="false" ht="15" hidden="false" customHeight="false" outlineLevel="0" collapsed="false">
      <c r="A3746" s="9" t="s">
        <v>1648</v>
      </c>
      <c r="B3746" s="9" t="s">
        <v>46</v>
      </c>
      <c r="C3746" s="9" t="n">
        <v>6</v>
      </c>
      <c r="D3746" s="10" t="n">
        <v>1.85</v>
      </c>
      <c r="E3746" s="10" t="n">
        <f aca="false">C3746*D3746</f>
        <v>11.1</v>
      </c>
    </row>
    <row r="3747" customFormat="false" ht="15" hidden="false" customHeight="false" outlineLevel="0" collapsed="false">
      <c r="A3747" s="9" t="s">
        <v>1649</v>
      </c>
      <c r="B3747" s="9" t="s">
        <v>296</v>
      </c>
      <c r="C3747" s="9" t="n">
        <v>10</v>
      </c>
      <c r="D3747" s="10" t="n">
        <v>1.65</v>
      </c>
      <c r="E3747" s="10" t="n">
        <f aca="false">C3747*D3747</f>
        <v>16.5</v>
      </c>
    </row>
    <row r="3748" customFormat="false" ht="15" hidden="false" customHeight="false" outlineLevel="0" collapsed="false">
      <c r="A3748" s="9" t="s">
        <v>1649</v>
      </c>
      <c r="B3748" s="9" t="s">
        <v>1650</v>
      </c>
      <c r="C3748" s="9" t="n">
        <v>6</v>
      </c>
      <c r="D3748" s="10" t="n">
        <v>2.55</v>
      </c>
      <c r="E3748" s="10" t="n">
        <f aca="false">C3748*D3748</f>
        <v>15.3</v>
      </c>
    </row>
    <row r="3749" customFormat="false" ht="15" hidden="false" customHeight="false" outlineLevel="0" collapsed="false">
      <c r="A3749" s="9" t="s">
        <v>1649</v>
      </c>
      <c r="B3749" s="9" t="s">
        <v>718</v>
      </c>
      <c r="C3749" s="9" t="n">
        <v>6</v>
      </c>
      <c r="D3749" s="10" t="n">
        <v>4.95</v>
      </c>
      <c r="E3749" s="10" t="n">
        <f aca="false">C3749*D3749</f>
        <v>29.7</v>
      </c>
    </row>
    <row r="3750" customFormat="false" ht="15" hidden="false" customHeight="false" outlineLevel="0" collapsed="false">
      <c r="A3750" s="9" t="s">
        <v>1649</v>
      </c>
      <c r="B3750" s="9" t="s">
        <v>882</v>
      </c>
      <c r="C3750" s="9" t="n">
        <v>24</v>
      </c>
      <c r="D3750" s="10" t="n">
        <v>1.65</v>
      </c>
      <c r="E3750" s="10" t="n">
        <f aca="false">C3750*D3750</f>
        <v>39.6</v>
      </c>
    </row>
    <row r="3751" customFormat="false" ht="15" hidden="false" customHeight="false" outlineLevel="0" collapsed="false">
      <c r="A3751" s="9" t="s">
        <v>1649</v>
      </c>
      <c r="B3751" s="9" t="s">
        <v>985</v>
      </c>
      <c r="C3751" s="9" t="n">
        <v>6</v>
      </c>
      <c r="D3751" s="10" t="n">
        <v>2.95</v>
      </c>
      <c r="E3751" s="10" t="n">
        <f aca="false">C3751*D3751</f>
        <v>17.7</v>
      </c>
    </row>
    <row r="3752" customFormat="false" ht="15" hidden="false" customHeight="false" outlineLevel="0" collapsed="false">
      <c r="A3752" s="9" t="s">
        <v>1649</v>
      </c>
      <c r="B3752" s="9" t="s">
        <v>1651</v>
      </c>
      <c r="C3752" s="9" t="n">
        <v>3</v>
      </c>
      <c r="D3752" s="10" t="n">
        <v>5.95</v>
      </c>
      <c r="E3752" s="10" t="n">
        <f aca="false">C3752*D3752</f>
        <v>17.85</v>
      </c>
    </row>
    <row r="3753" customFormat="false" ht="15" hidden="false" customHeight="false" outlineLevel="0" collapsed="false">
      <c r="A3753" s="9" t="s">
        <v>1649</v>
      </c>
      <c r="B3753" s="9" t="s">
        <v>1138</v>
      </c>
      <c r="C3753" s="9" t="n">
        <v>5</v>
      </c>
      <c r="D3753" s="10" t="n">
        <v>2.95</v>
      </c>
      <c r="E3753" s="10" t="n">
        <f aca="false">C3753*D3753</f>
        <v>14.75</v>
      </c>
    </row>
    <row r="3754" customFormat="false" ht="15" hidden="false" customHeight="false" outlineLevel="0" collapsed="false">
      <c r="A3754" s="9" t="s">
        <v>1649</v>
      </c>
      <c r="B3754" s="9" t="s">
        <v>180</v>
      </c>
      <c r="C3754" s="9" t="n">
        <v>6</v>
      </c>
      <c r="D3754" s="10" t="n">
        <v>2.95</v>
      </c>
      <c r="E3754" s="10" t="n">
        <f aca="false">C3754*D3754</f>
        <v>17.7</v>
      </c>
    </row>
    <row r="3755" customFormat="false" ht="15" hidden="false" customHeight="false" outlineLevel="0" collapsed="false">
      <c r="A3755" s="9" t="s">
        <v>1649</v>
      </c>
      <c r="B3755" s="9" t="s">
        <v>506</v>
      </c>
      <c r="C3755" s="9" t="n">
        <v>12</v>
      </c>
      <c r="D3755" s="10" t="n">
        <v>0.85</v>
      </c>
      <c r="E3755" s="10" t="n">
        <f aca="false">C3755*D3755</f>
        <v>10.2</v>
      </c>
    </row>
    <row r="3756" customFormat="false" ht="15" hidden="false" customHeight="false" outlineLevel="0" collapsed="false">
      <c r="A3756" s="9" t="s">
        <v>1649</v>
      </c>
      <c r="B3756" s="9" t="s">
        <v>288</v>
      </c>
      <c r="C3756" s="9" t="n">
        <v>12</v>
      </c>
      <c r="D3756" s="10" t="n">
        <v>2.95</v>
      </c>
      <c r="E3756" s="10" t="n">
        <f aca="false">C3756*D3756</f>
        <v>35.4</v>
      </c>
    </row>
    <row r="3757" customFormat="false" ht="15" hidden="false" customHeight="false" outlineLevel="0" collapsed="false">
      <c r="A3757" s="9" t="s">
        <v>1649</v>
      </c>
      <c r="B3757" s="9" t="s">
        <v>1339</v>
      </c>
      <c r="C3757" s="9" t="n">
        <v>12</v>
      </c>
      <c r="D3757" s="10" t="n">
        <v>0.85</v>
      </c>
      <c r="E3757" s="10" t="n">
        <f aca="false">C3757*D3757</f>
        <v>10.2</v>
      </c>
    </row>
    <row r="3758" customFormat="false" ht="15" hidden="false" customHeight="false" outlineLevel="0" collapsed="false">
      <c r="A3758" s="9" t="s">
        <v>1649</v>
      </c>
      <c r="B3758" s="9" t="s">
        <v>58</v>
      </c>
      <c r="C3758" s="9" t="n">
        <v>12</v>
      </c>
      <c r="D3758" s="10" t="n">
        <v>2.1</v>
      </c>
      <c r="E3758" s="10" t="n">
        <f aca="false">C3758*D3758</f>
        <v>25.2</v>
      </c>
    </row>
    <row r="3759" customFormat="false" ht="15" hidden="false" customHeight="false" outlineLevel="0" collapsed="false">
      <c r="A3759" s="9" t="s">
        <v>1649</v>
      </c>
      <c r="B3759" s="9" t="s">
        <v>77</v>
      </c>
      <c r="C3759" s="9" t="n">
        <v>4</v>
      </c>
      <c r="D3759" s="10" t="n">
        <v>3.75</v>
      </c>
      <c r="E3759" s="10" t="n">
        <f aca="false">C3759*D3759</f>
        <v>15</v>
      </c>
    </row>
    <row r="3760" customFormat="false" ht="15" hidden="false" customHeight="false" outlineLevel="0" collapsed="false">
      <c r="A3760" s="9" t="s">
        <v>1649</v>
      </c>
      <c r="B3760" s="9" t="s">
        <v>876</v>
      </c>
      <c r="C3760" s="9" t="n">
        <v>2</v>
      </c>
      <c r="D3760" s="10" t="n">
        <v>7.95</v>
      </c>
      <c r="E3760" s="10" t="n">
        <f aca="false">C3760*D3760</f>
        <v>15.9</v>
      </c>
    </row>
    <row r="3761" customFormat="false" ht="15" hidden="false" customHeight="false" outlineLevel="0" collapsed="false">
      <c r="A3761" s="9" t="s">
        <v>1649</v>
      </c>
      <c r="B3761" s="9" t="s">
        <v>73</v>
      </c>
      <c r="C3761" s="9" t="n">
        <v>12</v>
      </c>
      <c r="D3761" s="10" t="n">
        <v>1.65</v>
      </c>
      <c r="E3761" s="10" t="n">
        <f aca="false">C3761*D3761</f>
        <v>19.8</v>
      </c>
    </row>
    <row r="3762" customFormat="false" ht="15" hidden="false" customHeight="false" outlineLevel="0" collapsed="false">
      <c r="A3762" s="9" t="s">
        <v>1649</v>
      </c>
      <c r="B3762" s="9" t="s">
        <v>1652</v>
      </c>
      <c r="C3762" s="9" t="n">
        <v>12</v>
      </c>
      <c r="D3762" s="10" t="n">
        <v>2.1</v>
      </c>
      <c r="E3762" s="10" t="n">
        <f aca="false">C3762*D3762</f>
        <v>25.2</v>
      </c>
    </row>
    <row r="3763" customFormat="false" ht="15" hidden="false" customHeight="false" outlineLevel="0" collapsed="false">
      <c r="A3763" s="9" t="s">
        <v>1653</v>
      </c>
      <c r="B3763" s="9" t="s">
        <v>510</v>
      </c>
      <c r="C3763" s="9" t="n">
        <v>12</v>
      </c>
      <c r="D3763" s="10" t="n">
        <v>1.95</v>
      </c>
      <c r="E3763" s="10" t="n">
        <f aca="false">C3763*D3763</f>
        <v>23.4</v>
      </c>
    </row>
    <row r="3764" customFormat="false" ht="15" hidden="false" customHeight="false" outlineLevel="0" collapsed="false">
      <c r="A3764" s="9" t="s">
        <v>1653</v>
      </c>
      <c r="B3764" s="9" t="s">
        <v>613</v>
      </c>
      <c r="C3764" s="9" t="n">
        <v>2</v>
      </c>
      <c r="D3764" s="10" t="n">
        <v>12.75</v>
      </c>
      <c r="E3764" s="10" t="n">
        <f aca="false">C3764*D3764</f>
        <v>25.5</v>
      </c>
    </row>
    <row r="3765" customFormat="false" ht="15" hidden="false" customHeight="false" outlineLevel="0" collapsed="false">
      <c r="A3765" s="9" t="s">
        <v>1653</v>
      </c>
      <c r="B3765" s="9" t="s">
        <v>1654</v>
      </c>
      <c r="C3765" s="9" t="n">
        <v>2</v>
      </c>
      <c r="D3765" s="10" t="n">
        <v>8.5</v>
      </c>
      <c r="E3765" s="10" t="n">
        <f aca="false">C3765*D3765</f>
        <v>17</v>
      </c>
    </row>
    <row r="3766" customFormat="false" ht="15" hidden="false" customHeight="false" outlineLevel="0" collapsed="false">
      <c r="A3766" s="9" t="s">
        <v>1653</v>
      </c>
      <c r="B3766" s="9" t="s">
        <v>826</v>
      </c>
      <c r="C3766" s="9" t="n">
        <v>1</v>
      </c>
      <c r="D3766" s="10" t="n">
        <v>10.95</v>
      </c>
      <c r="E3766" s="10" t="n">
        <f aca="false">C3766*D3766</f>
        <v>10.95</v>
      </c>
    </row>
    <row r="3767" customFormat="false" ht="15" hidden="false" customHeight="false" outlineLevel="0" collapsed="false">
      <c r="A3767" s="9" t="s">
        <v>1653</v>
      </c>
      <c r="B3767" s="9" t="s">
        <v>656</v>
      </c>
      <c r="C3767" s="9" t="n">
        <v>6</v>
      </c>
      <c r="D3767" s="10" t="n">
        <v>2.1</v>
      </c>
      <c r="E3767" s="10" t="n">
        <f aca="false">C3767*D3767</f>
        <v>12.6</v>
      </c>
    </row>
    <row r="3768" customFormat="false" ht="15" hidden="false" customHeight="false" outlineLevel="0" collapsed="false">
      <c r="A3768" s="9" t="s">
        <v>1653</v>
      </c>
      <c r="B3768" s="9" t="s">
        <v>1655</v>
      </c>
      <c r="C3768" s="9" t="n">
        <v>1</v>
      </c>
      <c r="D3768" s="10" t="n">
        <v>9.95</v>
      </c>
      <c r="E3768" s="10" t="n">
        <f aca="false">C3768*D3768</f>
        <v>9.95</v>
      </c>
    </row>
    <row r="3769" customFormat="false" ht="15" hidden="false" customHeight="false" outlineLevel="0" collapsed="false">
      <c r="A3769" s="9" t="s">
        <v>1653</v>
      </c>
      <c r="B3769" s="9" t="s">
        <v>734</v>
      </c>
      <c r="C3769" s="9" t="n">
        <v>2</v>
      </c>
      <c r="D3769" s="10" t="n">
        <v>8.5</v>
      </c>
      <c r="E3769" s="10" t="n">
        <f aca="false">C3769*D3769</f>
        <v>17</v>
      </c>
    </row>
    <row r="3770" customFormat="false" ht="15" hidden="false" customHeight="false" outlineLevel="0" collapsed="false">
      <c r="A3770" s="9" t="s">
        <v>1653</v>
      </c>
      <c r="B3770" s="9" t="s">
        <v>909</v>
      </c>
      <c r="C3770" s="9" t="n">
        <v>1</v>
      </c>
      <c r="D3770" s="10" t="n">
        <v>9.95</v>
      </c>
      <c r="E3770" s="10" t="n">
        <f aca="false">C3770*D3770</f>
        <v>9.95</v>
      </c>
    </row>
    <row r="3771" customFormat="false" ht="15" hidden="false" customHeight="false" outlineLevel="0" collapsed="false">
      <c r="A3771" s="9" t="s">
        <v>1653</v>
      </c>
      <c r="B3771" s="9" t="s">
        <v>872</v>
      </c>
      <c r="C3771" s="9" t="n">
        <v>4</v>
      </c>
      <c r="D3771" s="10" t="n">
        <v>3.75</v>
      </c>
      <c r="E3771" s="10" t="n">
        <f aca="false">C3771*D3771</f>
        <v>15</v>
      </c>
    </row>
    <row r="3772" customFormat="false" ht="15" hidden="false" customHeight="false" outlineLevel="0" collapsed="false">
      <c r="A3772" s="9" t="s">
        <v>1653</v>
      </c>
      <c r="B3772" s="9" t="s">
        <v>988</v>
      </c>
      <c r="C3772" s="9" t="n">
        <v>6</v>
      </c>
      <c r="D3772" s="10" t="n">
        <v>3.75</v>
      </c>
      <c r="E3772" s="10" t="n">
        <f aca="false">C3772*D3772</f>
        <v>22.5</v>
      </c>
    </row>
    <row r="3773" customFormat="false" ht="15" hidden="false" customHeight="false" outlineLevel="0" collapsed="false">
      <c r="A3773" s="9" t="s">
        <v>1653</v>
      </c>
      <c r="B3773" s="9" t="s">
        <v>1656</v>
      </c>
      <c r="C3773" s="9" t="n">
        <v>1</v>
      </c>
      <c r="D3773" s="10" t="n">
        <v>9.95</v>
      </c>
      <c r="E3773" s="10" t="n">
        <f aca="false">C3773*D3773</f>
        <v>9.95</v>
      </c>
    </row>
    <row r="3774" customFormat="false" ht="15" hidden="false" customHeight="false" outlineLevel="0" collapsed="false">
      <c r="A3774" s="9" t="s">
        <v>1653</v>
      </c>
      <c r="B3774" s="9" t="s">
        <v>1584</v>
      </c>
      <c r="C3774" s="9" t="n">
        <v>2</v>
      </c>
      <c r="D3774" s="10" t="n">
        <v>7.95</v>
      </c>
      <c r="E3774" s="10" t="n">
        <f aca="false">C3774*D3774</f>
        <v>15.9</v>
      </c>
    </row>
    <row r="3775" customFormat="false" ht="15" hidden="false" customHeight="false" outlineLevel="0" collapsed="false">
      <c r="A3775" s="9" t="s">
        <v>1653</v>
      </c>
      <c r="B3775" s="9" t="s">
        <v>989</v>
      </c>
      <c r="C3775" s="9" t="n">
        <v>1</v>
      </c>
      <c r="D3775" s="10" t="n">
        <v>9.95</v>
      </c>
      <c r="E3775" s="10" t="n">
        <f aca="false">C3775*D3775</f>
        <v>9.95</v>
      </c>
    </row>
    <row r="3776" customFormat="false" ht="15" hidden="false" customHeight="false" outlineLevel="0" collapsed="false">
      <c r="A3776" s="9" t="s">
        <v>1657</v>
      </c>
      <c r="B3776" s="9" t="s">
        <v>116</v>
      </c>
      <c r="C3776" s="9" t="n">
        <v>24</v>
      </c>
      <c r="D3776" s="10" t="n">
        <v>0.55</v>
      </c>
      <c r="E3776" s="10" t="n">
        <f aca="false">C3776*D3776</f>
        <v>13.2</v>
      </c>
    </row>
    <row r="3777" customFormat="false" ht="15" hidden="false" customHeight="false" outlineLevel="0" collapsed="false">
      <c r="A3777" s="9" t="s">
        <v>1657</v>
      </c>
      <c r="B3777" s="9" t="s">
        <v>120</v>
      </c>
      <c r="C3777" s="9" t="n">
        <v>12</v>
      </c>
      <c r="D3777" s="10" t="n">
        <v>0.85</v>
      </c>
      <c r="E3777" s="10" t="n">
        <f aca="false">C3777*D3777</f>
        <v>10.2</v>
      </c>
    </row>
    <row r="3778" customFormat="false" ht="15" hidden="false" customHeight="false" outlineLevel="0" collapsed="false">
      <c r="A3778" s="9" t="s">
        <v>1657</v>
      </c>
      <c r="B3778" s="9" t="s">
        <v>222</v>
      </c>
      <c r="C3778" s="9" t="n">
        <v>12</v>
      </c>
      <c r="D3778" s="10" t="n">
        <v>0.65</v>
      </c>
      <c r="E3778" s="10" t="n">
        <f aca="false">C3778*D3778</f>
        <v>7.8</v>
      </c>
    </row>
    <row r="3779" customFormat="false" ht="15" hidden="false" customHeight="false" outlineLevel="0" collapsed="false">
      <c r="A3779" s="9" t="s">
        <v>1657</v>
      </c>
      <c r="B3779" s="9" t="s">
        <v>229</v>
      </c>
      <c r="C3779" s="9" t="n">
        <v>12</v>
      </c>
      <c r="D3779" s="10" t="n">
        <v>0.85</v>
      </c>
      <c r="E3779" s="10" t="n">
        <f aca="false">C3779*D3779</f>
        <v>10.2</v>
      </c>
    </row>
    <row r="3780" customFormat="false" ht="15" hidden="false" customHeight="false" outlineLevel="0" collapsed="false">
      <c r="A3780" s="9" t="s">
        <v>1657</v>
      </c>
      <c r="B3780" s="9" t="s">
        <v>1658</v>
      </c>
      <c r="C3780" s="9" t="n">
        <v>12</v>
      </c>
      <c r="D3780" s="10" t="n">
        <v>0.65</v>
      </c>
      <c r="E3780" s="10" t="n">
        <f aca="false">C3780*D3780</f>
        <v>7.8</v>
      </c>
    </row>
    <row r="3781" customFormat="false" ht="15" hidden="false" customHeight="false" outlineLevel="0" collapsed="false">
      <c r="A3781" s="9" t="s">
        <v>1657</v>
      </c>
      <c r="B3781" s="9" t="s">
        <v>88</v>
      </c>
      <c r="C3781" s="9" t="n">
        <v>6</v>
      </c>
      <c r="D3781" s="10" t="n">
        <v>2.95</v>
      </c>
      <c r="E3781" s="10" t="n">
        <f aca="false">C3781*D3781</f>
        <v>17.7</v>
      </c>
    </row>
    <row r="3782" customFormat="false" ht="15" hidden="false" customHeight="false" outlineLevel="0" collapsed="false">
      <c r="A3782" s="9" t="s">
        <v>1657</v>
      </c>
      <c r="B3782" s="9" t="s">
        <v>233</v>
      </c>
      <c r="C3782" s="9" t="n">
        <v>6</v>
      </c>
      <c r="D3782" s="10" t="n">
        <v>2.95</v>
      </c>
      <c r="E3782" s="10" t="n">
        <f aca="false">C3782*D3782</f>
        <v>17.7</v>
      </c>
    </row>
    <row r="3783" customFormat="false" ht="15" hidden="false" customHeight="false" outlineLevel="0" collapsed="false">
      <c r="A3783" s="9" t="s">
        <v>1657</v>
      </c>
      <c r="B3783" s="9" t="s">
        <v>1150</v>
      </c>
      <c r="C3783" s="9" t="n">
        <v>20</v>
      </c>
      <c r="D3783" s="10" t="n">
        <v>0.85</v>
      </c>
      <c r="E3783" s="10" t="n">
        <f aca="false">C3783*D3783</f>
        <v>17</v>
      </c>
    </row>
    <row r="3784" customFormat="false" ht="15" hidden="false" customHeight="false" outlineLevel="0" collapsed="false">
      <c r="A3784" s="9" t="s">
        <v>1657</v>
      </c>
      <c r="B3784" s="9" t="s">
        <v>1659</v>
      </c>
      <c r="C3784" s="9" t="n">
        <v>8</v>
      </c>
      <c r="D3784" s="10" t="n">
        <v>1.65</v>
      </c>
      <c r="E3784" s="10" t="n">
        <f aca="false">C3784*D3784</f>
        <v>13.2</v>
      </c>
    </row>
    <row r="3785" customFormat="false" ht="15" hidden="false" customHeight="false" outlineLevel="0" collapsed="false">
      <c r="A3785" s="9" t="s">
        <v>1657</v>
      </c>
      <c r="B3785" s="9" t="s">
        <v>1660</v>
      </c>
      <c r="C3785" s="9" t="n">
        <v>12</v>
      </c>
      <c r="D3785" s="10" t="n">
        <v>1.25</v>
      </c>
      <c r="E3785" s="10" t="n">
        <f aca="false">C3785*D3785</f>
        <v>15</v>
      </c>
    </row>
    <row r="3786" customFormat="false" ht="15" hidden="false" customHeight="false" outlineLevel="0" collapsed="false">
      <c r="A3786" s="9" t="s">
        <v>1657</v>
      </c>
      <c r="B3786" s="9" t="s">
        <v>1661</v>
      </c>
      <c r="C3786" s="9" t="n">
        <v>12</v>
      </c>
      <c r="D3786" s="10" t="n">
        <v>0.85</v>
      </c>
      <c r="E3786" s="10" t="n">
        <f aca="false">C3786*D3786</f>
        <v>10.2</v>
      </c>
    </row>
    <row r="3787" customFormat="false" ht="15" hidden="false" customHeight="false" outlineLevel="0" collapsed="false">
      <c r="A3787" s="9" t="s">
        <v>1657</v>
      </c>
      <c r="B3787" s="9" t="s">
        <v>1662</v>
      </c>
      <c r="C3787" s="9" t="n">
        <v>12</v>
      </c>
      <c r="D3787" s="10" t="n">
        <v>0.85</v>
      </c>
      <c r="E3787" s="10" t="n">
        <f aca="false">C3787*D3787</f>
        <v>10.2</v>
      </c>
    </row>
    <row r="3788" customFormat="false" ht="15" hidden="false" customHeight="false" outlineLevel="0" collapsed="false">
      <c r="A3788" s="9" t="s">
        <v>1657</v>
      </c>
      <c r="B3788" s="9" t="s">
        <v>190</v>
      </c>
      <c r="C3788" s="9" t="n">
        <v>12</v>
      </c>
      <c r="D3788" s="10" t="n">
        <v>1.25</v>
      </c>
      <c r="E3788" s="10" t="n">
        <f aca="false">C3788*D3788</f>
        <v>15</v>
      </c>
    </row>
    <row r="3789" customFormat="false" ht="15" hidden="false" customHeight="false" outlineLevel="0" collapsed="false">
      <c r="A3789" s="9" t="s">
        <v>1657</v>
      </c>
      <c r="B3789" s="9" t="s">
        <v>991</v>
      </c>
      <c r="C3789" s="9" t="n">
        <v>12</v>
      </c>
      <c r="D3789" s="10" t="n">
        <v>1.65</v>
      </c>
      <c r="E3789" s="10" t="n">
        <f aca="false">C3789*D3789</f>
        <v>19.8</v>
      </c>
    </row>
    <row r="3790" customFormat="false" ht="15" hidden="false" customHeight="false" outlineLevel="0" collapsed="false">
      <c r="A3790" s="9" t="s">
        <v>1657</v>
      </c>
      <c r="B3790" s="9" t="s">
        <v>613</v>
      </c>
      <c r="C3790" s="9" t="n">
        <v>2</v>
      </c>
      <c r="D3790" s="10" t="n">
        <v>12.75</v>
      </c>
      <c r="E3790" s="10" t="n">
        <f aca="false">C3790*D3790</f>
        <v>25.5</v>
      </c>
    </row>
    <row r="3791" customFormat="false" ht="15" hidden="false" customHeight="false" outlineLevel="0" collapsed="false">
      <c r="A3791" s="9" t="s">
        <v>1657</v>
      </c>
      <c r="B3791" s="9" t="s">
        <v>986</v>
      </c>
      <c r="C3791" s="9" t="n">
        <v>8</v>
      </c>
      <c r="D3791" s="10" t="n">
        <v>0.85</v>
      </c>
      <c r="E3791" s="10" t="n">
        <f aca="false">C3791*D3791</f>
        <v>6.8</v>
      </c>
    </row>
    <row r="3792" customFormat="false" ht="15" hidden="false" customHeight="false" outlineLevel="0" collapsed="false">
      <c r="A3792" s="9" t="s">
        <v>1657</v>
      </c>
      <c r="B3792" s="9" t="s">
        <v>1582</v>
      </c>
      <c r="C3792" s="9" t="n">
        <v>8</v>
      </c>
      <c r="D3792" s="10" t="n">
        <v>1.25</v>
      </c>
      <c r="E3792" s="10" t="n">
        <f aca="false">C3792*D3792</f>
        <v>10</v>
      </c>
    </row>
    <row r="3793" customFormat="false" ht="15" hidden="false" customHeight="false" outlineLevel="0" collapsed="false">
      <c r="A3793" s="9" t="s">
        <v>1657</v>
      </c>
      <c r="B3793" s="9" t="s">
        <v>347</v>
      </c>
      <c r="C3793" s="9" t="n">
        <v>24</v>
      </c>
      <c r="D3793" s="10" t="n">
        <v>0.55</v>
      </c>
      <c r="E3793" s="10" t="n">
        <f aca="false">C3793*D3793</f>
        <v>13.2</v>
      </c>
    </row>
    <row r="3794" customFormat="false" ht="15" hidden="false" customHeight="false" outlineLevel="0" collapsed="false">
      <c r="A3794" s="9" t="s">
        <v>1657</v>
      </c>
      <c r="B3794" s="9" t="s">
        <v>1663</v>
      </c>
      <c r="C3794" s="9" t="n">
        <v>8</v>
      </c>
      <c r="D3794" s="10" t="n">
        <v>0.85</v>
      </c>
      <c r="E3794" s="10" t="n">
        <f aca="false">C3794*D3794</f>
        <v>6.8</v>
      </c>
    </row>
    <row r="3795" customFormat="false" ht="15" hidden="false" customHeight="false" outlineLevel="0" collapsed="false">
      <c r="A3795" s="9" t="s">
        <v>1657</v>
      </c>
      <c r="B3795" s="9" t="s">
        <v>460</v>
      </c>
      <c r="C3795" s="9" t="n">
        <v>8</v>
      </c>
      <c r="D3795" s="10" t="n">
        <v>1.69</v>
      </c>
      <c r="E3795" s="10" t="n">
        <f aca="false">C3795*D3795</f>
        <v>13.52</v>
      </c>
    </row>
    <row r="3796" customFormat="false" ht="15" hidden="false" customHeight="false" outlineLevel="0" collapsed="false">
      <c r="A3796" s="9" t="s">
        <v>1657</v>
      </c>
      <c r="B3796" s="9" t="s">
        <v>1664</v>
      </c>
      <c r="C3796" s="9" t="n">
        <v>8</v>
      </c>
      <c r="D3796" s="10" t="n">
        <v>1.25</v>
      </c>
      <c r="E3796" s="10" t="n">
        <f aca="false">C3796*D3796</f>
        <v>10</v>
      </c>
    </row>
    <row r="3797" customFormat="false" ht="15" hidden="false" customHeight="false" outlineLevel="0" collapsed="false">
      <c r="A3797" s="9" t="s">
        <v>1657</v>
      </c>
      <c r="B3797" s="9" t="s">
        <v>1278</v>
      </c>
      <c r="C3797" s="9" t="n">
        <v>6</v>
      </c>
      <c r="D3797" s="10" t="n">
        <v>3.75</v>
      </c>
      <c r="E3797" s="10" t="n">
        <f aca="false">C3797*D3797</f>
        <v>22.5</v>
      </c>
    </row>
    <row r="3798" customFormat="false" ht="15" hidden="false" customHeight="false" outlineLevel="0" collapsed="false">
      <c r="A3798" s="9" t="s">
        <v>1657</v>
      </c>
      <c r="B3798" s="9" t="s">
        <v>710</v>
      </c>
      <c r="C3798" s="9" t="n">
        <v>6</v>
      </c>
      <c r="D3798" s="10" t="n">
        <v>3.75</v>
      </c>
      <c r="E3798" s="10" t="n">
        <f aca="false">C3798*D3798</f>
        <v>22.5</v>
      </c>
    </row>
    <row r="3799" customFormat="false" ht="15" hidden="false" customHeight="false" outlineLevel="0" collapsed="false">
      <c r="A3799" s="9" t="s">
        <v>1657</v>
      </c>
      <c r="B3799" s="9" t="s">
        <v>1007</v>
      </c>
      <c r="C3799" s="9" t="n">
        <v>12</v>
      </c>
      <c r="D3799" s="10" t="n">
        <v>0.85</v>
      </c>
      <c r="E3799" s="10" t="n">
        <f aca="false">C3799*D3799</f>
        <v>10.2</v>
      </c>
    </row>
    <row r="3800" customFormat="false" ht="15" hidden="false" customHeight="false" outlineLevel="0" collapsed="false">
      <c r="A3800" s="9" t="s">
        <v>1657</v>
      </c>
      <c r="B3800" s="9" t="s">
        <v>269</v>
      </c>
      <c r="C3800" s="9" t="n">
        <v>4</v>
      </c>
      <c r="D3800" s="10" t="n">
        <v>3.75</v>
      </c>
      <c r="E3800" s="10" t="n">
        <f aca="false">C3800*D3800</f>
        <v>15</v>
      </c>
    </row>
    <row r="3801" customFormat="false" ht="15" hidden="false" customHeight="false" outlineLevel="0" collapsed="false">
      <c r="A3801" s="9" t="s">
        <v>1657</v>
      </c>
      <c r="B3801" s="9" t="s">
        <v>461</v>
      </c>
      <c r="C3801" s="9" t="n">
        <v>8</v>
      </c>
      <c r="D3801" s="10" t="n">
        <v>1.69</v>
      </c>
      <c r="E3801" s="10" t="n">
        <f aca="false">C3801*D3801</f>
        <v>13.52</v>
      </c>
    </row>
    <row r="3802" customFormat="false" ht="15" hidden="false" customHeight="false" outlineLevel="0" collapsed="false">
      <c r="A3802" s="9" t="s">
        <v>1665</v>
      </c>
      <c r="B3802" s="9" t="s">
        <v>1666</v>
      </c>
      <c r="C3802" s="9" t="n">
        <v>8</v>
      </c>
      <c r="D3802" s="10" t="n">
        <v>1.25</v>
      </c>
      <c r="E3802" s="10" t="n">
        <f aca="false">C3802*D3802</f>
        <v>10</v>
      </c>
    </row>
    <row r="3803" customFormat="false" ht="15" hidden="false" customHeight="false" outlineLevel="0" collapsed="false">
      <c r="A3803" s="9" t="s">
        <v>1665</v>
      </c>
      <c r="B3803" s="9" t="s">
        <v>706</v>
      </c>
      <c r="C3803" s="9" t="n">
        <v>6</v>
      </c>
      <c r="D3803" s="10" t="n">
        <v>2.1</v>
      </c>
      <c r="E3803" s="10" t="n">
        <f aca="false">C3803*D3803</f>
        <v>12.6</v>
      </c>
    </row>
    <row r="3804" customFormat="false" ht="15" hidden="false" customHeight="false" outlineLevel="0" collapsed="false">
      <c r="A3804" s="9" t="s">
        <v>1665</v>
      </c>
      <c r="B3804" s="9" t="s">
        <v>145</v>
      </c>
      <c r="C3804" s="9" t="n">
        <v>6</v>
      </c>
      <c r="D3804" s="10" t="n">
        <v>2.95</v>
      </c>
      <c r="E3804" s="10" t="n">
        <f aca="false">C3804*D3804</f>
        <v>17.7</v>
      </c>
    </row>
    <row r="3805" customFormat="false" ht="15" hidden="false" customHeight="false" outlineLevel="0" collapsed="false">
      <c r="A3805" s="9" t="s">
        <v>1665</v>
      </c>
      <c r="B3805" s="9" t="s">
        <v>705</v>
      </c>
      <c r="C3805" s="9" t="n">
        <v>12</v>
      </c>
      <c r="D3805" s="10" t="n">
        <v>2.1</v>
      </c>
      <c r="E3805" s="10" t="n">
        <f aca="false">C3805*D3805</f>
        <v>25.2</v>
      </c>
    </row>
    <row r="3806" customFormat="false" ht="15" hidden="false" customHeight="false" outlineLevel="0" collapsed="false">
      <c r="A3806" s="9" t="s">
        <v>1665</v>
      </c>
      <c r="B3806" s="9" t="s">
        <v>388</v>
      </c>
      <c r="C3806" s="9" t="n">
        <v>12</v>
      </c>
      <c r="D3806" s="10" t="n">
        <v>2.1</v>
      </c>
      <c r="E3806" s="10" t="n">
        <f aca="false">C3806*D3806</f>
        <v>25.2</v>
      </c>
    </row>
    <row r="3807" customFormat="false" ht="15" hidden="false" customHeight="false" outlineLevel="0" collapsed="false">
      <c r="A3807" s="9" t="s">
        <v>1665</v>
      </c>
      <c r="B3807" s="9" t="s">
        <v>1050</v>
      </c>
      <c r="C3807" s="9" t="n">
        <v>24</v>
      </c>
      <c r="D3807" s="10" t="n">
        <v>0.65</v>
      </c>
      <c r="E3807" s="10" t="n">
        <f aca="false">C3807*D3807</f>
        <v>15.6</v>
      </c>
    </row>
    <row r="3808" customFormat="false" ht="15" hidden="false" customHeight="false" outlineLevel="0" collapsed="false">
      <c r="A3808" s="9" t="s">
        <v>1665</v>
      </c>
      <c r="B3808" s="9" t="s">
        <v>1315</v>
      </c>
      <c r="C3808" s="9" t="n">
        <v>9</v>
      </c>
      <c r="D3808" s="10" t="n">
        <v>5.45</v>
      </c>
      <c r="E3808" s="10" t="n">
        <f aca="false">C3808*D3808</f>
        <v>49.05</v>
      </c>
    </row>
    <row r="3809" customFormat="false" ht="15" hidden="false" customHeight="false" outlineLevel="0" collapsed="false">
      <c r="A3809" s="9" t="s">
        <v>1665</v>
      </c>
      <c r="B3809" s="9" t="s">
        <v>222</v>
      </c>
      <c r="C3809" s="9" t="n">
        <v>36</v>
      </c>
      <c r="D3809" s="10" t="n">
        <v>0.65</v>
      </c>
      <c r="E3809" s="10" t="n">
        <f aca="false">C3809*D3809</f>
        <v>23.4</v>
      </c>
    </row>
    <row r="3810" customFormat="false" ht="15" hidden="false" customHeight="false" outlineLevel="0" collapsed="false">
      <c r="A3810" s="9" t="s">
        <v>1665</v>
      </c>
      <c r="B3810" s="9" t="s">
        <v>229</v>
      </c>
      <c r="C3810" s="9" t="n">
        <v>24</v>
      </c>
      <c r="D3810" s="10" t="n">
        <v>0.85</v>
      </c>
      <c r="E3810" s="10" t="n">
        <f aca="false">C3810*D3810</f>
        <v>20.4</v>
      </c>
    </row>
    <row r="3811" customFormat="false" ht="15" hidden="false" customHeight="false" outlineLevel="0" collapsed="false">
      <c r="A3811" s="9" t="s">
        <v>1665</v>
      </c>
      <c r="B3811" s="9" t="s">
        <v>120</v>
      </c>
      <c r="C3811" s="9" t="n">
        <v>60</v>
      </c>
      <c r="D3811" s="10" t="n">
        <v>0.85</v>
      </c>
      <c r="E3811" s="10" t="n">
        <f aca="false">C3811*D3811</f>
        <v>51</v>
      </c>
    </row>
    <row r="3812" customFormat="false" ht="15" hidden="false" customHeight="false" outlineLevel="0" collapsed="false">
      <c r="A3812" s="9" t="s">
        <v>1665</v>
      </c>
      <c r="B3812" s="9" t="s">
        <v>573</v>
      </c>
      <c r="C3812" s="9" t="n">
        <v>16</v>
      </c>
      <c r="D3812" s="10" t="n">
        <v>1.65</v>
      </c>
      <c r="E3812" s="10" t="n">
        <f aca="false">C3812*D3812</f>
        <v>26.4</v>
      </c>
    </row>
    <row r="3813" customFormat="false" ht="15" hidden="false" customHeight="false" outlineLevel="0" collapsed="false">
      <c r="A3813" s="9" t="s">
        <v>1665</v>
      </c>
      <c r="B3813" s="9" t="s">
        <v>725</v>
      </c>
      <c r="C3813" s="9" t="n">
        <v>24</v>
      </c>
      <c r="D3813" s="10" t="n">
        <v>0.65</v>
      </c>
      <c r="E3813" s="10" t="n">
        <f aca="false">C3813*D3813</f>
        <v>15.6</v>
      </c>
    </row>
    <row r="3814" customFormat="false" ht="15" hidden="false" customHeight="false" outlineLevel="0" collapsed="false">
      <c r="A3814" s="9" t="s">
        <v>1665</v>
      </c>
      <c r="B3814" s="9" t="s">
        <v>1667</v>
      </c>
      <c r="C3814" s="9" t="n">
        <v>12</v>
      </c>
      <c r="D3814" s="10" t="n">
        <v>1.65</v>
      </c>
      <c r="E3814" s="10" t="n">
        <f aca="false">C3814*D3814</f>
        <v>19.8</v>
      </c>
    </row>
    <row r="3815" customFormat="false" ht="15" hidden="false" customHeight="false" outlineLevel="0" collapsed="false">
      <c r="A3815" s="9" t="s">
        <v>1665</v>
      </c>
      <c r="B3815" s="9" t="s">
        <v>363</v>
      </c>
      <c r="C3815" s="9" t="n">
        <v>6</v>
      </c>
      <c r="D3815" s="10" t="n">
        <v>2.95</v>
      </c>
      <c r="E3815" s="10" t="n">
        <f aca="false">C3815*D3815</f>
        <v>17.7</v>
      </c>
    </row>
    <row r="3816" customFormat="false" ht="15" hidden="false" customHeight="false" outlineLevel="0" collapsed="false">
      <c r="A3816" s="9" t="s">
        <v>1668</v>
      </c>
      <c r="B3816" s="9" t="s">
        <v>68</v>
      </c>
      <c r="C3816" s="9" t="n">
        <v>128</v>
      </c>
      <c r="D3816" s="10" t="n">
        <v>1.65</v>
      </c>
      <c r="E3816" s="10" t="n">
        <f aca="false">C3816*D3816</f>
        <v>211.2</v>
      </c>
    </row>
    <row r="3817" customFormat="false" ht="15" hidden="false" customHeight="false" outlineLevel="0" collapsed="false">
      <c r="A3817" s="9" t="s">
        <v>1669</v>
      </c>
      <c r="B3817" s="9" t="s">
        <v>1006</v>
      </c>
      <c r="C3817" s="9" t="n">
        <v>192</v>
      </c>
      <c r="D3817" s="10" t="n">
        <v>0.42</v>
      </c>
      <c r="E3817" s="10" t="n">
        <f aca="false">C3817*D3817</f>
        <v>80.64</v>
      </c>
    </row>
    <row r="3818" customFormat="false" ht="15" hidden="false" customHeight="false" outlineLevel="0" collapsed="false">
      <c r="A3818" s="9" t="s">
        <v>1669</v>
      </c>
      <c r="B3818" s="9" t="s">
        <v>506</v>
      </c>
      <c r="C3818" s="9" t="n">
        <v>144</v>
      </c>
      <c r="D3818" s="10" t="n">
        <v>0.72</v>
      </c>
      <c r="E3818" s="10" t="n">
        <f aca="false">C3818*D3818</f>
        <v>103.68</v>
      </c>
    </row>
    <row r="3819" customFormat="false" ht="15" hidden="false" customHeight="false" outlineLevel="0" collapsed="false">
      <c r="A3819" s="9" t="s">
        <v>1669</v>
      </c>
      <c r="B3819" s="9" t="s">
        <v>79</v>
      </c>
      <c r="C3819" s="9" t="n">
        <v>216</v>
      </c>
      <c r="D3819" s="10" t="n">
        <v>1.06</v>
      </c>
      <c r="E3819" s="10" t="n">
        <f aca="false">C3819*D3819</f>
        <v>228.96</v>
      </c>
    </row>
    <row r="3820" customFormat="false" ht="15" hidden="false" customHeight="false" outlineLevel="0" collapsed="false">
      <c r="A3820" s="9" t="s">
        <v>1669</v>
      </c>
      <c r="B3820" s="9" t="s">
        <v>498</v>
      </c>
      <c r="C3820" s="9" t="n">
        <v>600</v>
      </c>
      <c r="D3820" s="10" t="n">
        <v>0.29</v>
      </c>
      <c r="E3820" s="10" t="n">
        <f aca="false">C3820*D3820</f>
        <v>174</v>
      </c>
    </row>
    <row r="3821" customFormat="false" ht="15" hidden="false" customHeight="false" outlineLevel="0" collapsed="false">
      <c r="A3821" s="9" t="s">
        <v>1669</v>
      </c>
      <c r="B3821" s="9" t="s">
        <v>810</v>
      </c>
      <c r="C3821" s="9" t="n">
        <v>144</v>
      </c>
      <c r="D3821" s="10" t="n">
        <v>1.65</v>
      </c>
      <c r="E3821" s="10" t="n">
        <f aca="false">C3821*D3821</f>
        <v>237.6</v>
      </c>
    </row>
    <row r="3822" customFormat="false" ht="15" hidden="false" customHeight="false" outlineLevel="0" collapsed="false">
      <c r="A3822" s="9" t="s">
        <v>1670</v>
      </c>
      <c r="B3822" s="9" t="s">
        <v>1584</v>
      </c>
      <c r="C3822" s="9" t="n">
        <v>2</v>
      </c>
      <c r="D3822" s="10" t="n">
        <v>7.95</v>
      </c>
      <c r="E3822" s="10" t="n">
        <f aca="false">C3822*D3822</f>
        <v>15.9</v>
      </c>
    </row>
    <row r="3823" customFormat="false" ht="15" hidden="false" customHeight="false" outlineLevel="0" collapsed="false">
      <c r="A3823" s="9" t="s">
        <v>1670</v>
      </c>
      <c r="B3823" s="9" t="s">
        <v>1299</v>
      </c>
      <c r="C3823" s="9" t="n">
        <v>2</v>
      </c>
      <c r="D3823" s="10" t="n">
        <v>7.95</v>
      </c>
      <c r="E3823" s="10" t="n">
        <f aca="false">C3823*D3823</f>
        <v>15.9</v>
      </c>
    </row>
    <row r="3824" customFormat="false" ht="15" hidden="false" customHeight="false" outlineLevel="0" collapsed="false">
      <c r="A3824" s="9" t="s">
        <v>1670</v>
      </c>
      <c r="B3824" s="9" t="s">
        <v>989</v>
      </c>
      <c r="C3824" s="9" t="n">
        <v>1</v>
      </c>
      <c r="D3824" s="10" t="n">
        <v>9.95</v>
      </c>
      <c r="E3824" s="10" t="n">
        <f aca="false">C3824*D3824</f>
        <v>9.95</v>
      </c>
    </row>
    <row r="3825" customFormat="false" ht="15" hidden="false" customHeight="false" outlineLevel="0" collapsed="false">
      <c r="A3825" s="9" t="s">
        <v>1670</v>
      </c>
      <c r="B3825" s="9" t="s">
        <v>363</v>
      </c>
      <c r="C3825" s="9" t="n">
        <v>6</v>
      </c>
      <c r="D3825" s="10" t="n">
        <v>2.95</v>
      </c>
      <c r="E3825" s="10" t="n">
        <f aca="false">C3825*D3825</f>
        <v>17.7</v>
      </c>
    </row>
    <row r="3826" customFormat="false" ht="15" hidden="false" customHeight="false" outlineLevel="0" collapsed="false">
      <c r="A3826" s="9" t="s">
        <v>1670</v>
      </c>
      <c r="B3826" s="9" t="s">
        <v>1671</v>
      </c>
      <c r="C3826" s="9" t="n">
        <v>24</v>
      </c>
      <c r="D3826" s="10" t="n">
        <v>0.42</v>
      </c>
      <c r="E3826" s="10" t="n">
        <f aca="false">C3826*D3826</f>
        <v>10.08</v>
      </c>
    </row>
    <row r="3827" customFormat="false" ht="15" hidden="false" customHeight="false" outlineLevel="0" collapsed="false">
      <c r="A3827" s="9" t="s">
        <v>1670</v>
      </c>
      <c r="B3827" s="9" t="s">
        <v>1672</v>
      </c>
      <c r="C3827" s="9" t="n">
        <v>6</v>
      </c>
      <c r="D3827" s="10" t="n">
        <v>2.95</v>
      </c>
      <c r="E3827" s="10" t="n">
        <f aca="false">C3827*D3827</f>
        <v>17.7</v>
      </c>
    </row>
    <row r="3828" customFormat="false" ht="15" hidden="false" customHeight="false" outlineLevel="0" collapsed="false">
      <c r="A3828" s="9" t="s">
        <v>1670</v>
      </c>
      <c r="B3828" s="9" t="s">
        <v>826</v>
      </c>
      <c r="C3828" s="9" t="n">
        <v>1</v>
      </c>
      <c r="D3828" s="10" t="n">
        <v>10.95</v>
      </c>
      <c r="E3828" s="10" t="n">
        <f aca="false">C3828*D3828</f>
        <v>10.95</v>
      </c>
    </row>
    <row r="3829" customFormat="false" ht="15" hidden="false" customHeight="false" outlineLevel="0" collapsed="false">
      <c r="A3829" s="9" t="s">
        <v>1673</v>
      </c>
      <c r="B3829" s="9" t="s">
        <v>446</v>
      </c>
      <c r="C3829" s="9" t="n">
        <v>2</v>
      </c>
      <c r="D3829" s="10" t="n">
        <v>7.95</v>
      </c>
      <c r="E3829" s="10" t="n">
        <f aca="false">C3829*D3829</f>
        <v>15.9</v>
      </c>
    </row>
    <row r="3830" customFormat="false" ht="15" hidden="false" customHeight="false" outlineLevel="0" collapsed="false">
      <c r="A3830" s="9" t="s">
        <v>1673</v>
      </c>
      <c r="B3830" s="9" t="s">
        <v>802</v>
      </c>
      <c r="C3830" s="9" t="n">
        <v>6</v>
      </c>
      <c r="D3830" s="10" t="n">
        <v>2.95</v>
      </c>
      <c r="E3830" s="10" t="n">
        <f aca="false">C3830*D3830</f>
        <v>17.7</v>
      </c>
    </row>
    <row r="3831" customFormat="false" ht="15" hidden="false" customHeight="false" outlineLevel="0" collapsed="false">
      <c r="A3831" s="9" t="s">
        <v>1673</v>
      </c>
      <c r="B3831" s="9" t="s">
        <v>778</v>
      </c>
      <c r="C3831" s="9" t="n">
        <v>3</v>
      </c>
      <c r="D3831" s="10" t="n">
        <v>9.95</v>
      </c>
      <c r="E3831" s="10" t="n">
        <f aca="false">C3831*D3831</f>
        <v>29.85</v>
      </c>
    </row>
    <row r="3832" customFormat="false" ht="15" hidden="false" customHeight="false" outlineLevel="0" collapsed="false">
      <c r="A3832" s="9" t="s">
        <v>1673</v>
      </c>
      <c r="B3832" s="9" t="s">
        <v>1674</v>
      </c>
      <c r="C3832" s="9" t="n">
        <v>2</v>
      </c>
      <c r="D3832" s="10" t="n">
        <v>6.35</v>
      </c>
      <c r="E3832" s="10" t="n">
        <f aca="false">C3832*D3832</f>
        <v>12.7</v>
      </c>
    </row>
    <row r="3833" customFormat="false" ht="15" hidden="false" customHeight="false" outlineLevel="0" collapsed="false">
      <c r="A3833" s="9" t="s">
        <v>1673</v>
      </c>
      <c r="B3833" s="9" t="s">
        <v>913</v>
      </c>
      <c r="C3833" s="9" t="n">
        <v>2</v>
      </c>
      <c r="D3833" s="10" t="n">
        <v>5.45</v>
      </c>
      <c r="E3833" s="10" t="n">
        <f aca="false">C3833*D3833</f>
        <v>10.9</v>
      </c>
    </row>
    <row r="3834" customFormat="false" ht="15" hidden="false" customHeight="false" outlineLevel="0" collapsed="false">
      <c r="A3834" s="9" t="s">
        <v>1673</v>
      </c>
      <c r="B3834" s="9" t="s">
        <v>826</v>
      </c>
      <c r="C3834" s="9" t="n">
        <v>1</v>
      </c>
      <c r="D3834" s="10" t="n">
        <v>10.95</v>
      </c>
      <c r="E3834" s="10" t="n">
        <f aca="false">C3834*D3834</f>
        <v>10.95</v>
      </c>
    </row>
    <row r="3835" customFormat="false" ht="15" hidden="false" customHeight="false" outlineLevel="0" collapsed="false">
      <c r="A3835" s="9" t="s">
        <v>1673</v>
      </c>
      <c r="B3835" s="9" t="s">
        <v>218</v>
      </c>
      <c r="C3835" s="9" t="n">
        <v>3</v>
      </c>
      <c r="D3835" s="10" t="n">
        <v>5.45</v>
      </c>
      <c r="E3835" s="10" t="n">
        <f aca="false">C3835*D3835</f>
        <v>16.35</v>
      </c>
    </row>
    <row r="3836" customFormat="false" ht="15" hidden="false" customHeight="false" outlineLevel="0" collapsed="false">
      <c r="A3836" s="9" t="s">
        <v>1673</v>
      </c>
      <c r="B3836" s="9" t="s">
        <v>1675</v>
      </c>
      <c r="C3836" s="9" t="n">
        <v>2</v>
      </c>
      <c r="D3836" s="10" t="n">
        <v>9.95</v>
      </c>
      <c r="E3836" s="10" t="n">
        <f aca="false">C3836*D3836</f>
        <v>19.9</v>
      </c>
    </row>
    <row r="3837" customFormat="false" ht="15" hidden="false" customHeight="false" outlineLevel="0" collapsed="false">
      <c r="A3837" s="9" t="s">
        <v>1673</v>
      </c>
      <c r="B3837" s="9" t="s">
        <v>1676</v>
      </c>
      <c r="C3837" s="9" t="n">
        <v>1</v>
      </c>
      <c r="D3837" s="10" t="n">
        <v>16.95</v>
      </c>
      <c r="E3837" s="10" t="n">
        <f aca="false">C3837*D3837</f>
        <v>16.95</v>
      </c>
    </row>
    <row r="3838" customFormat="false" ht="15" hidden="false" customHeight="false" outlineLevel="0" collapsed="false">
      <c r="A3838" s="9" t="s">
        <v>1673</v>
      </c>
      <c r="B3838" s="9" t="s">
        <v>303</v>
      </c>
      <c r="C3838" s="9" t="n">
        <v>1</v>
      </c>
      <c r="D3838" s="10" t="n">
        <v>16.95</v>
      </c>
      <c r="E3838" s="10" t="n">
        <f aca="false">C3838*D3838</f>
        <v>16.95</v>
      </c>
    </row>
    <row r="3839" customFormat="false" ht="15" hidden="false" customHeight="false" outlineLevel="0" collapsed="false">
      <c r="A3839" s="9" t="s">
        <v>1673</v>
      </c>
      <c r="B3839" s="9" t="s">
        <v>1610</v>
      </c>
      <c r="C3839" s="9" t="n">
        <v>2</v>
      </c>
      <c r="D3839" s="10" t="n">
        <v>7.95</v>
      </c>
      <c r="E3839" s="10" t="n">
        <f aca="false">C3839*D3839</f>
        <v>15.9</v>
      </c>
    </row>
    <row r="3840" customFormat="false" ht="15" hidden="false" customHeight="false" outlineLevel="0" collapsed="false">
      <c r="A3840" s="9" t="s">
        <v>1673</v>
      </c>
      <c r="B3840" s="9" t="s">
        <v>278</v>
      </c>
      <c r="C3840" s="9" t="n">
        <v>6</v>
      </c>
      <c r="D3840" s="10" t="n">
        <v>2.95</v>
      </c>
      <c r="E3840" s="10" t="n">
        <f aca="false">C3840*D3840</f>
        <v>17.7</v>
      </c>
    </row>
    <row r="3841" customFormat="false" ht="15" hidden="false" customHeight="false" outlineLevel="0" collapsed="false">
      <c r="A3841" s="9" t="s">
        <v>1677</v>
      </c>
      <c r="B3841" s="9" t="s">
        <v>348</v>
      </c>
      <c r="C3841" s="9" t="n">
        <v>6</v>
      </c>
      <c r="D3841" s="10" t="n">
        <v>2.1</v>
      </c>
      <c r="E3841" s="10" t="n">
        <f aca="false">C3841*D3841</f>
        <v>12.6</v>
      </c>
    </row>
    <row r="3842" customFormat="false" ht="15" hidden="false" customHeight="false" outlineLevel="0" collapsed="false">
      <c r="A3842" s="9" t="s">
        <v>1677</v>
      </c>
      <c r="B3842" s="9" t="s">
        <v>200</v>
      </c>
      <c r="C3842" s="9" t="n">
        <v>12</v>
      </c>
      <c r="D3842" s="10" t="n">
        <v>1.45</v>
      </c>
      <c r="E3842" s="10" t="n">
        <f aca="false">C3842*D3842</f>
        <v>17.4</v>
      </c>
    </row>
    <row r="3843" customFormat="false" ht="15" hidden="false" customHeight="false" outlineLevel="0" collapsed="false">
      <c r="A3843" s="9" t="s">
        <v>1677</v>
      </c>
      <c r="B3843" s="9" t="s">
        <v>796</v>
      </c>
      <c r="C3843" s="9" t="n">
        <v>12</v>
      </c>
      <c r="D3843" s="10" t="n">
        <v>1.25</v>
      </c>
      <c r="E3843" s="10" t="n">
        <f aca="false">C3843*D3843</f>
        <v>15</v>
      </c>
    </row>
    <row r="3844" customFormat="false" ht="15" hidden="false" customHeight="false" outlineLevel="0" collapsed="false">
      <c r="A3844" s="9" t="s">
        <v>1677</v>
      </c>
      <c r="B3844" s="9" t="s">
        <v>989</v>
      </c>
      <c r="C3844" s="9" t="n">
        <v>1</v>
      </c>
      <c r="D3844" s="10" t="n">
        <v>9.95</v>
      </c>
      <c r="E3844" s="10" t="n">
        <f aca="false">C3844*D3844</f>
        <v>9.95</v>
      </c>
    </row>
    <row r="3845" customFormat="false" ht="15" hidden="false" customHeight="false" outlineLevel="0" collapsed="false">
      <c r="A3845" s="9" t="s">
        <v>1677</v>
      </c>
      <c r="B3845" s="9" t="s">
        <v>236</v>
      </c>
      <c r="C3845" s="9" t="n">
        <v>12</v>
      </c>
      <c r="D3845" s="10" t="n">
        <v>0.85</v>
      </c>
      <c r="E3845" s="10" t="n">
        <f aca="false">C3845*D3845</f>
        <v>10.2</v>
      </c>
    </row>
    <row r="3846" customFormat="false" ht="15" hidden="false" customHeight="false" outlineLevel="0" collapsed="false">
      <c r="A3846" s="9" t="s">
        <v>1677</v>
      </c>
      <c r="B3846" s="9" t="s">
        <v>235</v>
      </c>
      <c r="C3846" s="9" t="n">
        <v>12</v>
      </c>
      <c r="D3846" s="10" t="n">
        <v>0.85</v>
      </c>
      <c r="E3846" s="10" t="n">
        <f aca="false">C3846*D3846</f>
        <v>10.2</v>
      </c>
    </row>
    <row r="3847" customFormat="false" ht="15" hidden="false" customHeight="false" outlineLevel="0" collapsed="false">
      <c r="A3847" s="9" t="s">
        <v>1677</v>
      </c>
      <c r="B3847" s="9" t="s">
        <v>128</v>
      </c>
      <c r="C3847" s="9" t="n">
        <v>12</v>
      </c>
      <c r="D3847" s="10" t="n">
        <v>1.45</v>
      </c>
      <c r="E3847" s="10" t="n">
        <f aca="false">C3847*D3847</f>
        <v>17.4</v>
      </c>
    </row>
    <row r="3848" customFormat="false" ht="15" hidden="false" customHeight="false" outlineLevel="0" collapsed="false">
      <c r="A3848" s="9" t="s">
        <v>1678</v>
      </c>
      <c r="B3848" s="9" t="s">
        <v>742</v>
      </c>
      <c r="C3848" s="9" t="n">
        <v>12</v>
      </c>
      <c r="D3848" s="10" t="n">
        <v>0.85</v>
      </c>
      <c r="E3848" s="10" t="n">
        <f aca="false">C3848*D3848</f>
        <v>10.2</v>
      </c>
    </row>
    <row r="3849" customFormat="false" ht="15" hidden="false" customHeight="false" outlineLevel="0" collapsed="false">
      <c r="A3849" s="9" t="s">
        <v>1678</v>
      </c>
      <c r="B3849" s="9" t="s">
        <v>251</v>
      </c>
      <c r="C3849" s="9" t="n">
        <v>10</v>
      </c>
      <c r="D3849" s="10" t="n">
        <v>1.65</v>
      </c>
      <c r="E3849" s="10" t="n">
        <f aca="false">C3849*D3849</f>
        <v>16.5</v>
      </c>
    </row>
    <row r="3850" customFormat="false" ht="15" hidden="false" customHeight="false" outlineLevel="0" collapsed="false">
      <c r="A3850" s="9" t="s">
        <v>1678</v>
      </c>
      <c r="B3850" s="9" t="s">
        <v>444</v>
      </c>
      <c r="C3850" s="9" t="n">
        <v>6</v>
      </c>
      <c r="D3850" s="10" t="n">
        <v>2.1</v>
      </c>
      <c r="E3850" s="10" t="n">
        <f aca="false">C3850*D3850</f>
        <v>12.6</v>
      </c>
    </row>
    <row r="3851" customFormat="false" ht="15" hidden="false" customHeight="false" outlineLevel="0" collapsed="false">
      <c r="A3851" s="9" t="s">
        <v>1678</v>
      </c>
      <c r="B3851" s="9" t="s">
        <v>190</v>
      </c>
      <c r="C3851" s="9" t="n">
        <v>12</v>
      </c>
      <c r="D3851" s="10" t="n">
        <v>1.25</v>
      </c>
      <c r="E3851" s="10" t="n">
        <f aca="false">C3851*D3851</f>
        <v>15</v>
      </c>
    </row>
    <row r="3852" customFormat="false" ht="15" hidden="false" customHeight="false" outlineLevel="0" collapsed="false">
      <c r="A3852" s="9" t="s">
        <v>1678</v>
      </c>
      <c r="B3852" s="9" t="s">
        <v>401</v>
      </c>
      <c r="C3852" s="9" t="n">
        <v>12</v>
      </c>
      <c r="D3852" s="10" t="n">
        <v>1.65</v>
      </c>
      <c r="E3852" s="10" t="n">
        <f aca="false">C3852*D3852</f>
        <v>19.8</v>
      </c>
    </row>
    <row r="3853" customFormat="false" ht="15" hidden="false" customHeight="false" outlineLevel="0" collapsed="false">
      <c r="A3853" s="9" t="s">
        <v>1678</v>
      </c>
      <c r="B3853" s="9" t="s">
        <v>449</v>
      </c>
      <c r="C3853" s="9" t="n">
        <v>12</v>
      </c>
      <c r="D3853" s="10" t="n">
        <v>1.65</v>
      </c>
      <c r="E3853" s="10" t="n">
        <f aca="false">C3853*D3853</f>
        <v>19.8</v>
      </c>
    </row>
    <row r="3854" customFormat="false" ht="15" hidden="false" customHeight="false" outlineLevel="0" collapsed="false">
      <c r="A3854" s="9" t="s">
        <v>1678</v>
      </c>
      <c r="B3854" s="9" t="s">
        <v>315</v>
      </c>
      <c r="C3854" s="9" t="n">
        <v>12</v>
      </c>
      <c r="D3854" s="10" t="n">
        <v>1.25</v>
      </c>
      <c r="E3854" s="10" t="n">
        <f aca="false">C3854*D3854</f>
        <v>15</v>
      </c>
    </row>
    <row r="3855" customFormat="false" ht="15" hidden="false" customHeight="false" outlineLevel="0" collapsed="false">
      <c r="A3855" s="9" t="s">
        <v>1678</v>
      </c>
      <c r="B3855" s="9" t="s">
        <v>465</v>
      </c>
      <c r="C3855" s="9" t="n">
        <v>4</v>
      </c>
      <c r="D3855" s="10" t="n">
        <v>4.25</v>
      </c>
      <c r="E3855" s="10" t="n">
        <f aca="false">C3855*D3855</f>
        <v>17</v>
      </c>
    </row>
    <row r="3856" customFormat="false" ht="15" hidden="false" customHeight="false" outlineLevel="0" collapsed="false">
      <c r="A3856" s="9" t="s">
        <v>1678</v>
      </c>
      <c r="B3856" s="9" t="s">
        <v>1679</v>
      </c>
      <c r="C3856" s="9" t="n">
        <v>6</v>
      </c>
      <c r="D3856" s="10" t="n">
        <v>1.25</v>
      </c>
      <c r="E3856" s="10" t="n">
        <f aca="false">C3856*D3856</f>
        <v>7.5</v>
      </c>
    </row>
    <row r="3857" customFormat="false" ht="15" hidden="false" customHeight="false" outlineLevel="0" collapsed="false">
      <c r="A3857" s="9" t="s">
        <v>1678</v>
      </c>
      <c r="B3857" s="9" t="s">
        <v>1680</v>
      </c>
      <c r="C3857" s="9" t="n">
        <v>6</v>
      </c>
      <c r="D3857" s="10" t="n">
        <v>1.25</v>
      </c>
      <c r="E3857" s="10" t="n">
        <f aca="false">C3857*D3857</f>
        <v>7.5</v>
      </c>
    </row>
    <row r="3858" customFormat="false" ht="15" hidden="false" customHeight="false" outlineLevel="0" collapsed="false">
      <c r="A3858" s="9" t="s">
        <v>1678</v>
      </c>
      <c r="B3858" s="9" t="s">
        <v>59</v>
      </c>
      <c r="C3858" s="9" t="n">
        <v>8</v>
      </c>
      <c r="D3858" s="10" t="n">
        <v>1.69</v>
      </c>
      <c r="E3858" s="10" t="n">
        <f aca="false">C3858*D3858</f>
        <v>13.52</v>
      </c>
    </row>
    <row r="3859" customFormat="false" ht="15" hidden="false" customHeight="false" outlineLevel="0" collapsed="false">
      <c r="A3859" s="9" t="s">
        <v>1678</v>
      </c>
      <c r="B3859" s="9" t="s">
        <v>180</v>
      </c>
      <c r="C3859" s="9" t="n">
        <v>6</v>
      </c>
      <c r="D3859" s="10" t="n">
        <v>2.95</v>
      </c>
      <c r="E3859" s="10" t="n">
        <f aca="false">C3859*D3859</f>
        <v>17.7</v>
      </c>
    </row>
    <row r="3860" customFormat="false" ht="15" hidden="false" customHeight="false" outlineLevel="0" collapsed="false">
      <c r="A3860" s="9" t="s">
        <v>1678</v>
      </c>
      <c r="B3860" s="9" t="s">
        <v>1681</v>
      </c>
      <c r="C3860" s="9" t="n">
        <v>6</v>
      </c>
      <c r="D3860" s="10" t="n">
        <v>1.25</v>
      </c>
      <c r="E3860" s="10" t="n">
        <f aca="false">C3860*D3860</f>
        <v>7.5</v>
      </c>
    </row>
    <row r="3861" customFormat="false" ht="15" hidden="false" customHeight="false" outlineLevel="0" collapsed="false">
      <c r="A3861" s="9" t="s">
        <v>1678</v>
      </c>
      <c r="B3861" s="9" t="s">
        <v>1682</v>
      </c>
      <c r="C3861" s="9" t="n">
        <v>6</v>
      </c>
      <c r="D3861" s="10" t="n">
        <v>1.25</v>
      </c>
      <c r="E3861" s="10" t="n">
        <f aca="false">C3861*D3861</f>
        <v>7.5</v>
      </c>
    </row>
    <row r="3862" customFormat="false" ht="15" hidden="false" customHeight="false" outlineLevel="0" collapsed="false">
      <c r="A3862" s="9" t="s">
        <v>1678</v>
      </c>
      <c r="B3862" s="9" t="s">
        <v>1683</v>
      </c>
      <c r="C3862" s="9" t="n">
        <v>12</v>
      </c>
      <c r="D3862" s="10" t="n">
        <v>1.25</v>
      </c>
      <c r="E3862" s="10" t="n">
        <f aca="false">C3862*D3862</f>
        <v>15</v>
      </c>
    </row>
    <row r="3863" customFormat="false" ht="15" hidden="false" customHeight="false" outlineLevel="0" collapsed="false">
      <c r="A3863" s="9" t="s">
        <v>1684</v>
      </c>
      <c r="B3863" s="9" t="s">
        <v>171</v>
      </c>
      <c r="C3863" s="9" t="n">
        <v>1</v>
      </c>
      <c r="D3863" s="10" t="n">
        <v>2.1</v>
      </c>
      <c r="E3863" s="10" t="n">
        <f aca="false">C3863*D3863</f>
        <v>2.1</v>
      </c>
    </row>
    <row r="3864" customFormat="false" ht="15" hidden="false" customHeight="false" outlineLevel="0" collapsed="false">
      <c r="A3864" s="9" t="s">
        <v>1684</v>
      </c>
      <c r="B3864" s="9" t="s">
        <v>250</v>
      </c>
      <c r="C3864" s="9" t="n">
        <v>2</v>
      </c>
      <c r="D3864" s="10" t="n">
        <v>1.49</v>
      </c>
      <c r="E3864" s="10" t="n">
        <f aca="false">C3864*D3864</f>
        <v>2.98</v>
      </c>
    </row>
    <row r="3865" customFormat="false" ht="15" hidden="false" customHeight="false" outlineLevel="0" collapsed="false">
      <c r="A3865" s="9" t="s">
        <v>1684</v>
      </c>
      <c r="B3865" s="9" t="s">
        <v>1685</v>
      </c>
      <c r="C3865" s="9" t="n">
        <v>1</v>
      </c>
      <c r="D3865" s="10" t="n">
        <v>1.45</v>
      </c>
      <c r="E3865" s="10" t="n">
        <f aca="false">C3865*D3865</f>
        <v>1.45</v>
      </c>
    </row>
    <row r="3866" customFormat="false" ht="15" hidden="false" customHeight="false" outlineLevel="0" collapsed="false">
      <c r="A3866" s="9" t="s">
        <v>1684</v>
      </c>
      <c r="B3866" s="9" t="s">
        <v>1686</v>
      </c>
      <c r="C3866" s="9" t="n">
        <v>12</v>
      </c>
      <c r="D3866" s="10" t="n">
        <v>0.42</v>
      </c>
      <c r="E3866" s="10" t="n">
        <f aca="false">C3866*D3866</f>
        <v>5.04</v>
      </c>
    </row>
    <row r="3867" customFormat="false" ht="15" hidden="false" customHeight="false" outlineLevel="0" collapsed="false">
      <c r="A3867" s="9" t="s">
        <v>1684</v>
      </c>
      <c r="B3867" s="9" t="s">
        <v>68</v>
      </c>
      <c r="C3867" s="9" t="n">
        <v>2</v>
      </c>
      <c r="D3867" s="10" t="n">
        <v>1.95</v>
      </c>
      <c r="E3867" s="10" t="n">
        <f aca="false">C3867*D3867</f>
        <v>3.9</v>
      </c>
    </row>
    <row r="3868" customFormat="false" ht="15" hidden="false" customHeight="false" outlineLevel="0" collapsed="false">
      <c r="A3868" s="9" t="s">
        <v>1684</v>
      </c>
      <c r="B3868" s="9" t="s">
        <v>335</v>
      </c>
      <c r="C3868" s="9" t="n">
        <v>1</v>
      </c>
      <c r="D3868" s="10" t="n">
        <v>9.95</v>
      </c>
      <c r="E3868" s="10" t="n">
        <f aca="false">C3868*D3868</f>
        <v>9.95</v>
      </c>
    </row>
    <row r="3869" customFormat="false" ht="15" hidden="false" customHeight="false" outlineLevel="0" collapsed="false">
      <c r="A3869" s="9" t="s">
        <v>1684</v>
      </c>
      <c r="B3869" s="9" t="s">
        <v>421</v>
      </c>
      <c r="C3869" s="9" t="n">
        <v>3</v>
      </c>
      <c r="D3869" s="10" t="n">
        <v>1.65</v>
      </c>
      <c r="E3869" s="10" t="n">
        <f aca="false">C3869*D3869</f>
        <v>4.95</v>
      </c>
    </row>
    <row r="3870" customFormat="false" ht="15" hidden="false" customHeight="false" outlineLevel="0" collapsed="false">
      <c r="A3870" s="9" t="s">
        <v>1684</v>
      </c>
      <c r="B3870" s="9" t="s">
        <v>347</v>
      </c>
      <c r="C3870" s="9" t="n">
        <v>1</v>
      </c>
      <c r="D3870" s="10" t="n">
        <v>0.55</v>
      </c>
      <c r="E3870" s="10" t="n">
        <f aca="false">C3870*D3870</f>
        <v>0.55</v>
      </c>
    </row>
    <row r="3871" customFormat="false" ht="15" hidden="false" customHeight="false" outlineLevel="0" collapsed="false">
      <c r="A3871" s="9" t="s">
        <v>1684</v>
      </c>
      <c r="B3871" s="9" t="s">
        <v>185</v>
      </c>
      <c r="C3871" s="9" t="n">
        <v>1</v>
      </c>
      <c r="D3871" s="10" t="n">
        <v>2.95</v>
      </c>
      <c r="E3871" s="10" t="n">
        <f aca="false">C3871*D3871</f>
        <v>2.95</v>
      </c>
    </row>
    <row r="3872" customFormat="false" ht="15" hidden="false" customHeight="false" outlineLevel="0" collapsed="false">
      <c r="A3872" s="9" t="s">
        <v>1684</v>
      </c>
      <c r="B3872" s="9" t="s">
        <v>666</v>
      </c>
      <c r="C3872" s="9" t="n">
        <v>2</v>
      </c>
      <c r="D3872" s="10" t="n">
        <v>2.1</v>
      </c>
      <c r="E3872" s="10" t="n">
        <f aca="false">C3872*D3872</f>
        <v>4.2</v>
      </c>
    </row>
    <row r="3873" customFormat="false" ht="15" hidden="false" customHeight="false" outlineLevel="0" collapsed="false">
      <c r="A3873" s="9" t="s">
        <v>1684</v>
      </c>
      <c r="B3873" s="9" t="s">
        <v>1687</v>
      </c>
      <c r="C3873" s="9" t="n">
        <v>1</v>
      </c>
      <c r="D3873" s="10" t="n">
        <v>1.45</v>
      </c>
      <c r="E3873" s="10" t="n">
        <f aca="false">C3873*D3873</f>
        <v>1.45</v>
      </c>
    </row>
    <row r="3874" customFormat="false" ht="15" hidden="false" customHeight="false" outlineLevel="0" collapsed="false">
      <c r="A3874" s="9" t="s">
        <v>1684</v>
      </c>
      <c r="B3874" s="9" t="s">
        <v>833</v>
      </c>
      <c r="C3874" s="9" t="n">
        <v>1</v>
      </c>
      <c r="D3874" s="10" t="n">
        <v>2.95</v>
      </c>
      <c r="E3874" s="10" t="n">
        <f aca="false">C3874*D3874</f>
        <v>2.95</v>
      </c>
    </row>
    <row r="3875" customFormat="false" ht="15" hidden="false" customHeight="false" outlineLevel="0" collapsed="false">
      <c r="A3875" s="9" t="s">
        <v>1684</v>
      </c>
      <c r="B3875" s="9" t="s">
        <v>1290</v>
      </c>
      <c r="C3875" s="9" t="n">
        <v>3</v>
      </c>
      <c r="D3875" s="10" t="n">
        <v>1.25</v>
      </c>
      <c r="E3875" s="10" t="n">
        <f aca="false">C3875*D3875</f>
        <v>3.75</v>
      </c>
    </row>
    <row r="3876" customFormat="false" ht="15" hidden="false" customHeight="false" outlineLevel="0" collapsed="false">
      <c r="A3876" s="9" t="s">
        <v>1684</v>
      </c>
      <c r="B3876" s="9" t="s">
        <v>1469</v>
      </c>
      <c r="C3876" s="9" t="n">
        <v>1</v>
      </c>
      <c r="D3876" s="10" t="n">
        <v>1.45</v>
      </c>
      <c r="E3876" s="10" t="n">
        <f aca="false">C3876*D3876</f>
        <v>1.45</v>
      </c>
    </row>
    <row r="3877" customFormat="false" ht="15" hidden="false" customHeight="false" outlineLevel="0" collapsed="false">
      <c r="A3877" s="9" t="s">
        <v>1684</v>
      </c>
      <c r="B3877" s="9" t="s">
        <v>363</v>
      </c>
      <c r="C3877" s="9" t="n">
        <v>1</v>
      </c>
      <c r="D3877" s="10" t="n">
        <v>2.95</v>
      </c>
      <c r="E3877" s="10" t="n">
        <f aca="false">C3877*D3877</f>
        <v>2.95</v>
      </c>
    </row>
    <row r="3878" customFormat="false" ht="15" hidden="false" customHeight="false" outlineLevel="0" collapsed="false">
      <c r="A3878" s="9" t="s">
        <v>1684</v>
      </c>
      <c r="B3878" s="9" t="s">
        <v>1660</v>
      </c>
      <c r="C3878" s="9" t="n">
        <v>1</v>
      </c>
      <c r="D3878" s="10" t="n">
        <v>1.25</v>
      </c>
      <c r="E3878" s="10" t="n">
        <f aca="false">C3878*D3878</f>
        <v>1.25</v>
      </c>
    </row>
    <row r="3879" customFormat="false" ht="15" hidden="false" customHeight="false" outlineLevel="0" collapsed="false">
      <c r="A3879" s="9" t="s">
        <v>1684</v>
      </c>
      <c r="B3879" s="9" t="s">
        <v>475</v>
      </c>
      <c r="C3879" s="9" t="n">
        <v>1</v>
      </c>
      <c r="D3879" s="10" t="n">
        <v>1.65</v>
      </c>
      <c r="E3879" s="10" t="n">
        <f aca="false">C3879*D3879</f>
        <v>1.65</v>
      </c>
    </row>
    <row r="3880" customFormat="false" ht="15" hidden="false" customHeight="false" outlineLevel="0" collapsed="false">
      <c r="A3880" s="9" t="s">
        <v>1684</v>
      </c>
      <c r="B3880" s="9" t="s">
        <v>802</v>
      </c>
      <c r="C3880" s="9" t="n">
        <v>2</v>
      </c>
      <c r="D3880" s="10" t="n">
        <v>2.95</v>
      </c>
      <c r="E3880" s="10" t="n">
        <f aca="false">C3880*D3880</f>
        <v>5.9</v>
      </c>
    </row>
    <row r="3881" customFormat="false" ht="15" hidden="false" customHeight="false" outlineLevel="0" collapsed="false">
      <c r="A3881" s="9" t="s">
        <v>1684</v>
      </c>
      <c r="B3881" s="9" t="s">
        <v>251</v>
      </c>
      <c r="C3881" s="9" t="n">
        <v>1</v>
      </c>
      <c r="D3881" s="10" t="n">
        <v>1.65</v>
      </c>
      <c r="E3881" s="10" t="n">
        <f aca="false">C3881*D3881</f>
        <v>1.65</v>
      </c>
    </row>
    <row r="3882" customFormat="false" ht="15" hidden="false" customHeight="false" outlineLevel="0" collapsed="false">
      <c r="A3882" s="9" t="s">
        <v>1684</v>
      </c>
      <c r="B3882" s="9" t="s">
        <v>392</v>
      </c>
      <c r="C3882" s="9" t="n">
        <v>12</v>
      </c>
      <c r="D3882" s="10" t="n">
        <v>1.65</v>
      </c>
      <c r="E3882" s="10" t="n">
        <f aca="false">C3882*D3882</f>
        <v>19.8</v>
      </c>
    </row>
    <row r="3883" customFormat="false" ht="15" hidden="false" customHeight="false" outlineLevel="0" collapsed="false">
      <c r="A3883" s="9" t="s">
        <v>1684</v>
      </c>
      <c r="B3883" s="9" t="s">
        <v>183</v>
      </c>
      <c r="C3883" s="9" t="n">
        <v>8</v>
      </c>
      <c r="D3883" s="10" t="n">
        <v>0.65</v>
      </c>
      <c r="E3883" s="10" t="n">
        <f aca="false">C3883*D3883</f>
        <v>5.2</v>
      </c>
    </row>
    <row r="3884" customFormat="false" ht="15" hidden="false" customHeight="false" outlineLevel="0" collapsed="false">
      <c r="A3884" s="9" t="s">
        <v>1684</v>
      </c>
      <c r="B3884" s="9" t="s">
        <v>746</v>
      </c>
      <c r="C3884" s="9" t="n">
        <v>1</v>
      </c>
      <c r="D3884" s="10" t="n">
        <v>1.65</v>
      </c>
      <c r="E3884" s="10" t="n">
        <f aca="false">C3884*D3884</f>
        <v>1.65</v>
      </c>
    </row>
    <row r="3885" customFormat="false" ht="15" hidden="false" customHeight="false" outlineLevel="0" collapsed="false">
      <c r="A3885" s="9" t="s">
        <v>1684</v>
      </c>
      <c r="B3885" s="9" t="s">
        <v>179</v>
      </c>
      <c r="C3885" s="9" t="n">
        <v>2</v>
      </c>
      <c r="D3885" s="10" t="n">
        <v>1.65</v>
      </c>
      <c r="E3885" s="10" t="n">
        <f aca="false">C3885*D3885</f>
        <v>3.3</v>
      </c>
    </row>
    <row r="3886" customFormat="false" ht="15" hidden="false" customHeight="false" outlineLevel="0" collapsed="false">
      <c r="A3886" s="9" t="s">
        <v>1684</v>
      </c>
      <c r="B3886" s="9" t="s">
        <v>740</v>
      </c>
      <c r="C3886" s="9" t="n">
        <v>1</v>
      </c>
      <c r="D3886" s="10" t="n">
        <v>1.65</v>
      </c>
      <c r="E3886" s="10" t="n">
        <f aca="false">C3886*D3886</f>
        <v>1.65</v>
      </c>
    </row>
    <row r="3887" customFormat="false" ht="15" hidden="false" customHeight="false" outlineLevel="0" collapsed="false">
      <c r="A3887" s="9" t="s">
        <v>1684</v>
      </c>
      <c r="B3887" s="9" t="s">
        <v>88</v>
      </c>
      <c r="C3887" s="9" t="n">
        <v>1</v>
      </c>
      <c r="D3887" s="10" t="n">
        <v>2.95</v>
      </c>
      <c r="E3887" s="10" t="n">
        <f aca="false">C3887*D3887</f>
        <v>2.95</v>
      </c>
    </row>
    <row r="3888" customFormat="false" ht="15" hidden="false" customHeight="false" outlineLevel="0" collapsed="false">
      <c r="A3888" s="9" t="s">
        <v>1684</v>
      </c>
      <c r="B3888" s="9" t="s">
        <v>447</v>
      </c>
      <c r="C3888" s="9" t="n">
        <v>2</v>
      </c>
      <c r="D3888" s="10" t="n">
        <v>1.25</v>
      </c>
      <c r="E3888" s="10" t="n">
        <f aca="false">C3888*D3888</f>
        <v>2.5</v>
      </c>
    </row>
    <row r="3889" customFormat="false" ht="15" hidden="false" customHeight="false" outlineLevel="0" collapsed="false">
      <c r="A3889" s="9" t="s">
        <v>1684</v>
      </c>
      <c r="B3889" s="9" t="s">
        <v>1040</v>
      </c>
      <c r="C3889" s="9" t="n">
        <v>2</v>
      </c>
      <c r="D3889" s="10" t="n">
        <v>4.25</v>
      </c>
      <c r="E3889" s="10" t="n">
        <f aca="false">C3889*D3889</f>
        <v>8.5</v>
      </c>
    </row>
    <row r="3890" customFormat="false" ht="15" hidden="false" customHeight="false" outlineLevel="0" collapsed="false">
      <c r="A3890" s="9" t="s">
        <v>1684</v>
      </c>
      <c r="B3890" s="9" t="s">
        <v>701</v>
      </c>
      <c r="C3890" s="9" t="n">
        <v>1</v>
      </c>
      <c r="D3890" s="10" t="n">
        <v>1.95</v>
      </c>
      <c r="E3890" s="10" t="n">
        <f aca="false">C3890*D3890</f>
        <v>1.95</v>
      </c>
    </row>
    <row r="3891" customFormat="false" ht="15" hidden="false" customHeight="false" outlineLevel="0" collapsed="false">
      <c r="A3891" s="9" t="s">
        <v>1684</v>
      </c>
      <c r="B3891" s="9" t="s">
        <v>912</v>
      </c>
      <c r="C3891" s="9" t="n">
        <v>2</v>
      </c>
      <c r="D3891" s="10" t="n">
        <v>4.95</v>
      </c>
      <c r="E3891" s="10" t="n">
        <f aca="false">C3891*D3891</f>
        <v>9.9</v>
      </c>
    </row>
    <row r="3892" customFormat="false" ht="15" hidden="false" customHeight="false" outlineLevel="0" collapsed="false">
      <c r="A3892" s="9" t="s">
        <v>1684</v>
      </c>
      <c r="B3892" s="9" t="s">
        <v>210</v>
      </c>
      <c r="C3892" s="9" t="n">
        <v>1</v>
      </c>
      <c r="D3892" s="10" t="n">
        <v>0.85</v>
      </c>
      <c r="E3892" s="10" t="n">
        <f aca="false">C3892*D3892</f>
        <v>0.85</v>
      </c>
    </row>
    <row r="3893" customFormat="false" ht="15" hidden="false" customHeight="false" outlineLevel="0" collapsed="false">
      <c r="A3893" s="9" t="s">
        <v>1684</v>
      </c>
      <c r="B3893" s="9" t="s">
        <v>813</v>
      </c>
      <c r="C3893" s="9" t="n">
        <v>1</v>
      </c>
      <c r="D3893" s="10" t="n">
        <v>0.42</v>
      </c>
      <c r="E3893" s="10" t="n">
        <f aca="false">C3893*D3893</f>
        <v>0.42</v>
      </c>
    </row>
    <row r="3894" customFormat="false" ht="15" hidden="false" customHeight="false" outlineLevel="0" collapsed="false">
      <c r="A3894" s="9" t="s">
        <v>1684</v>
      </c>
      <c r="B3894" s="9" t="s">
        <v>350</v>
      </c>
      <c r="C3894" s="9" t="n">
        <v>1</v>
      </c>
      <c r="D3894" s="10" t="n">
        <v>1.25</v>
      </c>
      <c r="E3894" s="10" t="n">
        <f aca="false">C3894*D3894</f>
        <v>1.25</v>
      </c>
    </row>
    <row r="3895" customFormat="false" ht="15" hidden="false" customHeight="false" outlineLevel="0" collapsed="false">
      <c r="A3895" s="9" t="s">
        <v>1684</v>
      </c>
      <c r="B3895" s="9" t="s">
        <v>1290</v>
      </c>
      <c r="C3895" s="9" t="n">
        <v>1</v>
      </c>
      <c r="D3895" s="10" t="n">
        <v>1.25</v>
      </c>
      <c r="E3895" s="10" t="n">
        <f aca="false">C3895*D3895</f>
        <v>1.25</v>
      </c>
    </row>
    <row r="3896" customFormat="false" ht="15" hidden="false" customHeight="false" outlineLevel="0" collapsed="false">
      <c r="A3896" s="9" t="s">
        <v>1684</v>
      </c>
      <c r="B3896" s="9" t="s">
        <v>881</v>
      </c>
      <c r="C3896" s="9" t="n">
        <v>6</v>
      </c>
      <c r="D3896" s="10" t="n">
        <v>1.69</v>
      </c>
      <c r="E3896" s="10" t="n">
        <f aca="false">C3896*D3896</f>
        <v>10.14</v>
      </c>
    </row>
    <row r="3897" customFormat="false" ht="15" hidden="false" customHeight="false" outlineLevel="0" collapsed="false">
      <c r="A3897" s="9" t="s">
        <v>1684</v>
      </c>
      <c r="B3897" s="9" t="s">
        <v>379</v>
      </c>
      <c r="C3897" s="9" t="n">
        <v>1</v>
      </c>
      <c r="D3897" s="10" t="n">
        <v>1.65</v>
      </c>
      <c r="E3897" s="10" t="n">
        <f aca="false">C3897*D3897</f>
        <v>1.65</v>
      </c>
    </row>
    <row r="3898" customFormat="false" ht="15" hidden="false" customHeight="false" outlineLevel="0" collapsed="false">
      <c r="A3898" s="9" t="s">
        <v>1684</v>
      </c>
      <c r="B3898" s="9" t="s">
        <v>313</v>
      </c>
      <c r="C3898" s="9" t="n">
        <v>1</v>
      </c>
      <c r="D3898" s="10" t="n">
        <v>3.35</v>
      </c>
      <c r="E3898" s="10" t="n">
        <f aca="false">C3898*D3898</f>
        <v>3.35</v>
      </c>
    </row>
    <row r="3899" customFormat="false" ht="15" hidden="false" customHeight="false" outlineLevel="0" collapsed="false">
      <c r="A3899" s="9" t="s">
        <v>1684</v>
      </c>
      <c r="B3899" s="9" t="s">
        <v>1688</v>
      </c>
      <c r="C3899" s="9" t="n">
        <v>1</v>
      </c>
      <c r="D3899" s="10" t="n">
        <v>3.35</v>
      </c>
      <c r="E3899" s="10" t="n">
        <f aca="false">C3899*D3899</f>
        <v>3.35</v>
      </c>
    </row>
    <row r="3900" customFormat="false" ht="15" hidden="false" customHeight="false" outlineLevel="0" collapsed="false">
      <c r="A3900" s="9" t="s">
        <v>1684</v>
      </c>
      <c r="B3900" s="9" t="s">
        <v>1478</v>
      </c>
      <c r="C3900" s="9" t="n">
        <v>1</v>
      </c>
      <c r="D3900" s="10" t="n">
        <v>3.75</v>
      </c>
      <c r="E3900" s="10" t="n">
        <f aca="false">C3900*D3900</f>
        <v>3.75</v>
      </c>
    </row>
    <row r="3901" customFormat="false" ht="15" hidden="false" customHeight="false" outlineLevel="0" collapsed="false">
      <c r="A3901" s="9" t="s">
        <v>1684</v>
      </c>
      <c r="B3901" s="9" t="s">
        <v>1689</v>
      </c>
      <c r="C3901" s="9" t="n">
        <v>2</v>
      </c>
      <c r="D3901" s="10" t="n">
        <v>2.95</v>
      </c>
      <c r="E3901" s="10" t="n">
        <f aca="false">C3901*D3901</f>
        <v>5.9</v>
      </c>
    </row>
    <row r="3902" customFormat="false" ht="15" hidden="false" customHeight="false" outlineLevel="0" collapsed="false">
      <c r="A3902" s="9" t="s">
        <v>1684</v>
      </c>
      <c r="B3902" s="9" t="s">
        <v>1690</v>
      </c>
      <c r="C3902" s="9" t="n">
        <v>5</v>
      </c>
      <c r="D3902" s="10" t="n">
        <v>0.42</v>
      </c>
      <c r="E3902" s="10" t="n">
        <f aca="false">C3902*D3902</f>
        <v>2.1</v>
      </c>
    </row>
    <row r="3903" customFormat="false" ht="15" hidden="false" customHeight="false" outlineLevel="0" collapsed="false">
      <c r="A3903" s="9" t="s">
        <v>1684</v>
      </c>
      <c r="B3903" s="9" t="s">
        <v>1691</v>
      </c>
      <c r="C3903" s="9" t="n">
        <v>3</v>
      </c>
      <c r="D3903" s="10" t="n">
        <v>2.1</v>
      </c>
      <c r="E3903" s="10" t="n">
        <f aca="false">C3903*D3903</f>
        <v>6.3</v>
      </c>
    </row>
    <row r="3904" customFormat="false" ht="15" hidden="false" customHeight="false" outlineLevel="0" collapsed="false">
      <c r="A3904" s="9" t="s">
        <v>1684</v>
      </c>
      <c r="B3904" s="9" t="s">
        <v>1137</v>
      </c>
      <c r="C3904" s="9" t="n">
        <v>1</v>
      </c>
      <c r="D3904" s="10" t="n">
        <v>5.95</v>
      </c>
      <c r="E3904" s="10" t="n">
        <f aca="false">C3904*D3904</f>
        <v>5.95</v>
      </c>
    </row>
    <row r="3905" customFormat="false" ht="15" hidden="false" customHeight="false" outlineLevel="0" collapsed="false">
      <c r="A3905" s="9" t="s">
        <v>1684</v>
      </c>
      <c r="B3905" s="9" t="s">
        <v>572</v>
      </c>
      <c r="C3905" s="9" t="n">
        <v>1</v>
      </c>
      <c r="D3905" s="10" t="n">
        <v>1.65</v>
      </c>
      <c r="E3905" s="10" t="n">
        <f aca="false">C3905*D3905</f>
        <v>1.65</v>
      </c>
    </row>
    <row r="3906" customFormat="false" ht="15" hidden="false" customHeight="false" outlineLevel="0" collapsed="false">
      <c r="A3906" s="9" t="s">
        <v>1684</v>
      </c>
      <c r="B3906" s="9" t="s">
        <v>580</v>
      </c>
      <c r="C3906" s="9" t="n">
        <v>1</v>
      </c>
      <c r="D3906" s="10" t="n">
        <v>2.95</v>
      </c>
      <c r="E3906" s="10" t="n">
        <f aca="false">C3906*D3906</f>
        <v>2.95</v>
      </c>
    </row>
    <row r="3907" customFormat="false" ht="15" hidden="false" customHeight="false" outlineLevel="0" collapsed="false">
      <c r="A3907" s="9" t="s">
        <v>1684</v>
      </c>
      <c r="B3907" s="9" t="s">
        <v>1692</v>
      </c>
      <c r="C3907" s="9" t="n">
        <v>1</v>
      </c>
      <c r="D3907" s="10" t="n">
        <v>4.95</v>
      </c>
      <c r="E3907" s="10" t="n">
        <f aca="false">C3907*D3907</f>
        <v>4.95</v>
      </c>
    </row>
    <row r="3908" customFormat="false" ht="15" hidden="false" customHeight="false" outlineLevel="0" collapsed="false">
      <c r="A3908" s="9" t="s">
        <v>1684</v>
      </c>
      <c r="B3908" s="9" t="s">
        <v>109</v>
      </c>
      <c r="C3908" s="9" t="n">
        <v>1</v>
      </c>
      <c r="D3908" s="10" t="n">
        <v>1.95</v>
      </c>
      <c r="E3908" s="10" t="n">
        <f aca="false">C3908*D3908</f>
        <v>1.95</v>
      </c>
    </row>
    <row r="3909" customFormat="false" ht="15" hidden="false" customHeight="false" outlineLevel="0" collapsed="false">
      <c r="A3909" s="9" t="s">
        <v>1684</v>
      </c>
      <c r="B3909" s="9" t="s">
        <v>253</v>
      </c>
      <c r="C3909" s="9" t="n">
        <v>1</v>
      </c>
      <c r="D3909" s="10" t="n">
        <v>3.75</v>
      </c>
      <c r="E3909" s="10" t="n">
        <f aca="false">C3909*D3909</f>
        <v>3.75</v>
      </c>
    </row>
    <row r="3910" customFormat="false" ht="15" hidden="false" customHeight="false" outlineLevel="0" collapsed="false">
      <c r="A3910" s="9" t="s">
        <v>1684</v>
      </c>
      <c r="B3910" s="9" t="s">
        <v>215</v>
      </c>
      <c r="C3910" s="9" t="n">
        <v>1</v>
      </c>
      <c r="D3910" s="10" t="n">
        <v>8.5</v>
      </c>
      <c r="E3910" s="10" t="n">
        <f aca="false">C3910*D3910</f>
        <v>8.5</v>
      </c>
    </row>
    <row r="3911" customFormat="false" ht="15" hidden="false" customHeight="false" outlineLevel="0" collapsed="false">
      <c r="A3911" s="9" t="s">
        <v>1684</v>
      </c>
      <c r="B3911" s="9" t="s">
        <v>1101</v>
      </c>
      <c r="C3911" s="9" t="n">
        <v>1</v>
      </c>
      <c r="D3911" s="10" t="n">
        <v>7.95</v>
      </c>
      <c r="E3911" s="10" t="n">
        <f aca="false">C3911*D3911</f>
        <v>7.95</v>
      </c>
    </row>
    <row r="3912" customFormat="false" ht="15" hidden="false" customHeight="false" outlineLevel="0" collapsed="false">
      <c r="A3912" s="9" t="s">
        <v>1693</v>
      </c>
      <c r="B3912" s="9" t="s">
        <v>1091</v>
      </c>
      <c r="C3912" s="9" t="n">
        <v>1</v>
      </c>
      <c r="D3912" s="10" t="n">
        <v>4.95</v>
      </c>
      <c r="E3912" s="10" t="n">
        <f aca="false">C3912*D3912</f>
        <v>4.95</v>
      </c>
    </row>
    <row r="3913" customFormat="false" ht="15" hidden="false" customHeight="false" outlineLevel="0" collapsed="false">
      <c r="A3913" s="9" t="s">
        <v>1693</v>
      </c>
      <c r="B3913" s="9" t="s">
        <v>1694</v>
      </c>
      <c r="C3913" s="9" t="n">
        <v>1</v>
      </c>
      <c r="D3913" s="10" t="n">
        <v>2.55</v>
      </c>
      <c r="E3913" s="10" t="n">
        <f aca="false">C3913*D3913</f>
        <v>2.55</v>
      </c>
    </row>
    <row r="3914" customFormat="false" ht="15" hidden="false" customHeight="false" outlineLevel="0" collapsed="false">
      <c r="A3914" s="9" t="s">
        <v>1693</v>
      </c>
      <c r="B3914" s="9" t="s">
        <v>1695</v>
      </c>
      <c r="C3914" s="9" t="n">
        <v>1</v>
      </c>
      <c r="D3914" s="10" t="n">
        <v>4.95</v>
      </c>
      <c r="E3914" s="10" t="n">
        <f aca="false">C3914*D3914</f>
        <v>4.95</v>
      </c>
    </row>
    <row r="3915" customFormat="false" ht="15" hidden="false" customHeight="false" outlineLevel="0" collapsed="false">
      <c r="A3915" s="9" t="s">
        <v>1693</v>
      </c>
      <c r="B3915" s="9" t="s">
        <v>259</v>
      </c>
      <c r="C3915" s="9" t="n">
        <v>1</v>
      </c>
      <c r="D3915" s="10" t="n">
        <v>3.75</v>
      </c>
      <c r="E3915" s="10" t="n">
        <f aca="false">C3915*D3915</f>
        <v>3.75</v>
      </c>
    </row>
    <row r="3916" customFormat="false" ht="15" hidden="false" customHeight="false" outlineLevel="0" collapsed="false">
      <c r="A3916" s="9" t="s">
        <v>1693</v>
      </c>
      <c r="B3916" s="9" t="s">
        <v>243</v>
      </c>
      <c r="C3916" s="9" t="n">
        <v>1</v>
      </c>
      <c r="D3916" s="10" t="n">
        <v>1.25</v>
      </c>
      <c r="E3916" s="10" t="n">
        <f aca="false">C3916*D3916</f>
        <v>1.25</v>
      </c>
    </row>
    <row r="3917" customFormat="false" ht="15" hidden="false" customHeight="false" outlineLevel="0" collapsed="false">
      <c r="A3917" s="9" t="s">
        <v>1693</v>
      </c>
      <c r="B3917" s="9" t="s">
        <v>1696</v>
      </c>
      <c r="C3917" s="9" t="n">
        <v>1</v>
      </c>
      <c r="D3917" s="10" t="n">
        <v>2.55</v>
      </c>
      <c r="E3917" s="10" t="n">
        <f aca="false">C3917*D3917</f>
        <v>2.55</v>
      </c>
    </row>
    <row r="3918" customFormat="false" ht="15" hidden="false" customHeight="false" outlineLevel="0" collapsed="false">
      <c r="A3918" s="9" t="s">
        <v>1693</v>
      </c>
      <c r="B3918" s="9" t="s">
        <v>1697</v>
      </c>
      <c r="C3918" s="9" t="n">
        <v>2</v>
      </c>
      <c r="D3918" s="10" t="n">
        <v>2.55</v>
      </c>
      <c r="E3918" s="10" t="n">
        <f aca="false">C3918*D3918</f>
        <v>5.1</v>
      </c>
    </row>
    <row r="3919" customFormat="false" ht="15" hidden="false" customHeight="false" outlineLevel="0" collapsed="false">
      <c r="A3919" s="9" t="s">
        <v>1693</v>
      </c>
      <c r="B3919" s="9" t="s">
        <v>224</v>
      </c>
      <c r="C3919" s="9" t="n">
        <v>5</v>
      </c>
      <c r="D3919" s="10" t="n">
        <v>5.95</v>
      </c>
      <c r="E3919" s="10" t="n">
        <f aca="false">C3919*D3919</f>
        <v>29.75</v>
      </c>
    </row>
    <row r="3920" customFormat="false" ht="15" hidden="false" customHeight="false" outlineLevel="0" collapsed="false">
      <c r="A3920" s="9" t="s">
        <v>1693</v>
      </c>
      <c r="B3920" s="9" t="s">
        <v>690</v>
      </c>
      <c r="C3920" s="9" t="n">
        <v>2</v>
      </c>
      <c r="D3920" s="10" t="n">
        <v>1.95</v>
      </c>
      <c r="E3920" s="10" t="n">
        <f aca="false">C3920*D3920</f>
        <v>3.9</v>
      </c>
    </row>
    <row r="3921" customFormat="false" ht="15" hidden="false" customHeight="false" outlineLevel="0" collapsed="false">
      <c r="A3921" s="9" t="s">
        <v>1693</v>
      </c>
      <c r="B3921" s="9" t="s">
        <v>1407</v>
      </c>
      <c r="C3921" s="9" t="n">
        <v>48</v>
      </c>
      <c r="D3921" s="10" t="n">
        <v>0.42</v>
      </c>
      <c r="E3921" s="10" t="n">
        <f aca="false">C3921*D3921</f>
        <v>20.16</v>
      </c>
    </row>
    <row r="3922" customFormat="false" ht="15" hidden="false" customHeight="false" outlineLevel="0" collapsed="false">
      <c r="A3922" s="9" t="s">
        <v>1693</v>
      </c>
      <c r="B3922" s="9" t="s">
        <v>1698</v>
      </c>
      <c r="C3922" s="9" t="n">
        <v>2</v>
      </c>
      <c r="D3922" s="10" t="n">
        <v>9.95</v>
      </c>
      <c r="E3922" s="10" t="n">
        <f aca="false">C3922*D3922</f>
        <v>19.9</v>
      </c>
    </row>
    <row r="3923" customFormat="false" ht="15" hidden="false" customHeight="false" outlineLevel="0" collapsed="false">
      <c r="A3923" s="9" t="s">
        <v>1693</v>
      </c>
      <c r="B3923" s="9" t="s">
        <v>414</v>
      </c>
      <c r="C3923" s="9" t="n">
        <v>2</v>
      </c>
      <c r="D3923" s="10" t="n">
        <v>6.75</v>
      </c>
      <c r="E3923" s="10" t="n">
        <f aca="false">C3923*D3923</f>
        <v>13.5</v>
      </c>
    </row>
    <row r="3924" customFormat="false" ht="15" hidden="false" customHeight="false" outlineLevel="0" collapsed="false">
      <c r="A3924" s="9" t="s">
        <v>1693</v>
      </c>
      <c r="B3924" s="9" t="s">
        <v>391</v>
      </c>
      <c r="C3924" s="9" t="n">
        <v>6</v>
      </c>
      <c r="D3924" s="10" t="n">
        <v>1.65</v>
      </c>
      <c r="E3924" s="10" t="n">
        <f aca="false">C3924*D3924</f>
        <v>9.9</v>
      </c>
    </row>
    <row r="3925" customFormat="false" ht="15" hidden="false" customHeight="false" outlineLevel="0" collapsed="false">
      <c r="A3925" s="9" t="s">
        <v>1693</v>
      </c>
      <c r="B3925" s="9" t="s">
        <v>842</v>
      </c>
      <c r="C3925" s="9" t="n">
        <v>4</v>
      </c>
      <c r="D3925" s="10" t="n">
        <v>3.75</v>
      </c>
      <c r="E3925" s="10" t="n">
        <f aca="false">C3925*D3925</f>
        <v>15</v>
      </c>
    </row>
    <row r="3926" customFormat="false" ht="15" hidden="false" customHeight="false" outlineLevel="0" collapsed="false">
      <c r="A3926" s="9" t="s">
        <v>1693</v>
      </c>
      <c r="B3926" s="9" t="s">
        <v>1528</v>
      </c>
      <c r="C3926" s="9" t="n">
        <v>1</v>
      </c>
      <c r="D3926" s="10" t="n">
        <v>0.42</v>
      </c>
      <c r="E3926" s="10" t="n">
        <f aca="false">C3926*D3926</f>
        <v>0.42</v>
      </c>
    </row>
    <row r="3927" customFormat="false" ht="15" hidden="false" customHeight="false" outlineLevel="0" collapsed="false">
      <c r="A3927" s="9" t="s">
        <v>1693</v>
      </c>
      <c r="B3927" s="9" t="s">
        <v>477</v>
      </c>
      <c r="C3927" s="9" t="n">
        <v>2</v>
      </c>
      <c r="D3927" s="10" t="n">
        <v>1.65</v>
      </c>
      <c r="E3927" s="10" t="n">
        <f aca="false">C3927*D3927</f>
        <v>3.3</v>
      </c>
    </row>
    <row r="3928" customFormat="false" ht="15" hidden="false" customHeight="false" outlineLevel="0" collapsed="false">
      <c r="A3928" s="9" t="s">
        <v>1693</v>
      </c>
      <c r="B3928" s="9" t="s">
        <v>1699</v>
      </c>
      <c r="C3928" s="9" t="n">
        <v>2</v>
      </c>
      <c r="D3928" s="10" t="n">
        <v>1.65</v>
      </c>
      <c r="E3928" s="10" t="n">
        <f aca="false">C3928*D3928</f>
        <v>3.3</v>
      </c>
    </row>
    <row r="3929" customFormat="false" ht="15" hidden="false" customHeight="false" outlineLevel="0" collapsed="false">
      <c r="A3929" s="9" t="s">
        <v>1693</v>
      </c>
      <c r="B3929" s="9" t="s">
        <v>387</v>
      </c>
      <c r="C3929" s="9" t="n">
        <v>1</v>
      </c>
      <c r="D3929" s="10" t="n">
        <v>1.25</v>
      </c>
      <c r="E3929" s="10" t="n">
        <f aca="false">C3929*D3929</f>
        <v>1.25</v>
      </c>
    </row>
    <row r="3930" customFormat="false" ht="15" hidden="false" customHeight="false" outlineLevel="0" collapsed="false">
      <c r="A3930" s="9" t="s">
        <v>1693</v>
      </c>
      <c r="B3930" s="9" t="s">
        <v>876</v>
      </c>
      <c r="C3930" s="9" t="n">
        <v>1</v>
      </c>
      <c r="D3930" s="10" t="n">
        <v>7.95</v>
      </c>
      <c r="E3930" s="10" t="n">
        <f aca="false">C3930*D3930</f>
        <v>7.95</v>
      </c>
    </row>
    <row r="3931" customFormat="false" ht="15" hidden="false" customHeight="false" outlineLevel="0" collapsed="false">
      <c r="A3931" s="9" t="s">
        <v>1693</v>
      </c>
      <c r="B3931" s="9" t="s">
        <v>1700</v>
      </c>
      <c r="C3931" s="9" t="n">
        <v>25</v>
      </c>
      <c r="D3931" s="10" t="n">
        <v>0.42</v>
      </c>
      <c r="E3931" s="10" t="n">
        <f aca="false">C3931*D3931</f>
        <v>10.5</v>
      </c>
    </row>
    <row r="3932" customFormat="false" ht="15" hidden="false" customHeight="false" outlineLevel="0" collapsed="false">
      <c r="A3932" s="9" t="s">
        <v>1693</v>
      </c>
      <c r="B3932" s="9" t="s">
        <v>1701</v>
      </c>
      <c r="C3932" s="9" t="n">
        <v>1</v>
      </c>
      <c r="D3932" s="10" t="n">
        <v>8.95</v>
      </c>
      <c r="E3932" s="10" t="n">
        <f aca="false">C3932*D3932</f>
        <v>8.95</v>
      </c>
    </row>
    <row r="3933" customFormat="false" ht="15" hidden="false" customHeight="false" outlineLevel="0" collapsed="false">
      <c r="A3933" s="9" t="s">
        <v>1693</v>
      </c>
      <c r="B3933" s="9" t="s">
        <v>1702</v>
      </c>
      <c r="C3933" s="9" t="n">
        <v>1</v>
      </c>
      <c r="D3933" s="10" t="n">
        <v>9.95</v>
      </c>
      <c r="E3933" s="10" t="n">
        <f aca="false">C3933*D3933</f>
        <v>9.95</v>
      </c>
    </row>
    <row r="3934" customFormat="false" ht="15" hidden="false" customHeight="false" outlineLevel="0" collapsed="false">
      <c r="A3934" s="9" t="s">
        <v>1693</v>
      </c>
      <c r="B3934" s="9" t="s">
        <v>1703</v>
      </c>
      <c r="C3934" s="9" t="n">
        <v>1</v>
      </c>
      <c r="D3934" s="10" t="n">
        <v>11.95</v>
      </c>
      <c r="E3934" s="10" t="n">
        <f aca="false">C3934*D3934</f>
        <v>11.95</v>
      </c>
    </row>
    <row r="3935" customFormat="false" ht="15" hidden="false" customHeight="false" outlineLevel="0" collapsed="false">
      <c r="A3935" s="9" t="s">
        <v>1693</v>
      </c>
      <c r="B3935" s="9" t="s">
        <v>1329</v>
      </c>
      <c r="C3935" s="9" t="n">
        <v>1</v>
      </c>
      <c r="D3935" s="10" t="n">
        <v>2.1</v>
      </c>
      <c r="E3935" s="10" t="n">
        <f aca="false">C3935*D3935</f>
        <v>2.1</v>
      </c>
    </row>
    <row r="3936" customFormat="false" ht="15" hidden="false" customHeight="false" outlineLevel="0" collapsed="false">
      <c r="A3936" s="9" t="s">
        <v>1693</v>
      </c>
      <c r="B3936" s="9" t="s">
        <v>58</v>
      </c>
      <c r="C3936" s="9" t="n">
        <v>1</v>
      </c>
      <c r="D3936" s="10" t="n">
        <v>2.1</v>
      </c>
      <c r="E3936" s="10" t="n">
        <f aca="false">C3936*D3936</f>
        <v>2.1</v>
      </c>
    </row>
    <row r="3937" customFormat="false" ht="15" hidden="false" customHeight="false" outlineLevel="0" collapsed="false">
      <c r="A3937" s="9" t="s">
        <v>1693</v>
      </c>
      <c r="B3937" s="9" t="s">
        <v>476</v>
      </c>
      <c r="C3937" s="9" t="n">
        <v>1</v>
      </c>
      <c r="D3937" s="10" t="n">
        <v>1.65</v>
      </c>
      <c r="E3937" s="10" t="n">
        <f aca="false">C3937*D3937</f>
        <v>1.65</v>
      </c>
    </row>
    <row r="3938" customFormat="false" ht="15" hidden="false" customHeight="false" outlineLevel="0" collapsed="false">
      <c r="A3938" s="9" t="s">
        <v>1693</v>
      </c>
      <c r="B3938" s="9" t="s">
        <v>638</v>
      </c>
      <c r="C3938" s="9" t="n">
        <v>12</v>
      </c>
      <c r="D3938" s="10" t="n">
        <v>0.42</v>
      </c>
      <c r="E3938" s="10" t="n">
        <f aca="false">C3938*D3938</f>
        <v>5.04</v>
      </c>
    </row>
    <row r="3939" customFormat="false" ht="15" hidden="false" customHeight="false" outlineLevel="0" collapsed="false">
      <c r="A3939" s="9" t="s">
        <v>1693</v>
      </c>
      <c r="B3939" s="9" t="s">
        <v>73</v>
      </c>
      <c r="C3939" s="9" t="n">
        <v>3</v>
      </c>
      <c r="D3939" s="10" t="n">
        <v>1.65</v>
      </c>
      <c r="E3939" s="10" t="n">
        <f aca="false">C3939*D3939</f>
        <v>4.95</v>
      </c>
    </row>
    <row r="3940" customFormat="false" ht="15" hidden="false" customHeight="false" outlineLevel="0" collapsed="false">
      <c r="A3940" s="9" t="s">
        <v>1693</v>
      </c>
      <c r="B3940" s="9" t="s">
        <v>1704</v>
      </c>
      <c r="C3940" s="9" t="n">
        <v>2</v>
      </c>
      <c r="D3940" s="10" t="n">
        <v>0.85</v>
      </c>
      <c r="E3940" s="10" t="n">
        <f aca="false">C3940*D3940</f>
        <v>1.7</v>
      </c>
    </row>
    <row r="3941" customFormat="false" ht="15" hidden="false" customHeight="false" outlineLevel="0" collapsed="false">
      <c r="A3941" s="9" t="s">
        <v>1693</v>
      </c>
      <c r="B3941" s="9" t="s">
        <v>1705</v>
      </c>
      <c r="C3941" s="9" t="n">
        <v>10</v>
      </c>
      <c r="D3941" s="10" t="n">
        <v>0.65</v>
      </c>
      <c r="E3941" s="10" t="n">
        <f aca="false">C3941*D3941</f>
        <v>6.5</v>
      </c>
    </row>
    <row r="3942" customFormat="false" ht="15" hidden="false" customHeight="false" outlineLevel="0" collapsed="false">
      <c r="A3942" s="9" t="s">
        <v>1693</v>
      </c>
      <c r="B3942" s="9" t="s">
        <v>1706</v>
      </c>
      <c r="C3942" s="9" t="n">
        <v>1</v>
      </c>
      <c r="D3942" s="10" t="n">
        <v>3.75</v>
      </c>
      <c r="E3942" s="10" t="n">
        <f aca="false">C3942*D3942</f>
        <v>3.75</v>
      </c>
    </row>
    <row r="3943" customFormat="false" ht="15" hidden="false" customHeight="false" outlineLevel="0" collapsed="false">
      <c r="A3943" s="9" t="s">
        <v>1693</v>
      </c>
      <c r="B3943" s="9" t="s">
        <v>1707</v>
      </c>
      <c r="C3943" s="9" t="n">
        <v>1</v>
      </c>
      <c r="D3943" s="10" t="n">
        <v>3.75</v>
      </c>
      <c r="E3943" s="10" t="n">
        <f aca="false">C3943*D3943</f>
        <v>3.75</v>
      </c>
    </row>
    <row r="3944" customFormat="false" ht="15" hidden="false" customHeight="false" outlineLevel="0" collapsed="false">
      <c r="A3944" s="9" t="s">
        <v>1693</v>
      </c>
      <c r="B3944" s="9" t="s">
        <v>51</v>
      </c>
      <c r="C3944" s="9" t="n">
        <v>2</v>
      </c>
      <c r="D3944" s="10" t="n">
        <v>9.95</v>
      </c>
      <c r="E3944" s="10" t="n">
        <f aca="false">C3944*D3944</f>
        <v>19.9</v>
      </c>
    </row>
    <row r="3945" customFormat="false" ht="15" hidden="false" customHeight="false" outlineLevel="0" collapsed="false">
      <c r="A3945" s="9" t="s">
        <v>1693</v>
      </c>
      <c r="B3945" s="9" t="s">
        <v>1708</v>
      </c>
      <c r="C3945" s="9" t="n">
        <v>24</v>
      </c>
      <c r="D3945" s="10" t="n">
        <v>0.21</v>
      </c>
      <c r="E3945" s="10" t="n">
        <f aca="false">C3945*D3945</f>
        <v>5.04</v>
      </c>
    </row>
    <row r="3946" customFormat="false" ht="15" hidden="false" customHeight="false" outlineLevel="0" collapsed="false">
      <c r="A3946" s="9" t="s">
        <v>1693</v>
      </c>
      <c r="B3946" s="9" t="s">
        <v>1709</v>
      </c>
      <c r="C3946" s="9" t="n">
        <v>25</v>
      </c>
      <c r="D3946" s="10" t="n">
        <v>0.42</v>
      </c>
      <c r="E3946" s="10" t="n">
        <f aca="false">C3946*D3946</f>
        <v>10.5</v>
      </c>
    </row>
    <row r="3947" customFormat="false" ht="15" hidden="false" customHeight="false" outlineLevel="0" collapsed="false">
      <c r="A3947" s="9" t="s">
        <v>1710</v>
      </c>
      <c r="B3947" s="9" t="s">
        <v>776</v>
      </c>
      <c r="C3947" s="9" t="n">
        <v>6</v>
      </c>
      <c r="D3947" s="10" t="n">
        <v>6.95</v>
      </c>
      <c r="E3947" s="10" t="n">
        <f aca="false">C3947*D3947</f>
        <v>41.7</v>
      </c>
    </row>
    <row r="3948" customFormat="false" ht="15" hidden="false" customHeight="false" outlineLevel="0" collapsed="false">
      <c r="A3948" s="9" t="s">
        <v>1710</v>
      </c>
      <c r="B3948" s="9" t="s">
        <v>826</v>
      </c>
      <c r="C3948" s="9" t="n">
        <v>2</v>
      </c>
      <c r="D3948" s="10" t="n">
        <v>10.95</v>
      </c>
      <c r="E3948" s="10" t="n">
        <f aca="false">C3948*D3948</f>
        <v>21.9</v>
      </c>
    </row>
    <row r="3949" customFormat="false" ht="15" hidden="false" customHeight="false" outlineLevel="0" collapsed="false">
      <c r="A3949" s="9" t="s">
        <v>1710</v>
      </c>
      <c r="B3949" s="9" t="s">
        <v>613</v>
      </c>
      <c r="C3949" s="9" t="n">
        <v>6</v>
      </c>
      <c r="D3949" s="10" t="n">
        <v>12.75</v>
      </c>
      <c r="E3949" s="10" t="n">
        <f aca="false">C3949*D3949</f>
        <v>76.5</v>
      </c>
    </row>
    <row r="3950" customFormat="false" ht="15" hidden="false" customHeight="false" outlineLevel="0" collapsed="false">
      <c r="A3950" s="9" t="s">
        <v>1710</v>
      </c>
      <c r="B3950" s="9" t="s">
        <v>569</v>
      </c>
      <c r="C3950" s="9" t="n">
        <v>6</v>
      </c>
      <c r="D3950" s="10" t="n">
        <v>2.1</v>
      </c>
      <c r="E3950" s="10" t="n">
        <f aca="false">C3950*D3950</f>
        <v>12.6</v>
      </c>
    </row>
    <row r="3951" customFormat="false" ht="15" hidden="false" customHeight="false" outlineLevel="0" collapsed="false">
      <c r="A3951" s="9" t="s">
        <v>1710</v>
      </c>
      <c r="B3951" s="9" t="s">
        <v>166</v>
      </c>
      <c r="C3951" s="9" t="n">
        <v>1</v>
      </c>
      <c r="D3951" s="10" t="n">
        <v>14.95</v>
      </c>
      <c r="E3951" s="10" t="n">
        <f aca="false">C3951*D3951</f>
        <v>14.95</v>
      </c>
    </row>
    <row r="3952" customFormat="false" ht="15" hidden="false" customHeight="false" outlineLevel="0" collapsed="false">
      <c r="A3952" s="9" t="s">
        <v>1710</v>
      </c>
      <c r="B3952" s="9" t="s">
        <v>492</v>
      </c>
      <c r="C3952" s="9" t="n">
        <v>10</v>
      </c>
      <c r="D3952" s="10" t="n">
        <v>1.95</v>
      </c>
      <c r="E3952" s="10" t="n">
        <f aca="false">C3952*D3952</f>
        <v>19.5</v>
      </c>
    </row>
    <row r="3953" customFormat="false" ht="15" hidden="false" customHeight="false" outlineLevel="0" collapsed="false">
      <c r="A3953" s="9" t="s">
        <v>1710</v>
      </c>
      <c r="B3953" s="9" t="s">
        <v>538</v>
      </c>
      <c r="C3953" s="9" t="n">
        <v>25</v>
      </c>
      <c r="D3953" s="10" t="n">
        <v>1.95</v>
      </c>
      <c r="E3953" s="10" t="n">
        <f aca="false">C3953*D3953</f>
        <v>48.75</v>
      </c>
    </row>
    <row r="3954" customFormat="false" ht="15" hidden="false" customHeight="false" outlineLevel="0" collapsed="false">
      <c r="A3954" s="9" t="s">
        <v>1710</v>
      </c>
      <c r="B3954" s="9" t="s">
        <v>945</v>
      </c>
      <c r="C3954" s="9" t="n">
        <v>50</v>
      </c>
      <c r="D3954" s="10" t="n">
        <v>1.65</v>
      </c>
      <c r="E3954" s="10" t="n">
        <f aca="false">C3954*D3954</f>
        <v>82.5</v>
      </c>
    </row>
    <row r="3955" customFormat="false" ht="15" hidden="false" customHeight="false" outlineLevel="0" collapsed="false">
      <c r="A3955" s="9" t="s">
        <v>1710</v>
      </c>
      <c r="B3955" s="9" t="s">
        <v>1305</v>
      </c>
      <c r="C3955" s="9" t="n">
        <v>25</v>
      </c>
      <c r="D3955" s="10" t="n">
        <v>1.95</v>
      </c>
      <c r="E3955" s="10" t="n">
        <f aca="false">C3955*D3955</f>
        <v>48.75</v>
      </c>
    </row>
    <row r="3956" customFormat="false" ht="15" hidden="false" customHeight="false" outlineLevel="0" collapsed="false">
      <c r="A3956" s="9" t="s">
        <v>1710</v>
      </c>
      <c r="B3956" s="9" t="s">
        <v>656</v>
      </c>
      <c r="C3956" s="9" t="n">
        <v>6</v>
      </c>
      <c r="D3956" s="10" t="n">
        <v>2.1</v>
      </c>
      <c r="E3956" s="10" t="n">
        <f aca="false">C3956*D3956</f>
        <v>12.6</v>
      </c>
    </row>
    <row r="3957" customFormat="false" ht="15" hidden="false" customHeight="false" outlineLevel="0" collapsed="false">
      <c r="A3957" s="9" t="s">
        <v>1711</v>
      </c>
      <c r="B3957" s="9" t="s">
        <v>906</v>
      </c>
      <c r="C3957" s="9" t="n">
        <v>12</v>
      </c>
      <c r="D3957" s="10" t="n">
        <v>0.85</v>
      </c>
      <c r="E3957" s="10" t="n">
        <f aca="false">C3957*D3957</f>
        <v>10.2</v>
      </c>
    </row>
    <row r="3958" customFormat="false" ht="15" hidden="false" customHeight="false" outlineLevel="0" collapsed="false">
      <c r="A3958" s="9" t="s">
        <v>1711</v>
      </c>
      <c r="B3958" s="9" t="s">
        <v>1585</v>
      </c>
      <c r="C3958" s="9" t="n">
        <v>4</v>
      </c>
      <c r="D3958" s="10" t="n">
        <v>4.25</v>
      </c>
      <c r="E3958" s="10" t="n">
        <f aca="false">C3958*D3958</f>
        <v>17</v>
      </c>
    </row>
    <row r="3959" customFormat="false" ht="15" hidden="false" customHeight="false" outlineLevel="0" collapsed="false">
      <c r="A3959" s="9" t="s">
        <v>1711</v>
      </c>
      <c r="B3959" s="9" t="s">
        <v>593</v>
      </c>
      <c r="C3959" s="9" t="n">
        <v>10</v>
      </c>
      <c r="D3959" s="10" t="n">
        <v>1.65</v>
      </c>
      <c r="E3959" s="10" t="n">
        <f aca="false">C3959*D3959</f>
        <v>16.5</v>
      </c>
    </row>
    <row r="3960" customFormat="false" ht="15" hidden="false" customHeight="false" outlineLevel="0" collapsed="false">
      <c r="A3960" s="9" t="s">
        <v>1711</v>
      </c>
      <c r="B3960" s="9" t="s">
        <v>376</v>
      </c>
      <c r="C3960" s="9" t="n">
        <v>10</v>
      </c>
      <c r="D3960" s="10" t="n">
        <v>1.65</v>
      </c>
      <c r="E3960" s="10" t="n">
        <f aca="false">C3960*D3960</f>
        <v>16.5</v>
      </c>
    </row>
    <row r="3961" customFormat="false" ht="15" hidden="false" customHeight="false" outlineLevel="0" collapsed="false">
      <c r="A3961" s="9" t="s">
        <v>1711</v>
      </c>
      <c r="B3961" s="9" t="s">
        <v>449</v>
      </c>
      <c r="C3961" s="9" t="n">
        <v>24</v>
      </c>
      <c r="D3961" s="10" t="n">
        <v>1.65</v>
      </c>
      <c r="E3961" s="10" t="n">
        <f aca="false">C3961*D3961</f>
        <v>39.6</v>
      </c>
    </row>
    <row r="3962" customFormat="false" ht="15" hidden="false" customHeight="false" outlineLevel="0" collapsed="false">
      <c r="A3962" s="9" t="s">
        <v>1711</v>
      </c>
      <c r="B3962" s="9" t="s">
        <v>305</v>
      </c>
      <c r="C3962" s="9" t="n">
        <v>8</v>
      </c>
      <c r="D3962" s="10" t="n">
        <v>7.95</v>
      </c>
      <c r="E3962" s="10" t="n">
        <f aca="false">C3962*D3962</f>
        <v>63.6</v>
      </c>
    </row>
    <row r="3963" customFormat="false" ht="15" hidden="false" customHeight="false" outlineLevel="0" collapsed="false">
      <c r="A3963" s="9" t="s">
        <v>1711</v>
      </c>
      <c r="B3963" s="9" t="s">
        <v>448</v>
      </c>
      <c r="C3963" s="9" t="n">
        <v>12</v>
      </c>
      <c r="D3963" s="10" t="n">
        <v>2.95</v>
      </c>
      <c r="E3963" s="10" t="n">
        <f aca="false">C3963*D3963</f>
        <v>35.4</v>
      </c>
    </row>
    <row r="3964" customFormat="false" ht="15" hidden="false" customHeight="false" outlineLevel="0" collapsed="false">
      <c r="A3964" s="9" t="s">
        <v>1711</v>
      </c>
      <c r="B3964" s="9" t="s">
        <v>1608</v>
      </c>
      <c r="C3964" s="9" t="n">
        <v>8</v>
      </c>
      <c r="D3964" s="10" t="n">
        <v>3.75</v>
      </c>
      <c r="E3964" s="10" t="n">
        <f aca="false">C3964*D3964</f>
        <v>30</v>
      </c>
    </row>
    <row r="3965" customFormat="false" ht="15" hidden="false" customHeight="false" outlineLevel="0" collapsed="false">
      <c r="A3965" s="9" t="s">
        <v>1711</v>
      </c>
      <c r="B3965" s="9" t="s">
        <v>489</v>
      </c>
      <c r="C3965" s="9" t="n">
        <v>30</v>
      </c>
      <c r="D3965" s="10" t="n">
        <v>1.65</v>
      </c>
      <c r="E3965" s="10" t="n">
        <f aca="false">C3965*D3965</f>
        <v>49.5</v>
      </c>
    </row>
    <row r="3966" customFormat="false" ht="15" hidden="false" customHeight="false" outlineLevel="0" collapsed="false">
      <c r="A3966" s="9" t="s">
        <v>1711</v>
      </c>
      <c r="B3966" s="9" t="s">
        <v>446</v>
      </c>
      <c r="C3966" s="9" t="n">
        <v>8</v>
      </c>
      <c r="D3966" s="10" t="n">
        <v>7.95</v>
      </c>
      <c r="E3966" s="10" t="n">
        <f aca="false">C3966*D3966</f>
        <v>63.6</v>
      </c>
    </row>
    <row r="3967" customFormat="false" ht="15" hidden="false" customHeight="false" outlineLevel="0" collapsed="false">
      <c r="A3967" s="9" t="s">
        <v>1712</v>
      </c>
      <c r="B3967" s="9" t="s">
        <v>1061</v>
      </c>
      <c r="C3967" s="9" t="n">
        <v>2</v>
      </c>
      <c r="D3967" s="10" t="n">
        <v>8.5</v>
      </c>
      <c r="E3967" s="10" t="n">
        <f aca="false">C3967*D3967</f>
        <v>17</v>
      </c>
    </row>
    <row r="3968" customFormat="false" ht="15" hidden="false" customHeight="false" outlineLevel="0" collapsed="false">
      <c r="A3968" s="9" t="s">
        <v>1712</v>
      </c>
      <c r="B3968" s="9" t="s">
        <v>680</v>
      </c>
      <c r="C3968" s="9" t="n">
        <v>6</v>
      </c>
      <c r="D3968" s="10" t="n">
        <v>2.55</v>
      </c>
      <c r="E3968" s="10" t="n">
        <f aca="false">C3968*D3968</f>
        <v>15.3</v>
      </c>
    </row>
    <row r="3969" customFormat="false" ht="15" hidden="false" customHeight="false" outlineLevel="0" collapsed="false">
      <c r="A3969" s="9" t="s">
        <v>1712</v>
      </c>
      <c r="B3969" s="9" t="s">
        <v>578</v>
      </c>
      <c r="C3969" s="9" t="n">
        <v>10</v>
      </c>
      <c r="D3969" s="10" t="n">
        <v>1.65</v>
      </c>
      <c r="E3969" s="10" t="n">
        <f aca="false">C3969*D3969</f>
        <v>16.5</v>
      </c>
    </row>
    <row r="3970" customFormat="false" ht="15" hidden="false" customHeight="false" outlineLevel="0" collapsed="false">
      <c r="A3970" s="9" t="s">
        <v>1712</v>
      </c>
      <c r="B3970" s="9" t="s">
        <v>284</v>
      </c>
      <c r="C3970" s="9" t="n">
        <v>12</v>
      </c>
      <c r="D3970" s="10" t="n">
        <v>2.55</v>
      </c>
      <c r="E3970" s="10" t="n">
        <f aca="false">C3970*D3970</f>
        <v>30.6</v>
      </c>
    </row>
    <row r="3971" customFormat="false" ht="15" hidden="false" customHeight="false" outlineLevel="0" collapsed="false">
      <c r="A3971" s="9" t="s">
        <v>1712</v>
      </c>
      <c r="B3971" s="9" t="s">
        <v>321</v>
      </c>
      <c r="C3971" s="9" t="n">
        <v>2</v>
      </c>
      <c r="D3971" s="10" t="n">
        <v>9.95</v>
      </c>
      <c r="E3971" s="10" t="n">
        <f aca="false">C3971*D3971</f>
        <v>19.9</v>
      </c>
    </row>
    <row r="3972" customFormat="false" ht="15" hidden="false" customHeight="false" outlineLevel="0" collapsed="false">
      <c r="A3972" s="9" t="s">
        <v>1712</v>
      </c>
      <c r="B3972" s="9" t="s">
        <v>920</v>
      </c>
      <c r="C3972" s="9" t="n">
        <v>24</v>
      </c>
      <c r="D3972" s="10" t="n">
        <v>1.25</v>
      </c>
      <c r="E3972" s="10" t="n">
        <f aca="false">C3972*D3972</f>
        <v>30</v>
      </c>
    </row>
    <row r="3973" customFormat="false" ht="15" hidden="false" customHeight="false" outlineLevel="0" collapsed="false">
      <c r="A3973" s="9" t="s">
        <v>1712</v>
      </c>
      <c r="B3973" s="9" t="s">
        <v>1175</v>
      </c>
      <c r="C3973" s="9" t="n">
        <v>4</v>
      </c>
      <c r="D3973" s="10" t="n">
        <v>6.75</v>
      </c>
      <c r="E3973" s="10" t="n">
        <f aca="false">C3973*D3973</f>
        <v>27</v>
      </c>
    </row>
    <row r="3974" customFormat="false" ht="15" hidden="false" customHeight="false" outlineLevel="0" collapsed="false">
      <c r="A3974" s="9" t="s">
        <v>1712</v>
      </c>
      <c r="B3974" s="9" t="s">
        <v>101</v>
      </c>
      <c r="C3974" s="9" t="n">
        <v>1</v>
      </c>
      <c r="D3974" s="10" t="n">
        <v>12.75</v>
      </c>
      <c r="E3974" s="10" t="n">
        <f aca="false">C3974*D3974</f>
        <v>12.75</v>
      </c>
    </row>
    <row r="3975" customFormat="false" ht="15" hidden="false" customHeight="false" outlineLevel="0" collapsed="false">
      <c r="A3975" s="9" t="s">
        <v>1712</v>
      </c>
      <c r="B3975" s="9" t="s">
        <v>560</v>
      </c>
      <c r="C3975" s="9" t="n">
        <v>2</v>
      </c>
      <c r="D3975" s="10" t="n">
        <v>5.95</v>
      </c>
      <c r="E3975" s="10" t="n">
        <f aca="false">C3975*D3975</f>
        <v>11.9</v>
      </c>
    </row>
    <row r="3976" customFormat="false" ht="15" hidden="false" customHeight="false" outlineLevel="0" collapsed="false">
      <c r="A3976" s="9" t="s">
        <v>1712</v>
      </c>
      <c r="B3976" s="9" t="s">
        <v>200</v>
      </c>
      <c r="C3976" s="9" t="n">
        <v>12</v>
      </c>
      <c r="D3976" s="10" t="n">
        <v>1.45</v>
      </c>
      <c r="E3976" s="10" t="n">
        <f aca="false">C3976*D3976</f>
        <v>17.4</v>
      </c>
    </row>
    <row r="3977" customFormat="false" ht="15" hidden="false" customHeight="false" outlineLevel="0" collapsed="false">
      <c r="A3977" s="9" t="s">
        <v>1712</v>
      </c>
      <c r="B3977" s="9" t="s">
        <v>62</v>
      </c>
      <c r="C3977" s="9" t="n">
        <v>3</v>
      </c>
      <c r="D3977" s="10" t="n">
        <v>4.95</v>
      </c>
      <c r="E3977" s="10" t="n">
        <f aca="false">C3977*D3977</f>
        <v>14.85</v>
      </c>
    </row>
    <row r="3978" customFormat="false" ht="15" hidden="false" customHeight="false" outlineLevel="0" collapsed="false">
      <c r="A3978" s="9" t="s">
        <v>1712</v>
      </c>
      <c r="B3978" s="9" t="s">
        <v>335</v>
      </c>
      <c r="C3978" s="9" t="n">
        <v>2</v>
      </c>
      <c r="D3978" s="10" t="n">
        <v>9.95</v>
      </c>
      <c r="E3978" s="10" t="n">
        <f aca="false">C3978*D3978</f>
        <v>19.9</v>
      </c>
    </row>
    <row r="3979" customFormat="false" ht="15" hidden="false" customHeight="false" outlineLevel="0" collapsed="false">
      <c r="A3979" s="9" t="s">
        <v>1712</v>
      </c>
      <c r="B3979" s="9" t="s">
        <v>646</v>
      </c>
      <c r="C3979" s="9" t="n">
        <v>12</v>
      </c>
      <c r="D3979" s="10" t="n">
        <v>1.25</v>
      </c>
      <c r="E3979" s="10" t="n">
        <f aca="false">C3979*D3979</f>
        <v>15</v>
      </c>
    </row>
    <row r="3980" customFormat="false" ht="15" hidden="false" customHeight="false" outlineLevel="0" collapsed="false">
      <c r="A3980" s="9" t="s">
        <v>1713</v>
      </c>
      <c r="B3980" s="9" t="s">
        <v>254</v>
      </c>
      <c r="C3980" s="9" t="n">
        <v>6</v>
      </c>
      <c r="D3980" s="10" t="n">
        <v>2.1</v>
      </c>
      <c r="E3980" s="10" t="n">
        <f aca="false">C3980*D3980</f>
        <v>12.6</v>
      </c>
    </row>
    <row r="3981" customFormat="false" ht="15" hidden="false" customHeight="false" outlineLevel="0" collapsed="false">
      <c r="A3981" s="9" t="s">
        <v>1713</v>
      </c>
      <c r="B3981" s="9" t="s">
        <v>45</v>
      </c>
      <c r="C3981" s="9" t="n">
        <v>6</v>
      </c>
      <c r="D3981" s="10" t="n">
        <v>2.1</v>
      </c>
      <c r="E3981" s="10" t="n">
        <f aca="false">C3981*D3981</f>
        <v>12.6</v>
      </c>
    </row>
    <row r="3982" customFormat="false" ht="15" hidden="false" customHeight="false" outlineLevel="0" collapsed="false">
      <c r="A3982" s="9" t="s">
        <v>1713</v>
      </c>
      <c r="B3982" s="9" t="s">
        <v>472</v>
      </c>
      <c r="C3982" s="9" t="n">
        <v>6</v>
      </c>
      <c r="D3982" s="10" t="n">
        <v>2.1</v>
      </c>
      <c r="E3982" s="10" t="n">
        <f aca="false">C3982*D3982</f>
        <v>12.6</v>
      </c>
    </row>
    <row r="3983" customFormat="false" ht="15" hidden="false" customHeight="false" outlineLevel="0" collapsed="false">
      <c r="A3983" s="9" t="s">
        <v>1713</v>
      </c>
      <c r="B3983" s="9" t="s">
        <v>46</v>
      </c>
      <c r="C3983" s="9" t="n">
        <v>6</v>
      </c>
      <c r="D3983" s="10" t="n">
        <v>2.1</v>
      </c>
      <c r="E3983" s="10" t="n">
        <f aca="false">C3983*D3983</f>
        <v>12.6</v>
      </c>
    </row>
    <row r="3984" customFormat="false" ht="15" hidden="false" customHeight="false" outlineLevel="0" collapsed="false">
      <c r="A3984" s="9" t="s">
        <v>1713</v>
      </c>
      <c r="B3984" s="9" t="s">
        <v>482</v>
      </c>
      <c r="C3984" s="9" t="n">
        <v>3</v>
      </c>
      <c r="D3984" s="10" t="n">
        <v>1.25</v>
      </c>
      <c r="E3984" s="10" t="n">
        <f aca="false">C3984*D3984</f>
        <v>3.75</v>
      </c>
    </row>
    <row r="3985" customFormat="false" ht="15" hidden="false" customHeight="false" outlineLevel="0" collapsed="false">
      <c r="A3985" s="9" t="s">
        <v>1713</v>
      </c>
      <c r="B3985" s="9" t="s">
        <v>255</v>
      </c>
      <c r="C3985" s="9" t="n">
        <v>8</v>
      </c>
      <c r="D3985" s="10" t="n">
        <v>2.1</v>
      </c>
      <c r="E3985" s="10" t="n">
        <f aca="false">C3985*D3985</f>
        <v>16.8</v>
      </c>
    </row>
    <row r="3986" customFormat="false" ht="15" hidden="false" customHeight="false" outlineLevel="0" collapsed="false">
      <c r="A3986" s="9" t="s">
        <v>1713</v>
      </c>
      <c r="B3986" s="9" t="s">
        <v>1714</v>
      </c>
      <c r="C3986" s="9" t="n">
        <v>3</v>
      </c>
      <c r="D3986" s="10" t="n">
        <v>1.25</v>
      </c>
      <c r="E3986" s="10" t="n">
        <f aca="false">C3986*D3986</f>
        <v>3.75</v>
      </c>
    </row>
    <row r="3987" customFormat="false" ht="15" hidden="false" customHeight="false" outlineLevel="0" collapsed="false">
      <c r="A3987" s="9" t="s">
        <v>1713</v>
      </c>
      <c r="B3987" s="9" t="s">
        <v>315</v>
      </c>
      <c r="C3987" s="9" t="n">
        <v>3</v>
      </c>
      <c r="D3987" s="10" t="n">
        <v>1.25</v>
      </c>
      <c r="E3987" s="10" t="n">
        <f aca="false">C3987*D3987</f>
        <v>3.75</v>
      </c>
    </row>
    <row r="3988" customFormat="false" ht="15" hidden="false" customHeight="false" outlineLevel="0" collapsed="false">
      <c r="A3988" s="9" t="s">
        <v>1713</v>
      </c>
      <c r="B3988" s="9" t="s">
        <v>360</v>
      </c>
      <c r="C3988" s="9" t="n">
        <v>3</v>
      </c>
      <c r="D3988" s="10" t="n">
        <v>1.25</v>
      </c>
      <c r="E3988" s="10" t="n">
        <f aca="false">C3988*D3988</f>
        <v>3.75</v>
      </c>
    </row>
    <row r="3989" customFormat="false" ht="15" hidden="false" customHeight="false" outlineLevel="0" collapsed="false">
      <c r="A3989" s="9" t="s">
        <v>1713</v>
      </c>
      <c r="B3989" s="9" t="s">
        <v>353</v>
      </c>
      <c r="C3989" s="9" t="n">
        <v>3</v>
      </c>
      <c r="D3989" s="10" t="n">
        <v>1.25</v>
      </c>
      <c r="E3989" s="10" t="n">
        <f aca="false">C3989*D3989</f>
        <v>3.75</v>
      </c>
    </row>
    <row r="3990" customFormat="false" ht="15" hidden="false" customHeight="false" outlineLevel="0" collapsed="false">
      <c r="A3990" s="9" t="s">
        <v>1713</v>
      </c>
      <c r="B3990" s="9" t="s">
        <v>1715</v>
      </c>
      <c r="C3990" s="9" t="n">
        <v>25</v>
      </c>
      <c r="D3990" s="10" t="n">
        <v>0.42</v>
      </c>
      <c r="E3990" s="10" t="n">
        <f aca="false">C3990*D3990</f>
        <v>10.5</v>
      </c>
    </row>
    <row r="3991" customFormat="false" ht="15" hidden="false" customHeight="false" outlineLevel="0" collapsed="false">
      <c r="A3991" s="9" t="s">
        <v>1713</v>
      </c>
      <c r="B3991" s="9" t="s">
        <v>190</v>
      </c>
      <c r="C3991" s="9" t="n">
        <v>3</v>
      </c>
      <c r="D3991" s="10" t="n">
        <v>1.25</v>
      </c>
      <c r="E3991" s="10" t="n">
        <f aca="false">C3991*D3991</f>
        <v>3.75</v>
      </c>
    </row>
    <row r="3992" customFormat="false" ht="15" hidden="false" customHeight="false" outlineLevel="0" collapsed="false">
      <c r="A3992" s="9" t="s">
        <v>1716</v>
      </c>
      <c r="B3992" s="9" t="s">
        <v>742</v>
      </c>
      <c r="C3992" s="9" t="n">
        <v>12</v>
      </c>
      <c r="D3992" s="10" t="n">
        <v>0.85</v>
      </c>
      <c r="E3992" s="10" t="n">
        <f aca="false">C3992*D3992</f>
        <v>10.2</v>
      </c>
    </row>
    <row r="3993" customFormat="false" ht="15" hidden="false" customHeight="false" outlineLevel="0" collapsed="false">
      <c r="A3993" s="9" t="s">
        <v>1716</v>
      </c>
      <c r="B3993" s="9" t="s">
        <v>212</v>
      </c>
      <c r="C3993" s="9" t="n">
        <v>6</v>
      </c>
      <c r="D3993" s="10" t="n">
        <v>8.5</v>
      </c>
      <c r="E3993" s="10" t="n">
        <f aca="false">C3993*D3993</f>
        <v>51</v>
      </c>
    </row>
    <row r="3994" customFormat="false" ht="15" hidden="false" customHeight="false" outlineLevel="0" collapsed="false">
      <c r="A3994" s="9" t="s">
        <v>1716</v>
      </c>
      <c r="B3994" s="9" t="s">
        <v>1517</v>
      </c>
      <c r="C3994" s="9" t="n">
        <v>2</v>
      </c>
      <c r="D3994" s="10" t="n">
        <v>9.95</v>
      </c>
      <c r="E3994" s="10" t="n">
        <f aca="false">C3994*D3994</f>
        <v>19.9</v>
      </c>
    </row>
    <row r="3995" customFormat="false" ht="15" hidden="false" customHeight="false" outlineLevel="0" collapsed="false">
      <c r="A3995" s="9" t="s">
        <v>1716</v>
      </c>
      <c r="B3995" s="9" t="s">
        <v>755</v>
      </c>
      <c r="C3995" s="9" t="n">
        <v>2</v>
      </c>
      <c r="D3995" s="10" t="n">
        <v>9.95</v>
      </c>
      <c r="E3995" s="10" t="n">
        <f aca="false">C3995*D3995</f>
        <v>19.9</v>
      </c>
    </row>
    <row r="3996" customFormat="false" ht="15" hidden="false" customHeight="false" outlineLevel="0" collapsed="false">
      <c r="A3996" s="9" t="s">
        <v>1716</v>
      </c>
      <c r="B3996" s="9" t="s">
        <v>1717</v>
      </c>
      <c r="C3996" s="9" t="n">
        <v>4</v>
      </c>
      <c r="D3996" s="10" t="n">
        <v>3.75</v>
      </c>
      <c r="E3996" s="10" t="n">
        <f aca="false">C3996*D3996</f>
        <v>15</v>
      </c>
    </row>
    <row r="3997" customFormat="false" ht="15" hidden="false" customHeight="false" outlineLevel="0" collapsed="false">
      <c r="A3997" s="9" t="s">
        <v>1718</v>
      </c>
      <c r="B3997" s="9" t="s">
        <v>535</v>
      </c>
      <c r="C3997" s="9" t="n">
        <v>1</v>
      </c>
      <c r="D3997" s="10" t="n">
        <v>1.25</v>
      </c>
      <c r="E3997" s="10" t="n">
        <f aca="false">C3997*D3997</f>
        <v>1.25</v>
      </c>
    </row>
    <row r="3998" customFormat="false" ht="15" hidden="false" customHeight="false" outlineLevel="0" collapsed="false">
      <c r="A3998" s="9" t="s">
        <v>1718</v>
      </c>
      <c r="B3998" s="9" t="s">
        <v>474</v>
      </c>
      <c r="C3998" s="9" t="n">
        <v>1</v>
      </c>
      <c r="D3998" s="10" t="n">
        <v>4.95</v>
      </c>
      <c r="E3998" s="10" t="n">
        <f aca="false">C3998*D3998</f>
        <v>4.95</v>
      </c>
    </row>
    <row r="3999" customFormat="false" ht="15" hidden="false" customHeight="false" outlineLevel="0" collapsed="false">
      <c r="A3999" s="9" t="s">
        <v>1718</v>
      </c>
      <c r="B3999" s="9" t="s">
        <v>371</v>
      </c>
      <c r="C3999" s="9" t="n">
        <v>2</v>
      </c>
      <c r="D3999" s="10" t="n">
        <v>4.25</v>
      </c>
      <c r="E3999" s="10" t="n">
        <f aca="false">C3999*D3999</f>
        <v>8.5</v>
      </c>
    </row>
    <row r="4000" customFormat="false" ht="15" hidden="false" customHeight="false" outlineLevel="0" collapsed="false">
      <c r="A4000" s="9" t="s">
        <v>1718</v>
      </c>
      <c r="B4000" s="9" t="s">
        <v>1052</v>
      </c>
      <c r="C4000" s="9" t="n">
        <v>1</v>
      </c>
      <c r="D4000" s="10" t="n">
        <v>3.75</v>
      </c>
      <c r="E4000" s="10" t="n">
        <f aca="false">C4000*D4000</f>
        <v>3.75</v>
      </c>
    </row>
    <row r="4001" customFormat="false" ht="15" hidden="false" customHeight="false" outlineLevel="0" collapsed="false">
      <c r="A4001" s="9" t="s">
        <v>1718</v>
      </c>
      <c r="B4001" s="9" t="s">
        <v>1719</v>
      </c>
      <c r="C4001" s="9" t="n">
        <v>1</v>
      </c>
      <c r="D4001" s="10" t="n">
        <v>4.95</v>
      </c>
      <c r="E4001" s="10" t="n">
        <f aca="false">C4001*D4001</f>
        <v>4.95</v>
      </c>
    </row>
    <row r="4002" customFormat="false" ht="15" hidden="false" customHeight="false" outlineLevel="0" collapsed="false">
      <c r="A4002" s="9" t="s">
        <v>1718</v>
      </c>
      <c r="B4002" s="9" t="s">
        <v>1720</v>
      </c>
      <c r="C4002" s="9" t="n">
        <v>1</v>
      </c>
      <c r="D4002" s="10" t="n">
        <v>3.75</v>
      </c>
      <c r="E4002" s="10" t="n">
        <f aca="false">C4002*D4002</f>
        <v>3.75</v>
      </c>
    </row>
    <row r="4003" customFormat="false" ht="15" hidden="false" customHeight="false" outlineLevel="0" collapsed="false">
      <c r="A4003" s="9" t="s">
        <v>1718</v>
      </c>
      <c r="B4003" s="9" t="s">
        <v>371</v>
      </c>
      <c r="C4003" s="9" t="n">
        <v>1</v>
      </c>
      <c r="D4003" s="10" t="n">
        <v>4.25</v>
      </c>
      <c r="E4003" s="10" t="n">
        <f aca="false">C4003*D4003</f>
        <v>4.25</v>
      </c>
    </row>
    <row r="4004" customFormat="false" ht="15" hidden="false" customHeight="false" outlineLevel="0" collapsed="false">
      <c r="A4004" s="9" t="s">
        <v>1718</v>
      </c>
      <c r="B4004" s="9" t="s">
        <v>1721</v>
      </c>
      <c r="C4004" s="9" t="n">
        <v>1</v>
      </c>
      <c r="D4004" s="10" t="n">
        <v>2.1</v>
      </c>
      <c r="E4004" s="10" t="n">
        <f aca="false">C4004*D4004</f>
        <v>2.1</v>
      </c>
    </row>
    <row r="4005" customFormat="false" ht="15" hidden="false" customHeight="false" outlineLevel="0" collapsed="false">
      <c r="A4005" s="9" t="s">
        <v>1718</v>
      </c>
      <c r="B4005" s="9" t="s">
        <v>499</v>
      </c>
      <c r="C4005" s="9" t="n">
        <v>1</v>
      </c>
      <c r="D4005" s="10" t="n">
        <v>3.75</v>
      </c>
      <c r="E4005" s="10" t="n">
        <f aca="false">C4005*D4005</f>
        <v>3.75</v>
      </c>
    </row>
    <row r="4006" customFormat="false" ht="15" hidden="false" customHeight="false" outlineLevel="0" collapsed="false">
      <c r="A4006" s="9" t="s">
        <v>1718</v>
      </c>
      <c r="B4006" s="9" t="s">
        <v>375</v>
      </c>
      <c r="C4006" s="9" t="n">
        <v>1</v>
      </c>
      <c r="D4006" s="10" t="n">
        <v>2.55</v>
      </c>
      <c r="E4006" s="10" t="n">
        <f aca="false">C4006*D4006</f>
        <v>2.55</v>
      </c>
    </row>
    <row r="4007" customFormat="false" ht="15" hidden="false" customHeight="false" outlineLevel="0" collapsed="false">
      <c r="A4007" s="9" t="s">
        <v>1718</v>
      </c>
      <c r="B4007" s="9" t="s">
        <v>718</v>
      </c>
      <c r="C4007" s="9" t="n">
        <v>1</v>
      </c>
      <c r="D4007" s="10" t="n">
        <v>4.95</v>
      </c>
      <c r="E4007" s="10" t="n">
        <f aca="false">C4007*D4007</f>
        <v>4.95</v>
      </c>
    </row>
    <row r="4008" customFormat="false" ht="15" hidden="false" customHeight="false" outlineLevel="0" collapsed="false">
      <c r="A4008" s="9" t="s">
        <v>1718</v>
      </c>
      <c r="B4008" s="9" t="s">
        <v>1722</v>
      </c>
      <c r="C4008" s="9" t="n">
        <v>6</v>
      </c>
      <c r="D4008" s="10" t="n">
        <v>0.85</v>
      </c>
      <c r="E4008" s="10" t="n">
        <f aca="false">C4008*D4008</f>
        <v>5.1</v>
      </c>
    </row>
    <row r="4009" customFormat="false" ht="15" hidden="false" customHeight="false" outlineLevel="0" collapsed="false">
      <c r="A4009" s="9" t="s">
        <v>1718</v>
      </c>
      <c r="B4009" s="9" t="s">
        <v>1723</v>
      </c>
      <c r="C4009" s="9" t="n">
        <v>1</v>
      </c>
      <c r="D4009" s="10" t="n">
        <v>2.55</v>
      </c>
      <c r="E4009" s="10" t="n">
        <f aca="false">C4009*D4009</f>
        <v>2.55</v>
      </c>
    </row>
    <row r="4010" customFormat="false" ht="15" hidden="false" customHeight="false" outlineLevel="0" collapsed="false">
      <c r="A4010" s="9" t="s">
        <v>1718</v>
      </c>
      <c r="B4010" s="9" t="s">
        <v>797</v>
      </c>
      <c r="C4010" s="9" t="n">
        <v>1</v>
      </c>
      <c r="D4010" s="10" t="n">
        <v>2.95</v>
      </c>
      <c r="E4010" s="10" t="n">
        <f aca="false">C4010*D4010</f>
        <v>2.95</v>
      </c>
    </row>
    <row r="4011" customFormat="false" ht="15" hidden="false" customHeight="false" outlineLevel="0" collapsed="false">
      <c r="A4011" s="9" t="s">
        <v>1718</v>
      </c>
      <c r="B4011" s="9" t="s">
        <v>254</v>
      </c>
      <c r="C4011" s="9" t="n">
        <v>1</v>
      </c>
      <c r="D4011" s="10" t="n">
        <v>2.1</v>
      </c>
      <c r="E4011" s="10" t="n">
        <f aca="false">C4011*D4011</f>
        <v>2.1</v>
      </c>
    </row>
    <row r="4012" customFormat="false" ht="15" hidden="false" customHeight="false" outlineLevel="0" collapsed="false">
      <c r="A4012" s="9" t="s">
        <v>1718</v>
      </c>
      <c r="B4012" s="9" t="s">
        <v>258</v>
      </c>
      <c r="C4012" s="9" t="n">
        <v>1</v>
      </c>
      <c r="D4012" s="10" t="n">
        <v>2.1</v>
      </c>
      <c r="E4012" s="10" t="n">
        <f aca="false">C4012*D4012</f>
        <v>2.1</v>
      </c>
    </row>
    <row r="4013" customFormat="false" ht="15" hidden="false" customHeight="false" outlineLevel="0" collapsed="false">
      <c r="A4013" s="9" t="s">
        <v>1718</v>
      </c>
      <c r="B4013" s="9" t="s">
        <v>45</v>
      </c>
      <c r="C4013" s="9" t="n">
        <v>2</v>
      </c>
      <c r="D4013" s="10" t="n">
        <v>2.1</v>
      </c>
      <c r="E4013" s="10" t="n">
        <f aca="false">C4013*D4013</f>
        <v>4.2</v>
      </c>
    </row>
    <row r="4014" customFormat="false" ht="15" hidden="false" customHeight="false" outlineLevel="0" collapsed="false">
      <c r="A4014" s="9" t="s">
        <v>1718</v>
      </c>
      <c r="B4014" s="9" t="s">
        <v>363</v>
      </c>
      <c r="C4014" s="9" t="n">
        <v>1</v>
      </c>
      <c r="D4014" s="10" t="n">
        <v>2.95</v>
      </c>
      <c r="E4014" s="10" t="n">
        <f aca="false">C4014*D4014</f>
        <v>2.95</v>
      </c>
    </row>
    <row r="4015" customFormat="false" ht="15" hidden="false" customHeight="false" outlineLevel="0" collapsed="false">
      <c r="A4015" s="9" t="s">
        <v>1718</v>
      </c>
      <c r="B4015" s="9" t="s">
        <v>868</v>
      </c>
      <c r="C4015" s="9" t="n">
        <v>2</v>
      </c>
      <c r="D4015" s="10" t="n">
        <v>1.65</v>
      </c>
      <c r="E4015" s="10" t="n">
        <f aca="false">C4015*D4015</f>
        <v>3.3</v>
      </c>
    </row>
    <row r="4016" customFormat="false" ht="15" hidden="false" customHeight="false" outlineLevel="0" collapsed="false">
      <c r="A4016" s="9" t="s">
        <v>1718</v>
      </c>
      <c r="B4016" s="9" t="s">
        <v>59</v>
      </c>
      <c r="C4016" s="9" t="n">
        <v>1</v>
      </c>
      <c r="D4016" s="10" t="n">
        <v>1.69</v>
      </c>
      <c r="E4016" s="10" t="n">
        <f aca="false">C4016*D4016</f>
        <v>1.69</v>
      </c>
    </row>
    <row r="4017" customFormat="false" ht="15" hidden="false" customHeight="false" outlineLevel="0" collapsed="false">
      <c r="A4017" s="9" t="s">
        <v>1718</v>
      </c>
      <c r="B4017" s="9" t="s">
        <v>37</v>
      </c>
      <c r="C4017" s="9" t="n">
        <v>1</v>
      </c>
      <c r="D4017" s="10" t="n">
        <v>2.95</v>
      </c>
      <c r="E4017" s="10" t="n">
        <f aca="false">C4017*D4017</f>
        <v>2.95</v>
      </c>
    </row>
    <row r="4018" customFormat="false" ht="15" hidden="false" customHeight="false" outlineLevel="0" collapsed="false">
      <c r="A4018" s="9" t="s">
        <v>1718</v>
      </c>
      <c r="B4018" s="9" t="s">
        <v>72</v>
      </c>
      <c r="C4018" s="9" t="n">
        <v>1</v>
      </c>
      <c r="D4018" s="10" t="n">
        <v>2.95</v>
      </c>
      <c r="E4018" s="10" t="n">
        <f aca="false">C4018*D4018</f>
        <v>2.95</v>
      </c>
    </row>
    <row r="4019" customFormat="false" ht="15" hidden="false" customHeight="false" outlineLevel="0" collapsed="false">
      <c r="A4019" s="9" t="s">
        <v>1718</v>
      </c>
      <c r="B4019" s="9" t="s">
        <v>418</v>
      </c>
      <c r="C4019" s="9" t="n">
        <v>1</v>
      </c>
      <c r="D4019" s="10" t="n">
        <v>2.1</v>
      </c>
      <c r="E4019" s="10" t="n">
        <f aca="false">C4019*D4019</f>
        <v>2.1</v>
      </c>
    </row>
    <row r="4020" customFormat="false" ht="15" hidden="false" customHeight="false" outlineLevel="0" collapsed="false">
      <c r="A4020" s="9" t="s">
        <v>1718</v>
      </c>
      <c r="B4020" s="9" t="s">
        <v>1592</v>
      </c>
      <c r="C4020" s="9" t="n">
        <v>1</v>
      </c>
      <c r="D4020" s="10" t="n">
        <v>3.75</v>
      </c>
      <c r="E4020" s="10" t="n">
        <f aca="false">C4020*D4020</f>
        <v>3.75</v>
      </c>
    </row>
    <row r="4021" customFormat="false" ht="15" hidden="false" customHeight="false" outlineLevel="0" collapsed="false">
      <c r="A4021" s="9" t="s">
        <v>1718</v>
      </c>
      <c r="B4021" s="9" t="s">
        <v>445</v>
      </c>
      <c r="C4021" s="9" t="n">
        <v>1</v>
      </c>
      <c r="D4021" s="10" t="n">
        <v>3.75</v>
      </c>
      <c r="E4021" s="10" t="n">
        <f aca="false">C4021*D4021</f>
        <v>3.75</v>
      </c>
    </row>
    <row r="4022" customFormat="false" ht="15" hidden="false" customHeight="false" outlineLevel="0" collapsed="false">
      <c r="A4022" s="9" t="s">
        <v>1718</v>
      </c>
      <c r="B4022" s="9" t="s">
        <v>116</v>
      </c>
      <c r="C4022" s="9" t="n">
        <v>2</v>
      </c>
      <c r="D4022" s="10" t="n">
        <v>0.55</v>
      </c>
      <c r="E4022" s="10" t="n">
        <f aca="false">C4022*D4022</f>
        <v>1.1</v>
      </c>
    </row>
    <row r="4023" customFormat="false" ht="15" hidden="false" customHeight="false" outlineLevel="0" collapsed="false">
      <c r="A4023" s="9" t="s">
        <v>1718</v>
      </c>
      <c r="B4023" s="9" t="s">
        <v>1724</v>
      </c>
      <c r="C4023" s="9" t="n">
        <v>1</v>
      </c>
      <c r="D4023" s="10" t="n">
        <v>2.55</v>
      </c>
      <c r="E4023" s="10" t="n">
        <f aca="false">C4023*D4023</f>
        <v>2.55</v>
      </c>
    </row>
    <row r="4024" customFormat="false" ht="15" hidden="false" customHeight="false" outlineLevel="0" collapsed="false">
      <c r="A4024" s="9" t="s">
        <v>1718</v>
      </c>
      <c r="B4024" s="9" t="s">
        <v>228</v>
      </c>
      <c r="C4024" s="9" t="n">
        <v>2</v>
      </c>
      <c r="D4024" s="10" t="n">
        <v>1.65</v>
      </c>
      <c r="E4024" s="10" t="n">
        <f aca="false">C4024*D4024</f>
        <v>3.3</v>
      </c>
    </row>
    <row r="4025" customFormat="false" ht="15" hidden="false" customHeight="false" outlineLevel="0" collapsed="false">
      <c r="A4025" s="9" t="s">
        <v>1718</v>
      </c>
      <c r="B4025" s="9" t="s">
        <v>144</v>
      </c>
      <c r="C4025" s="9" t="n">
        <v>1</v>
      </c>
      <c r="D4025" s="10" t="n">
        <v>5.95</v>
      </c>
      <c r="E4025" s="10" t="n">
        <f aca="false">C4025*D4025</f>
        <v>5.95</v>
      </c>
    </row>
    <row r="4026" customFormat="false" ht="15" hidden="false" customHeight="false" outlineLevel="0" collapsed="false">
      <c r="A4026" s="9" t="s">
        <v>1718</v>
      </c>
      <c r="B4026" s="9" t="s">
        <v>333</v>
      </c>
      <c r="C4026" s="9" t="n">
        <v>1</v>
      </c>
      <c r="D4026" s="10" t="n">
        <v>2.1</v>
      </c>
      <c r="E4026" s="10" t="n">
        <f aca="false">C4026*D4026</f>
        <v>2.1</v>
      </c>
    </row>
    <row r="4027" customFormat="false" ht="15" hidden="false" customHeight="false" outlineLevel="0" collapsed="false">
      <c r="A4027" s="9" t="s">
        <v>1718</v>
      </c>
      <c r="B4027" s="9" t="s">
        <v>40</v>
      </c>
      <c r="C4027" s="9" t="n">
        <v>1</v>
      </c>
      <c r="D4027" s="10" t="n">
        <v>3.75</v>
      </c>
      <c r="E4027" s="10" t="n">
        <f aca="false">C4027*D4027</f>
        <v>3.75</v>
      </c>
    </row>
    <row r="4028" customFormat="false" ht="15" hidden="false" customHeight="false" outlineLevel="0" collapsed="false">
      <c r="A4028" s="9" t="s">
        <v>1718</v>
      </c>
      <c r="B4028" s="9" t="s">
        <v>1050</v>
      </c>
      <c r="C4028" s="9" t="n">
        <v>1</v>
      </c>
      <c r="D4028" s="10" t="n">
        <v>0.65</v>
      </c>
      <c r="E4028" s="10" t="n">
        <f aca="false">C4028*D4028</f>
        <v>0.65</v>
      </c>
    </row>
    <row r="4029" customFormat="false" ht="15" hidden="false" customHeight="false" outlineLevel="0" collapsed="false">
      <c r="A4029" s="9" t="s">
        <v>1718</v>
      </c>
      <c r="B4029" s="9" t="s">
        <v>41</v>
      </c>
      <c r="C4029" s="9" t="n">
        <v>1</v>
      </c>
      <c r="D4029" s="10" t="n">
        <v>3.75</v>
      </c>
      <c r="E4029" s="10" t="n">
        <f aca="false">C4029*D4029</f>
        <v>3.75</v>
      </c>
    </row>
    <row r="4030" customFormat="false" ht="15" hidden="false" customHeight="false" outlineLevel="0" collapsed="false">
      <c r="A4030" s="9" t="s">
        <v>1718</v>
      </c>
      <c r="B4030" s="9" t="s">
        <v>1059</v>
      </c>
      <c r="C4030" s="9" t="n">
        <v>1</v>
      </c>
      <c r="D4030" s="10" t="n">
        <v>2.1</v>
      </c>
      <c r="E4030" s="10" t="n">
        <f aca="false">C4030*D4030</f>
        <v>2.1</v>
      </c>
    </row>
    <row r="4031" customFormat="false" ht="15" hidden="false" customHeight="false" outlineLevel="0" collapsed="false">
      <c r="A4031" s="9" t="s">
        <v>1718</v>
      </c>
      <c r="B4031" s="9" t="s">
        <v>1725</v>
      </c>
      <c r="C4031" s="9" t="n">
        <v>5</v>
      </c>
      <c r="D4031" s="10" t="n">
        <v>6.35</v>
      </c>
      <c r="E4031" s="10" t="n">
        <f aca="false">C4031*D4031</f>
        <v>31.75</v>
      </c>
    </row>
    <row r="4032" customFormat="false" ht="15" hidden="false" customHeight="false" outlineLevel="0" collapsed="false">
      <c r="A4032" s="9" t="s">
        <v>1718</v>
      </c>
      <c r="B4032" s="9" t="s">
        <v>1726</v>
      </c>
      <c r="C4032" s="9" t="n">
        <v>5</v>
      </c>
      <c r="D4032" s="10" t="n">
        <v>6.35</v>
      </c>
      <c r="E4032" s="10" t="n">
        <f aca="false">C4032*D4032</f>
        <v>31.75</v>
      </c>
    </row>
    <row r="4033" customFormat="false" ht="15" hidden="false" customHeight="false" outlineLevel="0" collapsed="false">
      <c r="A4033" s="9" t="s">
        <v>1718</v>
      </c>
      <c r="B4033" s="9" t="s">
        <v>1727</v>
      </c>
      <c r="C4033" s="9" t="n">
        <v>1</v>
      </c>
      <c r="D4033" s="10" t="n">
        <v>4.95</v>
      </c>
      <c r="E4033" s="10" t="n">
        <f aca="false">C4033*D4033</f>
        <v>4.95</v>
      </c>
    </row>
    <row r="4034" customFormat="false" ht="15" hidden="false" customHeight="false" outlineLevel="0" collapsed="false">
      <c r="A4034" s="9" t="s">
        <v>1718</v>
      </c>
      <c r="B4034" s="9" t="s">
        <v>1728</v>
      </c>
      <c r="C4034" s="9" t="n">
        <v>1</v>
      </c>
      <c r="D4034" s="10" t="n">
        <v>3.35</v>
      </c>
      <c r="E4034" s="10" t="n">
        <f aca="false">C4034*D4034</f>
        <v>3.35</v>
      </c>
    </row>
    <row r="4035" customFormat="false" ht="15" hidden="false" customHeight="false" outlineLevel="0" collapsed="false">
      <c r="A4035" s="9" t="s">
        <v>1718</v>
      </c>
      <c r="B4035" s="9" t="s">
        <v>1729</v>
      </c>
      <c r="C4035" s="9" t="n">
        <v>1</v>
      </c>
      <c r="D4035" s="10" t="n">
        <v>4.25</v>
      </c>
      <c r="E4035" s="10" t="n">
        <f aca="false">C4035*D4035</f>
        <v>4.25</v>
      </c>
    </row>
    <row r="4036" customFormat="false" ht="15" hidden="false" customHeight="false" outlineLevel="0" collapsed="false">
      <c r="A4036" s="9" t="s">
        <v>1718</v>
      </c>
      <c r="B4036" s="9" t="s">
        <v>588</v>
      </c>
      <c r="C4036" s="9" t="n">
        <v>1</v>
      </c>
      <c r="D4036" s="10" t="n">
        <v>4.25</v>
      </c>
      <c r="E4036" s="10" t="n">
        <f aca="false">C4036*D4036</f>
        <v>4.25</v>
      </c>
    </row>
    <row r="4037" customFormat="false" ht="15" hidden="false" customHeight="false" outlineLevel="0" collapsed="false">
      <c r="A4037" s="9" t="s">
        <v>1718</v>
      </c>
      <c r="B4037" s="9" t="s">
        <v>1730</v>
      </c>
      <c r="C4037" s="9" t="n">
        <v>1</v>
      </c>
      <c r="D4037" s="10" t="n">
        <v>8.95</v>
      </c>
      <c r="E4037" s="10" t="n">
        <f aca="false">C4037*D4037</f>
        <v>8.95</v>
      </c>
    </row>
    <row r="4038" customFormat="false" ht="15" hidden="false" customHeight="false" outlineLevel="0" collapsed="false">
      <c r="A4038" s="9" t="s">
        <v>1718</v>
      </c>
      <c r="B4038" s="9" t="s">
        <v>1731</v>
      </c>
      <c r="C4038" s="9" t="n">
        <v>1</v>
      </c>
      <c r="D4038" s="10" t="n">
        <v>8.95</v>
      </c>
      <c r="E4038" s="10" t="n">
        <f aca="false">C4038*D4038</f>
        <v>8.95</v>
      </c>
    </row>
    <row r="4039" customFormat="false" ht="15" hidden="false" customHeight="false" outlineLevel="0" collapsed="false">
      <c r="A4039" s="9" t="s">
        <v>1718</v>
      </c>
      <c r="B4039" s="9" t="s">
        <v>1732</v>
      </c>
      <c r="C4039" s="9" t="n">
        <v>1</v>
      </c>
      <c r="D4039" s="10" t="n">
        <v>12.75</v>
      </c>
      <c r="E4039" s="10" t="n">
        <f aca="false">C4039*D4039</f>
        <v>12.75</v>
      </c>
    </row>
    <row r="4040" customFormat="false" ht="15" hidden="false" customHeight="false" outlineLevel="0" collapsed="false">
      <c r="A4040" s="9" t="s">
        <v>1718</v>
      </c>
      <c r="B4040" s="9" t="s">
        <v>1733</v>
      </c>
      <c r="C4040" s="9" t="n">
        <v>4</v>
      </c>
      <c r="D4040" s="10" t="n">
        <v>6.35</v>
      </c>
      <c r="E4040" s="10" t="n">
        <f aca="false">C4040*D4040</f>
        <v>25.4</v>
      </c>
    </row>
    <row r="4041" customFormat="false" ht="15" hidden="false" customHeight="false" outlineLevel="0" collapsed="false">
      <c r="A4041" s="9" t="s">
        <v>1718</v>
      </c>
      <c r="B4041" s="9" t="s">
        <v>1366</v>
      </c>
      <c r="C4041" s="9" t="n">
        <v>1</v>
      </c>
      <c r="D4041" s="10" t="n">
        <v>2.95</v>
      </c>
      <c r="E4041" s="10" t="n">
        <f aca="false">C4041*D4041</f>
        <v>2.95</v>
      </c>
    </row>
    <row r="4042" customFormat="false" ht="15" hidden="false" customHeight="false" outlineLevel="0" collapsed="false">
      <c r="A4042" s="9" t="s">
        <v>1718</v>
      </c>
      <c r="B4042" s="9" t="s">
        <v>1734</v>
      </c>
      <c r="C4042" s="9" t="n">
        <v>2</v>
      </c>
      <c r="D4042" s="10" t="n">
        <v>6.35</v>
      </c>
      <c r="E4042" s="10" t="n">
        <f aca="false">C4042*D4042</f>
        <v>12.7</v>
      </c>
    </row>
    <row r="4043" customFormat="false" ht="15" hidden="false" customHeight="false" outlineLevel="0" collapsed="false">
      <c r="A4043" s="9" t="s">
        <v>1718</v>
      </c>
      <c r="B4043" s="9" t="s">
        <v>42</v>
      </c>
      <c r="C4043" s="9" t="n">
        <v>1</v>
      </c>
      <c r="D4043" s="10" t="n">
        <v>8.5</v>
      </c>
      <c r="E4043" s="10" t="n">
        <f aca="false">C4043*D4043</f>
        <v>8.5</v>
      </c>
    </row>
    <row r="4044" customFormat="false" ht="15" hidden="false" customHeight="false" outlineLevel="0" collapsed="false">
      <c r="A4044" s="9" t="s">
        <v>1718</v>
      </c>
      <c r="B4044" s="9" t="s">
        <v>435</v>
      </c>
      <c r="C4044" s="9" t="n">
        <v>3</v>
      </c>
      <c r="D4044" s="10" t="n">
        <v>0.95</v>
      </c>
      <c r="E4044" s="10" t="n">
        <f aca="false">C4044*D4044</f>
        <v>2.85</v>
      </c>
    </row>
    <row r="4045" customFormat="false" ht="15" hidden="false" customHeight="false" outlineLevel="0" collapsed="false">
      <c r="A4045" s="9" t="s">
        <v>1718</v>
      </c>
      <c r="B4045" s="9" t="s">
        <v>1735</v>
      </c>
      <c r="C4045" s="9" t="n">
        <v>2</v>
      </c>
      <c r="D4045" s="10" t="n">
        <v>2.1</v>
      </c>
      <c r="E4045" s="10" t="n">
        <f aca="false">C4045*D4045</f>
        <v>4.2</v>
      </c>
    </row>
    <row r="4046" customFormat="false" ht="15" hidden="false" customHeight="false" outlineLevel="0" collapsed="false">
      <c r="A4046" s="9" t="s">
        <v>1718</v>
      </c>
      <c r="B4046" s="9" t="s">
        <v>550</v>
      </c>
      <c r="C4046" s="9" t="n">
        <v>4</v>
      </c>
      <c r="D4046" s="10" t="n">
        <v>1.25</v>
      </c>
      <c r="E4046" s="10" t="n">
        <f aca="false">C4046*D4046</f>
        <v>5</v>
      </c>
    </row>
    <row r="4047" customFormat="false" ht="15" hidden="false" customHeight="false" outlineLevel="0" collapsed="false">
      <c r="A4047" s="9" t="s">
        <v>1718</v>
      </c>
      <c r="B4047" s="9" t="s">
        <v>98</v>
      </c>
      <c r="C4047" s="9" t="n">
        <v>2</v>
      </c>
      <c r="D4047" s="10" t="n">
        <v>5.95</v>
      </c>
      <c r="E4047" s="10" t="n">
        <f aca="false">C4047*D4047</f>
        <v>11.9</v>
      </c>
    </row>
    <row r="4048" customFormat="false" ht="15" hidden="false" customHeight="false" outlineLevel="0" collapsed="false">
      <c r="A4048" s="9" t="s">
        <v>1718</v>
      </c>
      <c r="B4048" s="9" t="s">
        <v>1736</v>
      </c>
      <c r="C4048" s="9" t="n">
        <v>2</v>
      </c>
      <c r="D4048" s="10" t="n">
        <v>2.55</v>
      </c>
      <c r="E4048" s="10" t="n">
        <f aca="false">C4048*D4048</f>
        <v>5.1</v>
      </c>
    </row>
    <row r="4049" customFormat="false" ht="15" hidden="false" customHeight="false" outlineLevel="0" collapsed="false">
      <c r="A4049" s="9" t="s">
        <v>1718</v>
      </c>
      <c r="B4049" s="9" t="s">
        <v>1737</v>
      </c>
      <c r="C4049" s="9" t="n">
        <v>3</v>
      </c>
      <c r="D4049" s="10" t="n">
        <v>2.95</v>
      </c>
      <c r="E4049" s="10" t="n">
        <f aca="false">C4049*D4049</f>
        <v>8.85</v>
      </c>
    </row>
    <row r="4050" customFormat="false" ht="15" hidden="false" customHeight="false" outlineLevel="0" collapsed="false">
      <c r="A4050" s="9" t="s">
        <v>1718</v>
      </c>
      <c r="B4050" s="9" t="s">
        <v>171</v>
      </c>
      <c r="C4050" s="9" t="n">
        <v>1</v>
      </c>
      <c r="D4050" s="10" t="n">
        <v>2.1</v>
      </c>
      <c r="E4050" s="10" t="n">
        <f aca="false">C4050*D4050</f>
        <v>2.1</v>
      </c>
    </row>
    <row r="4051" customFormat="false" ht="15" hidden="false" customHeight="false" outlineLevel="0" collapsed="false">
      <c r="A4051" s="9" t="s">
        <v>1718</v>
      </c>
      <c r="B4051" s="9" t="s">
        <v>1738</v>
      </c>
      <c r="C4051" s="9" t="n">
        <v>1</v>
      </c>
      <c r="D4051" s="10" t="n">
        <v>2.95</v>
      </c>
      <c r="E4051" s="10" t="n">
        <f aca="false">C4051*D4051</f>
        <v>2.95</v>
      </c>
    </row>
    <row r="4052" customFormat="false" ht="15" hidden="false" customHeight="false" outlineLevel="0" collapsed="false">
      <c r="A4052" s="9" t="s">
        <v>1718</v>
      </c>
      <c r="B4052" s="9" t="s">
        <v>455</v>
      </c>
      <c r="C4052" s="9" t="n">
        <v>1</v>
      </c>
      <c r="D4052" s="10" t="n">
        <v>4.95</v>
      </c>
      <c r="E4052" s="10" t="n">
        <f aca="false">C4052*D4052</f>
        <v>4.95</v>
      </c>
    </row>
    <row r="4053" customFormat="false" ht="15" hidden="false" customHeight="false" outlineLevel="0" collapsed="false">
      <c r="A4053" s="9" t="s">
        <v>1718</v>
      </c>
      <c r="B4053" s="9" t="s">
        <v>1491</v>
      </c>
      <c r="C4053" s="9" t="n">
        <v>5</v>
      </c>
      <c r="D4053" s="10" t="n">
        <v>0.19</v>
      </c>
      <c r="E4053" s="10" t="n">
        <f aca="false">C4053*D4053</f>
        <v>0.95</v>
      </c>
    </row>
    <row r="4054" customFormat="false" ht="15" hidden="false" customHeight="false" outlineLevel="0" collapsed="false">
      <c r="A4054" s="9" t="s">
        <v>1739</v>
      </c>
      <c r="B4054" s="9" t="s">
        <v>265</v>
      </c>
      <c r="C4054" s="9" t="n">
        <v>2</v>
      </c>
      <c r="D4054" s="10" t="n">
        <v>35.75</v>
      </c>
      <c r="E4054" s="10" t="n">
        <f aca="false">C4054*D4054</f>
        <v>71.5</v>
      </c>
    </row>
    <row r="4055" customFormat="false" ht="15" hidden="false" customHeight="false" outlineLevel="0" collapsed="false">
      <c r="A4055" s="9" t="s">
        <v>1739</v>
      </c>
      <c r="B4055" s="9" t="s">
        <v>92</v>
      </c>
      <c r="C4055" s="9" t="n">
        <v>4</v>
      </c>
      <c r="D4055" s="10" t="n">
        <v>6.95</v>
      </c>
      <c r="E4055" s="10" t="n">
        <f aca="false">C4055*D4055</f>
        <v>27.8</v>
      </c>
    </row>
    <row r="4056" customFormat="false" ht="15" hidden="false" customHeight="false" outlineLevel="0" collapsed="false">
      <c r="A4056" s="9" t="s">
        <v>1739</v>
      </c>
      <c r="B4056" s="9" t="s">
        <v>42</v>
      </c>
      <c r="C4056" s="9" t="n">
        <v>4</v>
      </c>
      <c r="D4056" s="10" t="n">
        <v>7.65</v>
      </c>
      <c r="E4056" s="10" t="n">
        <f aca="false">C4056*D4056</f>
        <v>30.6</v>
      </c>
    </row>
    <row r="4057" customFormat="false" ht="15" hidden="false" customHeight="false" outlineLevel="0" collapsed="false">
      <c r="A4057" s="9" t="s">
        <v>1739</v>
      </c>
      <c r="B4057" s="9" t="s">
        <v>41</v>
      </c>
      <c r="C4057" s="9" t="n">
        <v>6</v>
      </c>
      <c r="D4057" s="10" t="n">
        <v>3.39</v>
      </c>
      <c r="E4057" s="10" t="n">
        <f aca="false">C4057*D4057</f>
        <v>20.34</v>
      </c>
    </row>
    <row r="4058" customFormat="false" ht="15" hidden="false" customHeight="false" outlineLevel="0" collapsed="false">
      <c r="A4058" s="9" t="s">
        <v>1739</v>
      </c>
      <c r="B4058" s="9" t="s">
        <v>40</v>
      </c>
      <c r="C4058" s="9" t="n">
        <v>6</v>
      </c>
      <c r="D4058" s="10" t="n">
        <v>3.39</v>
      </c>
      <c r="E4058" s="10" t="n">
        <f aca="false">C4058*D4058</f>
        <v>20.34</v>
      </c>
    </row>
    <row r="4059" customFormat="false" ht="15" hidden="false" customHeight="false" outlineLevel="0" collapsed="false">
      <c r="A4059" s="9" t="s">
        <v>1739</v>
      </c>
      <c r="B4059" s="9" t="s">
        <v>150</v>
      </c>
      <c r="C4059" s="9" t="n">
        <v>6</v>
      </c>
      <c r="D4059" s="10" t="n">
        <v>1.65</v>
      </c>
      <c r="E4059" s="10" t="n">
        <f aca="false">C4059*D4059</f>
        <v>9.9</v>
      </c>
    </row>
    <row r="4060" customFormat="false" ht="15" hidden="false" customHeight="false" outlineLevel="0" collapsed="false">
      <c r="A4060" s="9" t="s">
        <v>1739</v>
      </c>
      <c r="B4060" s="9" t="s">
        <v>94</v>
      </c>
      <c r="C4060" s="9" t="n">
        <v>6</v>
      </c>
      <c r="D4060" s="10" t="n">
        <v>2.55</v>
      </c>
      <c r="E4060" s="10" t="n">
        <f aca="false">C4060*D4060</f>
        <v>15.3</v>
      </c>
    </row>
    <row r="4061" customFormat="false" ht="15" hidden="false" customHeight="false" outlineLevel="0" collapsed="false">
      <c r="A4061" s="9" t="s">
        <v>1739</v>
      </c>
      <c r="B4061" s="9" t="s">
        <v>91</v>
      </c>
      <c r="C4061" s="9" t="n">
        <v>6</v>
      </c>
      <c r="D4061" s="10" t="n">
        <v>2.1</v>
      </c>
      <c r="E4061" s="10" t="n">
        <f aca="false">C4061*D4061</f>
        <v>12.6</v>
      </c>
    </row>
    <row r="4062" customFormat="false" ht="15" hidden="false" customHeight="false" outlineLevel="0" collapsed="false">
      <c r="A4062" s="9" t="s">
        <v>1739</v>
      </c>
      <c r="B4062" s="9" t="s">
        <v>93</v>
      </c>
      <c r="C4062" s="9" t="n">
        <v>4</v>
      </c>
      <c r="D4062" s="10" t="n">
        <v>4.95</v>
      </c>
      <c r="E4062" s="10" t="n">
        <f aca="false">C4062*D4062</f>
        <v>19.8</v>
      </c>
    </row>
    <row r="4063" customFormat="false" ht="15" hidden="false" customHeight="false" outlineLevel="0" collapsed="false">
      <c r="A4063" s="9" t="s">
        <v>1739</v>
      </c>
      <c r="B4063" s="9" t="s">
        <v>136</v>
      </c>
      <c r="C4063" s="9" t="n">
        <v>6</v>
      </c>
      <c r="D4063" s="10" t="n">
        <v>4.95</v>
      </c>
      <c r="E4063" s="10" t="n">
        <f aca="false">C4063*D4063</f>
        <v>29.7</v>
      </c>
    </row>
    <row r="4064" customFormat="false" ht="15" hidden="false" customHeight="false" outlineLevel="0" collapsed="false">
      <c r="A4064" s="9" t="s">
        <v>1739</v>
      </c>
      <c r="B4064" s="9" t="s">
        <v>95</v>
      </c>
      <c r="C4064" s="9" t="n">
        <v>6</v>
      </c>
      <c r="D4064" s="10" t="n">
        <v>1.06</v>
      </c>
      <c r="E4064" s="10" t="n">
        <f aca="false">C4064*D4064</f>
        <v>6.36</v>
      </c>
    </row>
    <row r="4065" customFormat="false" ht="15" hidden="false" customHeight="false" outlineLevel="0" collapsed="false">
      <c r="A4065" s="9" t="s">
        <v>1739</v>
      </c>
      <c r="B4065" s="9" t="s">
        <v>96</v>
      </c>
      <c r="C4065" s="9" t="n">
        <v>6</v>
      </c>
      <c r="D4065" s="10" t="n">
        <v>1.06</v>
      </c>
      <c r="E4065" s="10" t="n">
        <f aca="false">C4065*D4065</f>
        <v>6.36</v>
      </c>
    </row>
    <row r="4066" customFormat="false" ht="15" hidden="false" customHeight="false" outlineLevel="0" collapsed="false">
      <c r="A4066" s="9" t="s">
        <v>1739</v>
      </c>
      <c r="B4066" s="9" t="s">
        <v>97</v>
      </c>
      <c r="C4066" s="9" t="n">
        <v>6</v>
      </c>
      <c r="D4066" s="10" t="n">
        <v>1.06</v>
      </c>
      <c r="E4066" s="10" t="n">
        <f aca="false">C4066*D4066</f>
        <v>6.36</v>
      </c>
    </row>
    <row r="4067" customFormat="false" ht="15" hidden="false" customHeight="false" outlineLevel="0" collapsed="false">
      <c r="A4067" s="9" t="s">
        <v>1739</v>
      </c>
      <c r="B4067" s="9" t="s">
        <v>98</v>
      </c>
      <c r="C4067" s="9" t="n">
        <v>6</v>
      </c>
      <c r="D4067" s="10" t="n">
        <v>4.95</v>
      </c>
      <c r="E4067" s="10" t="n">
        <f aca="false">C4067*D4067</f>
        <v>29.7</v>
      </c>
    </row>
    <row r="4068" customFormat="false" ht="15" hidden="false" customHeight="false" outlineLevel="0" collapsed="false">
      <c r="A4068" s="9" t="s">
        <v>1739</v>
      </c>
      <c r="B4068" s="9" t="s">
        <v>39</v>
      </c>
      <c r="C4068" s="9" t="n">
        <v>6</v>
      </c>
      <c r="D4068" s="10" t="n">
        <v>2.75</v>
      </c>
      <c r="E4068" s="10" t="n">
        <f aca="false">C4068*D4068</f>
        <v>16.5</v>
      </c>
    </row>
    <row r="4069" customFormat="false" ht="15" hidden="false" customHeight="false" outlineLevel="0" collapsed="false">
      <c r="A4069" s="9" t="s">
        <v>1739</v>
      </c>
      <c r="B4069" s="9" t="s">
        <v>38</v>
      </c>
      <c r="C4069" s="9" t="n">
        <v>12</v>
      </c>
      <c r="D4069" s="10" t="n">
        <v>3.39</v>
      </c>
      <c r="E4069" s="10" t="n">
        <f aca="false">C4069*D4069</f>
        <v>40.68</v>
      </c>
    </row>
    <row r="4070" customFormat="false" ht="15" hidden="false" customHeight="false" outlineLevel="0" collapsed="false">
      <c r="A4070" s="9" t="s">
        <v>1739</v>
      </c>
      <c r="B4070" s="9" t="s">
        <v>37</v>
      </c>
      <c r="C4070" s="9" t="n">
        <v>12</v>
      </c>
      <c r="D4070" s="10" t="n">
        <v>2.55</v>
      </c>
      <c r="E4070" s="10" t="n">
        <f aca="false">C4070*D4070</f>
        <v>30.6</v>
      </c>
    </row>
    <row r="4071" customFormat="false" ht="15" hidden="false" customHeight="false" outlineLevel="0" collapsed="false">
      <c r="A4071" s="9" t="s">
        <v>1739</v>
      </c>
      <c r="B4071" s="9" t="s">
        <v>43</v>
      </c>
      <c r="C4071" s="9" t="n">
        <v>8</v>
      </c>
      <c r="D4071" s="10" t="n">
        <v>4.25</v>
      </c>
      <c r="E4071" s="10" t="n">
        <f aca="false">C4071*D4071</f>
        <v>34</v>
      </c>
    </row>
    <row r="4072" customFormat="false" ht="15" hidden="false" customHeight="false" outlineLevel="0" collapsed="false">
      <c r="A4072" s="9" t="s">
        <v>1739</v>
      </c>
      <c r="B4072" s="9" t="s">
        <v>99</v>
      </c>
      <c r="C4072" s="9" t="n">
        <v>6</v>
      </c>
      <c r="D4072" s="10" t="n">
        <v>1.06</v>
      </c>
      <c r="E4072" s="10" t="n">
        <f aca="false">C4072*D4072</f>
        <v>6.36</v>
      </c>
    </row>
    <row r="4073" customFormat="false" ht="15" hidden="false" customHeight="false" outlineLevel="0" collapsed="false">
      <c r="A4073" s="9" t="s">
        <v>1740</v>
      </c>
      <c r="B4073" s="9" t="s">
        <v>45</v>
      </c>
      <c r="C4073" s="9" t="n">
        <v>6</v>
      </c>
      <c r="D4073" s="10" t="n">
        <v>1.85</v>
      </c>
      <c r="E4073" s="10" t="n">
        <f aca="false">C4073*D4073</f>
        <v>11.1</v>
      </c>
    </row>
    <row r="4074" customFormat="false" ht="15" hidden="false" customHeight="false" outlineLevel="0" collapsed="false">
      <c r="A4074" s="9" t="s">
        <v>1740</v>
      </c>
      <c r="B4074" s="9" t="s">
        <v>46</v>
      </c>
      <c r="C4074" s="9" t="n">
        <v>6</v>
      </c>
      <c r="D4074" s="10" t="n">
        <v>1.85</v>
      </c>
      <c r="E4074" s="10" t="n">
        <f aca="false">C4074*D4074</f>
        <v>11.1</v>
      </c>
    </row>
    <row r="4075" customFormat="false" ht="15" hidden="false" customHeight="false" outlineLevel="0" collapsed="false">
      <c r="A4075" s="9" t="s">
        <v>1741</v>
      </c>
      <c r="B4075" s="9" t="s">
        <v>37</v>
      </c>
      <c r="C4075" s="9" t="n">
        <v>6</v>
      </c>
      <c r="D4075" s="10" t="n">
        <v>2.55</v>
      </c>
      <c r="E4075" s="10" t="n">
        <f aca="false">C4075*D4075</f>
        <v>15.3</v>
      </c>
    </row>
    <row r="4076" customFormat="false" ht="15" hidden="false" customHeight="false" outlineLevel="0" collapsed="false">
      <c r="A4076" s="9" t="s">
        <v>1741</v>
      </c>
      <c r="B4076" s="9" t="s">
        <v>43</v>
      </c>
      <c r="C4076" s="9" t="n">
        <v>6</v>
      </c>
      <c r="D4076" s="10" t="n">
        <v>4.25</v>
      </c>
      <c r="E4076" s="10" t="n">
        <f aca="false">C4076*D4076</f>
        <v>25.5</v>
      </c>
    </row>
    <row r="4077" customFormat="false" ht="15" hidden="false" customHeight="false" outlineLevel="0" collapsed="false">
      <c r="A4077" s="9" t="s">
        <v>1741</v>
      </c>
      <c r="B4077" s="9" t="s">
        <v>265</v>
      </c>
      <c r="C4077" s="9" t="n">
        <v>2</v>
      </c>
      <c r="D4077" s="10" t="n">
        <v>35.75</v>
      </c>
      <c r="E4077" s="10" t="n">
        <f aca="false">C4077*D4077</f>
        <v>71.5</v>
      </c>
    </row>
    <row r="4078" customFormat="false" ht="15" hidden="false" customHeight="false" outlineLevel="0" collapsed="false">
      <c r="A4078" s="9" t="s">
        <v>1741</v>
      </c>
      <c r="B4078" s="9" t="s">
        <v>42</v>
      </c>
      <c r="C4078" s="9" t="n">
        <v>4</v>
      </c>
      <c r="D4078" s="10" t="n">
        <v>7.65</v>
      </c>
      <c r="E4078" s="10" t="n">
        <f aca="false">C4078*D4078</f>
        <v>30.6</v>
      </c>
    </row>
    <row r="4079" customFormat="false" ht="15" hidden="false" customHeight="false" outlineLevel="0" collapsed="false">
      <c r="A4079" s="9" t="s">
        <v>1741</v>
      </c>
      <c r="B4079" s="9" t="s">
        <v>40</v>
      </c>
      <c r="C4079" s="9" t="n">
        <v>6</v>
      </c>
      <c r="D4079" s="10" t="n">
        <v>3.39</v>
      </c>
      <c r="E4079" s="10" t="n">
        <f aca="false">C4079*D4079</f>
        <v>20.34</v>
      </c>
    </row>
    <row r="4080" customFormat="false" ht="15" hidden="false" customHeight="false" outlineLevel="0" collapsed="false">
      <c r="A4080" s="9" t="s">
        <v>1741</v>
      </c>
      <c r="B4080" s="9" t="s">
        <v>150</v>
      </c>
      <c r="C4080" s="9" t="n">
        <v>6</v>
      </c>
      <c r="D4080" s="10" t="n">
        <v>1.65</v>
      </c>
      <c r="E4080" s="10" t="n">
        <f aca="false">C4080*D4080</f>
        <v>9.9</v>
      </c>
    </row>
    <row r="4081" customFormat="false" ht="15" hidden="false" customHeight="false" outlineLevel="0" collapsed="false">
      <c r="A4081" s="9" t="s">
        <v>1741</v>
      </c>
      <c r="B4081" s="9" t="s">
        <v>94</v>
      </c>
      <c r="C4081" s="9" t="n">
        <v>6</v>
      </c>
      <c r="D4081" s="10" t="n">
        <v>2.55</v>
      </c>
      <c r="E4081" s="10" t="n">
        <f aca="false">C4081*D4081</f>
        <v>15.3</v>
      </c>
    </row>
    <row r="4082" customFormat="false" ht="15" hidden="false" customHeight="false" outlineLevel="0" collapsed="false">
      <c r="A4082" s="9" t="s">
        <v>1741</v>
      </c>
      <c r="B4082" s="9" t="s">
        <v>91</v>
      </c>
      <c r="C4082" s="9" t="n">
        <v>6</v>
      </c>
      <c r="D4082" s="10" t="n">
        <v>2.1</v>
      </c>
      <c r="E4082" s="10" t="n">
        <f aca="false">C4082*D4082</f>
        <v>12.6</v>
      </c>
    </row>
    <row r="4083" customFormat="false" ht="15" hidden="false" customHeight="false" outlineLevel="0" collapsed="false">
      <c r="A4083" s="9" t="s">
        <v>1741</v>
      </c>
      <c r="B4083" s="9" t="s">
        <v>92</v>
      </c>
      <c r="C4083" s="9" t="n">
        <v>4</v>
      </c>
      <c r="D4083" s="10" t="n">
        <v>6.95</v>
      </c>
      <c r="E4083" s="10" t="n">
        <f aca="false">C4083*D4083</f>
        <v>27.8</v>
      </c>
    </row>
    <row r="4084" customFormat="false" ht="15" hidden="false" customHeight="false" outlineLevel="0" collapsed="false">
      <c r="A4084" s="9" t="s">
        <v>1741</v>
      </c>
      <c r="B4084" s="9" t="s">
        <v>41</v>
      </c>
      <c r="C4084" s="9" t="n">
        <v>6</v>
      </c>
      <c r="D4084" s="10" t="n">
        <v>3.39</v>
      </c>
      <c r="E4084" s="10" t="n">
        <f aca="false">C4084*D4084</f>
        <v>20.34</v>
      </c>
    </row>
    <row r="4085" customFormat="false" ht="15" hidden="false" customHeight="false" outlineLevel="0" collapsed="false">
      <c r="A4085" s="9" t="s">
        <v>1741</v>
      </c>
      <c r="B4085" s="9" t="s">
        <v>99</v>
      </c>
      <c r="C4085" s="9" t="n">
        <v>6</v>
      </c>
      <c r="D4085" s="10" t="n">
        <v>1.06</v>
      </c>
      <c r="E4085" s="10" t="n">
        <f aca="false">C4085*D4085</f>
        <v>6.36</v>
      </c>
    </row>
    <row r="4086" customFormat="false" ht="15" hidden="false" customHeight="false" outlineLevel="0" collapsed="false">
      <c r="A4086" s="9" t="s">
        <v>1741</v>
      </c>
      <c r="B4086" s="9" t="s">
        <v>95</v>
      </c>
      <c r="C4086" s="9" t="n">
        <v>6</v>
      </c>
      <c r="D4086" s="10" t="n">
        <v>1.06</v>
      </c>
      <c r="E4086" s="10" t="n">
        <f aca="false">C4086*D4086</f>
        <v>6.36</v>
      </c>
    </row>
    <row r="4087" customFormat="false" ht="15" hidden="false" customHeight="false" outlineLevel="0" collapsed="false">
      <c r="A4087" s="9" t="s">
        <v>1741</v>
      </c>
      <c r="B4087" s="9" t="s">
        <v>96</v>
      </c>
      <c r="C4087" s="9" t="n">
        <v>6</v>
      </c>
      <c r="D4087" s="10" t="n">
        <v>1.06</v>
      </c>
      <c r="E4087" s="10" t="n">
        <f aca="false">C4087*D4087</f>
        <v>6.36</v>
      </c>
    </row>
    <row r="4088" customFormat="false" ht="15" hidden="false" customHeight="false" outlineLevel="0" collapsed="false">
      <c r="A4088" s="9" t="s">
        <v>1741</v>
      </c>
      <c r="B4088" s="9" t="s">
        <v>97</v>
      </c>
      <c r="C4088" s="9" t="n">
        <v>6</v>
      </c>
      <c r="D4088" s="10" t="n">
        <v>1.06</v>
      </c>
      <c r="E4088" s="10" t="n">
        <f aca="false">C4088*D4088</f>
        <v>6.36</v>
      </c>
    </row>
    <row r="4089" customFormat="false" ht="15" hidden="false" customHeight="false" outlineLevel="0" collapsed="false">
      <c r="A4089" s="9" t="s">
        <v>1741</v>
      </c>
      <c r="B4089" s="9" t="s">
        <v>98</v>
      </c>
      <c r="C4089" s="9" t="n">
        <v>6</v>
      </c>
      <c r="D4089" s="10" t="n">
        <v>4.95</v>
      </c>
      <c r="E4089" s="10" t="n">
        <f aca="false">C4089*D4089</f>
        <v>29.7</v>
      </c>
    </row>
    <row r="4090" customFormat="false" ht="15" hidden="false" customHeight="false" outlineLevel="0" collapsed="false">
      <c r="A4090" s="9" t="s">
        <v>1741</v>
      </c>
      <c r="B4090" s="9" t="s">
        <v>93</v>
      </c>
      <c r="C4090" s="9" t="n">
        <v>4</v>
      </c>
      <c r="D4090" s="10" t="n">
        <v>4.95</v>
      </c>
      <c r="E4090" s="10" t="n">
        <f aca="false">C4090*D4090</f>
        <v>19.8</v>
      </c>
    </row>
    <row r="4091" customFormat="false" ht="15" hidden="false" customHeight="false" outlineLevel="0" collapsed="false">
      <c r="A4091" s="9" t="s">
        <v>1741</v>
      </c>
      <c r="B4091" s="9" t="s">
        <v>136</v>
      </c>
      <c r="C4091" s="9" t="n">
        <v>6</v>
      </c>
      <c r="D4091" s="10" t="n">
        <v>4.95</v>
      </c>
      <c r="E4091" s="10" t="n">
        <f aca="false">C4091*D4091</f>
        <v>29.7</v>
      </c>
    </row>
    <row r="4092" customFormat="false" ht="15" hidden="false" customHeight="false" outlineLevel="0" collapsed="false">
      <c r="A4092" s="9" t="s">
        <v>1741</v>
      </c>
      <c r="B4092" s="9" t="s">
        <v>39</v>
      </c>
      <c r="C4092" s="9" t="n">
        <v>6</v>
      </c>
      <c r="D4092" s="10" t="n">
        <v>2.75</v>
      </c>
      <c r="E4092" s="10" t="n">
        <f aca="false">C4092*D4092</f>
        <v>16.5</v>
      </c>
    </row>
    <row r="4093" customFormat="false" ht="15" hidden="false" customHeight="false" outlineLevel="0" collapsed="false">
      <c r="A4093" s="9" t="s">
        <v>1741</v>
      </c>
      <c r="B4093" s="9" t="s">
        <v>38</v>
      </c>
      <c r="C4093" s="9" t="n">
        <v>6</v>
      </c>
      <c r="D4093" s="10" t="n">
        <v>3.39</v>
      </c>
      <c r="E4093" s="10" t="n">
        <f aca="false">C4093*D4093</f>
        <v>20.34</v>
      </c>
    </row>
    <row r="4094" customFormat="false" ht="15" hidden="false" customHeight="false" outlineLevel="0" collapsed="false">
      <c r="A4094" s="9" t="s">
        <v>1742</v>
      </c>
      <c r="B4094" s="9" t="s">
        <v>45</v>
      </c>
      <c r="C4094" s="9" t="n">
        <v>6</v>
      </c>
      <c r="D4094" s="10" t="n">
        <v>1.85</v>
      </c>
      <c r="E4094" s="10" t="n">
        <f aca="false">C4094*D4094</f>
        <v>11.1</v>
      </c>
    </row>
    <row r="4095" customFormat="false" ht="15" hidden="false" customHeight="false" outlineLevel="0" collapsed="false">
      <c r="A4095" s="9" t="s">
        <v>1742</v>
      </c>
      <c r="B4095" s="9" t="s">
        <v>46</v>
      </c>
      <c r="C4095" s="9" t="n">
        <v>6</v>
      </c>
      <c r="D4095" s="10" t="n">
        <v>1.85</v>
      </c>
      <c r="E4095" s="10" t="n">
        <f aca="false">C4095*D4095</f>
        <v>11.1</v>
      </c>
    </row>
    <row r="4096" customFormat="false" ht="15" hidden="false" customHeight="false" outlineLevel="0" collapsed="false">
      <c r="A4096" s="9" t="s">
        <v>1743</v>
      </c>
      <c r="B4096" s="9" t="s">
        <v>1744</v>
      </c>
      <c r="C4096" s="9" t="n">
        <v>1</v>
      </c>
      <c r="D4096" s="10" t="n">
        <v>2.95</v>
      </c>
      <c r="E4096" s="10" t="n">
        <f aca="false">C4096*D4096</f>
        <v>2.95</v>
      </c>
    </row>
    <row r="4097" customFormat="false" ht="15" hidden="false" customHeight="false" outlineLevel="0" collapsed="false">
      <c r="A4097" s="9" t="s">
        <v>1743</v>
      </c>
      <c r="B4097" s="9" t="s">
        <v>230</v>
      </c>
      <c r="C4097" s="9" t="n">
        <v>2</v>
      </c>
      <c r="D4097" s="10" t="n">
        <v>1.65</v>
      </c>
      <c r="E4097" s="10" t="n">
        <f aca="false">C4097*D4097</f>
        <v>3.3</v>
      </c>
    </row>
    <row r="4098" customFormat="false" ht="15" hidden="false" customHeight="false" outlineLevel="0" collapsed="false">
      <c r="A4098" s="9" t="s">
        <v>1743</v>
      </c>
      <c r="B4098" s="9" t="s">
        <v>231</v>
      </c>
      <c r="C4098" s="9" t="n">
        <v>3</v>
      </c>
      <c r="D4098" s="10" t="n">
        <v>0.85</v>
      </c>
      <c r="E4098" s="10" t="n">
        <f aca="false">C4098*D4098</f>
        <v>2.55</v>
      </c>
    </row>
    <row r="4099" customFormat="false" ht="15" hidden="false" customHeight="false" outlineLevel="0" collapsed="false">
      <c r="A4099" s="9" t="s">
        <v>1743</v>
      </c>
      <c r="B4099" s="9" t="s">
        <v>725</v>
      </c>
      <c r="C4099" s="9" t="n">
        <v>6</v>
      </c>
      <c r="D4099" s="10" t="n">
        <v>0.65</v>
      </c>
      <c r="E4099" s="10" t="n">
        <f aca="false">C4099*D4099</f>
        <v>3.9</v>
      </c>
    </row>
    <row r="4100" customFormat="false" ht="15" hidden="false" customHeight="false" outlineLevel="0" collapsed="false">
      <c r="A4100" s="9" t="s">
        <v>1743</v>
      </c>
      <c r="B4100" s="9" t="s">
        <v>1592</v>
      </c>
      <c r="C4100" s="9" t="n">
        <v>2</v>
      </c>
      <c r="D4100" s="10" t="n">
        <v>3.75</v>
      </c>
      <c r="E4100" s="10" t="n">
        <f aca="false">C4100*D4100</f>
        <v>7.5</v>
      </c>
    </row>
    <row r="4101" customFormat="false" ht="15" hidden="false" customHeight="false" outlineLevel="0" collapsed="false">
      <c r="A4101" s="9" t="s">
        <v>1743</v>
      </c>
      <c r="B4101" s="9" t="s">
        <v>451</v>
      </c>
      <c r="C4101" s="9" t="n">
        <v>1</v>
      </c>
      <c r="D4101" s="10" t="n">
        <v>3.75</v>
      </c>
      <c r="E4101" s="10" t="n">
        <f aca="false">C4101*D4101</f>
        <v>3.75</v>
      </c>
    </row>
    <row r="4102" customFormat="false" ht="15" hidden="false" customHeight="false" outlineLevel="0" collapsed="false">
      <c r="A4102" s="9" t="s">
        <v>1743</v>
      </c>
      <c r="B4102" s="9" t="s">
        <v>437</v>
      </c>
      <c r="C4102" s="9" t="n">
        <v>3</v>
      </c>
      <c r="D4102" s="10" t="n">
        <v>2.95</v>
      </c>
      <c r="E4102" s="10" t="n">
        <f aca="false">C4102*D4102</f>
        <v>8.85</v>
      </c>
    </row>
    <row r="4103" customFormat="false" ht="15" hidden="false" customHeight="false" outlineLevel="0" collapsed="false">
      <c r="A4103" s="9" t="s">
        <v>1743</v>
      </c>
      <c r="B4103" s="9" t="s">
        <v>745</v>
      </c>
      <c r="C4103" s="9" t="n">
        <v>1</v>
      </c>
      <c r="D4103" s="10" t="n">
        <v>2.95</v>
      </c>
      <c r="E4103" s="10" t="n">
        <f aca="false">C4103*D4103</f>
        <v>2.95</v>
      </c>
    </row>
    <row r="4104" customFormat="false" ht="15" hidden="false" customHeight="false" outlineLevel="0" collapsed="false">
      <c r="A4104" s="9" t="s">
        <v>1743</v>
      </c>
      <c r="B4104" s="9" t="s">
        <v>1051</v>
      </c>
      <c r="C4104" s="9" t="n">
        <v>3</v>
      </c>
      <c r="D4104" s="10" t="n">
        <v>1.25</v>
      </c>
      <c r="E4104" s="10" t="n">
        <f aca="false">C4104*D4104</f>
        <v>3.75</v>
      </c>
    </row>
    <row r="4105" customFormat="false" ht="15" hidden="false" customHeight="false" outlineLevel="0" collapsed="false">
      <c r="A4105" s="9" t="s">
        <v>1743</v>
      </c>
      <c r="B4105" s="9" t="s">
        <v>1745</v>
      </c>
      <c r="C4105" s="9" t="n">
        <v>1</v>
      </c>
      <c r="D4105" s="10" t="n">
        <v>2.95</v>
      </c>
      <c r="E4105" s="10" t="n">
        <f aca="false">C4105*D4105</f>
        <v>2.95</v>
      </c>
    </row>
    <row r="4106" customFormat="false" ht="15" hidden="false" customHeight="false" outlineLevel="0" collapsed="false">
      <c r="A4106" s="9" t="s">
        <v>1743</v>
      </c>
      <c r="B4106" s="9" t="s">
        <v>245</v>
      </c>
      <c r="C4106" s="9" t="n">
        <v>2</v>
      </c>
      <c r="D4106" s="10" t="n">
        <v>1.95</v>
      </c>
      <c r="E4106" s="10" t="n">
        <f aca="false">C4106*D4106</f>
        <v>3.9</v>
      </c>
    </row>
    <row r="4107" customFormat="false" ht="15" hidden="false" customHeight="false" outlineLevel="0" collapsed="false">
      <c r="A4107" s="9" t="s">
        <v>1743</v>
      </c>
      <c r="B4107" s="9" t="s">
        <v>464</v>
      </c>
      <c r="C4107" s="9" t="n">
        <v>1</v>
      </c>
      <c r="D4107" s="10" t="n">
        <v>2.95</v>
      </c>
      <c r="E4107" s="10" t="n">
        <f aca="false">C4107*D4107</f>
        <v>2.95</v>
      </c>
    </row>
    <row r="4108" customFormat="false" ht="15" hidden="false" customHeight="false" outlineLevel="0" collapsed="false">
      <c r="A4108" s="9" t="s">
        <v>1743</v>
      </c>
      <c r="B4108" s="9" t="s">
        <v>463</v>
      </c>
      <c r="C4108" s="9" t="n">
        <v>2</v>
      </c>
      <c r="D4108" s="10" t="n">
        <v>2.95</v>
      </c>
      <c r="E4108" s="10" t="n">
        <f aca="false">C4108*D4108</f>
        <v>5.9</v>
      </c>
    </row>
    <row r="4109" customFormat="false" ht="15" hidden="false" customHeight="false" outlineLevel="0" collapsed="false">
      <c r="A4109" s="9" t="s">
        <v>1743</v>
      </c>
      <c r="B4109" s="9" t="s">
        <v>856</v>
      </c>
      <c r="C4109" s="9" t="n">
        <v>2</v>
      </c>
      <c r="D4109" s="10" t="n">
        <v>2.95</v>
      </c>
      <c r="E4109" s="10" t="n">
        <f aca="false">C4109*D4109</f>
        <v>5.9</v>
      </c>
    </row>
    <row r="4110" customFormat="false" ht="15" hidden="false" customHeight="false" outlineLevel="0" collapsed="false">
      <c r="A4110" s="9" t="s">
        <v>1743</v>
      </c>
      <c r="B4110" s="9" t="s">
        <v>298</v>
      </c>
      <c r="C4110" s="9" t="n">
        <v>3</v>
      </c>
      <c r="D4110" s="10" t="n">
        <v>1.65</v>
      </c>
      <c r="E4110" s="10" t="n">
        <f aca="false">C4110*D4110</f>
        <v>4.95</v>
      </c>
    </row>
    <row r="4111" customFormat="false" ht="15" hidden="false" customHeight="false" outlineLevel="0" collapsed="false">
      <c r="A4111" s="9" t="s">
        <v>1743</v>
      </c>
      <c r="B4111" s="9" t="s">
        <v>342</v>
      </c>
      <c r="C4111" s="9" t="n">
        <v>3</v>
      </c>
      <c r="D4111" s="10" t="n">
        <v>1.65</v>
      </c>
      <c r="E4111" s="10" t="n">
        <f aca="false">C4111*D4111</f>
        <v>4.95</v>
      </c>
    </row>
    <row r="4112" customFormat="false" ht="15" hidden="false" customHeight="false" outlineLevel="0" collapsed="false">
      <c r="A4112" s="9" t="s">
        <v>1743</v>
      </c>
      <c r="B4112" s="9" t="s">
        <v>258</v>
      </c>
      <c r="C4112" s="9" t="n">
        <v>3</v>
      </c>
      <c r="D4112" s="10" t="n">
        <v>2.1</v>
      </c>
      <c r="E4112" s="10" t="n">
        <f aca="false">C4112*D4112</f>
        <v>6.3</v>
      </c>
    </row>
    <row r="4113" customFormat="false" ht="15" hidden="false" customHeight="false" outlineLevel="0" collapsed="false">
      <c r="A4113" s="9" t="s">
        <v>1743</v>
      </c>
      <c r="B4113" s="9" t="s">
        <v>472</v>
      </c>
      <c r="C4113" s="9" t="n">
        <v>5</v>
      </c>
      <c r="D4113" s="10" t="n">
        <v>2.1</v>
      </c>
      <c r="E4113" s="10" t="n">
        <f aca="false">C4113*D4113</f>
        <v>10.5</v>
      </c>
    </row>
    <row r="4114" customFormat="false" ht="15" hidden="false" customHeight="false" outlineLevel="0" collapsed="false">
      <c r="A4114" s="9" t="s">
        <v>1743</v>
      </c>
      <c r="B4114" s="9" t="s">
        <v>45</v>
      </c>
      <c r="C4114" s="9" t="n">
        <v>4</v>
      </c>
      <c r="D4114" s="10" t="n">
        <v>2.1</v>
      </c>
      <c r="E4114" s="10" t="n">
        <f aca="false">C4114*D4114</f>
        <v>8.4</v>
      </c>
    </row>
    <row r="4115" customFormat="false" ht="15" hidden="false" customHeight="false" outlineLevel="0" collapsed="false">
      <c r="A4115" s="9" t="s">
        <v>1743</v>
      </c>
      <c r="B4115" s="9" t="s">
        <v>344</v>
      </c>
      <c r="C4115" s="9" t="n">
        <v>5</v>
      </c>
      <c r="D4115" s="10" t="n">
        <v>1.65</v>
      </c>
      <c r="E4115" s="10" t="n">
        <f aca="false">C4115*D4115</f>
        <v>8.25</v>
      </c>
    </row>
    <row r="4116" customFormat="false" ht="15" hidden="false" customHeight="false" outlineLevel="0" collapsed="false">
      <c r="A4116" s="9" t="s">
        <v>1743</v>
      </c>
      <c r="B4116" s="9" t="s">
        <v>297</v>
      </c>
      <c r="C4116" s="9" t="n">
        <v>3</v>
      </c>
      <c r="D4116" s="10" t="n">
        <v>1.65</v>
      </c>
      <c r="E4116" s="10" t="n">
        <f aca="false">C4116*D4116</f>
        <v>4.95</v>
      </c>
    </row>
    <row r="4117" customFormat="false" ht="15" hidden="false" customHeight="false" outlineLevel="0" collapsed="false">
      <c r="A4117" s="9" t="s">
        <v>1743</v>
      </c>
      <c r="B4117" s="9" t="s">
        <v>385</v>
      </c>
      <c r="C4117" s="9" t="n">
        <v>10</v>
      </c>
      <c r="D4117" s="10" t="n">
        <v>0.85</v>
      </c>
      <c r="E4117" s="10" t="n">
        <f aca="false">C4117*D4117</f>
        <v>8.5</v>
      </c>
    </row>
    <row r="4118" customFormat="false" ht="15" hidden="false" customHeight="false" outlineLevel="0" collapsed="false">
      <c r="A4118" s="9" t="s">
        <v>1743</v>
      </c>
      <c r="B4118" s="9" t="s">
        <v>83</v>
      </c>
      <c r="C4118" s="9" t="n">
        <v>2</v>
      </c>
      <c r="D4118" s="10" t="n">
        <v>2.95</v>
      </c>
      <c r="E4118" s="10" t="n">
        <f aca="false">C4118*D4118</f>
        <v>5.9</v>
      </c>
    </row>
    <row r="4119" customFormat="false" ht="15" hidden="false" customHeight="false" outlineLevel="0" collapsed="false">
      <c r="A4119" s="9" t="s">
        <v>1743</v>
      </c>
      <c r="B4119" s="9" t="s">
        <v>495</v>
      </c>
      <c r="C4119" s="9" t="n">
        <v>4</v>
      </c>
      <c r="D4119" s="10" t="n">
        <v>1.45</v>
      </c>
      <c r="E4119" s="10" t="n">
        <f aca="false">C4119*D4119</f>
        <v>5.8</v>
      </c>
    </row>
    <row r="4120" customFormat="false" ht="15" hidden="false" customHeight="false" outlineLevel="0" collapsed="false">
      <c r="A4120" s="9" t="s">
        <v>1743</v>
      </c>
      <c r="B4120" s="9" t="s">
        <v>1182</v>
      </c>
      <c r="C4120" s="9" t="n">
        <v>1</v>
      </c>
      <c r="D4120" s="10" t="n">
        <v>1.25</v>
      </c>
      <c r="E4120" s="10" t="n">
        <f aca="false">C4120*D4120</f>
        <v>1.25</v>
      </c>
    </row>
    <row r="4121" customFormat="false" ht="15" hidden="false" customHeight="false" outlineLevel="0" collapsed="false">
      <c r="A4121" s="9" t="s">
        <v>1743</v>
      </c>
      <c r="B4121" s="9" t="s">
        <v>1080</v>
      </c>
      <c r="C4121" s="9" t="n">
        <v>10</v>
      </c>
      <c r="D4121" s="10" t="n">
        <v>0.65</v>
      </c>
      <c r="E4121" s="10" t="n">
        <f aca="false">C4121*D4121</f>
        <v>6.5</v>
      </c>
    </row>
    <row r="4122" customFormat="false" ht="15" hidden="false" customHeight="false" outlineLevel="0" collapsed="false">
      <c r="A4122" s="9" t="s">
        <v>1743</v>
      </c>
      <c r="B4122" s="9" t="s">
        <v>251</v>
      </c>
      <c r="C4122" s="9" t="n">
        <v>2</v>
      </c>
      <c r="D4122" s="10" t="n">
        <v>1.65</v>
      </c>
      <c r="E4122" s="10" t="n">
        <f aca="false">C4122*D4122</f>
        <v>3.3</v>
      </c>
    </row>
    <row r="4123" customFormat="false" ht="15" hidden="false" customHeight="false" outlineLevel="0" collapsed="false">
      <c r="A4123" s="9" t="s">
        <v>1743</v>
      </c>
      <c r="B4123" s="9" t="s">
        <v>447</v>
      </c>
      <c r="C4123" s="9" t="n">
        <v>2</v>
      </c>
      <c r="D4123" s="10" t="n">
        <v>1.25</v>
      </c>
      <c r="E4123" s="10" t="n">
        <f aca="false">C4123*D4123</f>
        <v>2.5</v>
      </c>
    </row>
    <row r="4124" customFormat="false" ht="15" hidden="false" customHeight="false" outlineLevel="0" collapsed="false">
      <c r="A4124" s="9" t="s">
        <v>1743</v>
      </c>
      <c r="B4124" s="9" t="s">
        <v>415</v>
      </c>
      <c r="C4124" s="9" t="n">
        <v>2</v>
      </c>
      <c r="D4124" s="10" t="n">
        <v>1.25</v>
      </c>
      <c r="E4124" s="10" t="n">
        <f aca="false">C4124*D4124</f>
        <v>2.5</v>
      </c>
    </row>
    <row r="4125" customFormat="false" ht="15" hidden="false" customHeight="false" outlineLevel="0" collapsed="false">
      <c r="A4125" s="9" t="s">
        <v>1743</v>
      </c>
      <c r="B4125" s="9" t="s">
        <v>959</v>
      </c>
      <c r="C4125" s="9" t="n">
        <v>2</v>
      </c>
      <c r="D4125" s="10" t="n">
        <v>1.25</v>
      </c>
      <c r="E4125" s="10" t="n">
        <f aca="false">C4125*D4125</f>
        <v>2.5</v>
      </c>
    </row>
    <row r="4126" customFormat="false" ht="15" hidden="false" customHeight="false" outlineLevel="0" collapsed="false">
      <c r="A4126" s="9" t="s">
        <v>1743</v>
      </c>
      <c r="B4126" s="9" t="s">
        <v>1318</v>
      </c>
      <c r="C4126" s="9" t="n">
        <v>2</v>
      </c>
      <c r="D4126" s="10" t="n">
        <v>1.25</v>
      </c>
      <c r="E4126" s="10" t="n">
        <f aca="false">C4126*D4126</f>
        <v>2.5</v>
      </c>
    </row>
    <row r="4127" customFormat="false" ht="15" hidden="false" customHeight="false" outlineLevel="0" collapsed="false">
      <c r="A4127" s="9" t="s">
        <v>1743</v>
      </c>
      <c r="B4127" s="9" t="s">
        <v>615</v>
      </c>
      <c r="C4127" s="9" t="n">
        <v>1</v>
      </c>
      <c r="D4127" s="10" t="n">
        <v>3.75</v>
      </c>
      <c r="E4127" s="10" t="n">
        <f aca="false">C4127*D4127</f>
        <v>3.75</v>
      </c>
    </row>
    <row r="4128" customFormat="false" ht="15" hidden="false" customHeight="false" outlineLevel="0" collapsed="false">
      <c r="A4128" s="9" t="s">
        <v>1743</v>
      </c>
      <c r="B4128" s="9" t="s">
        <v>185</v>
      </c>
      <c r="C4128" s="9" t="n">
        <v>4</v>
      </c>
      <c r="D4128" s="10" t="n">
        <v>2.95</v>
      </c>
      <c r="E4128" s="10" t="n">
        <f aca="false">C4128*D4128</f>
        <v>11.8</v>
      </c>
    </row>
    <row r="4129" customFormat="false" ht="15" hidden="false" customHeight="false" outlineLevel="0" collapsed="false">
      <c r="A4129" s="9" t="s">
        <v>1743</v>
      </c>
      <c r="B4129" s="9" t="s">
        <v>539</v>
      </c>
      <c r="C4129" s="9" t="n">
        <v>1</v>
      </c>
      <c r="D4129" s="10" t="n">
        <v>1.25</v>
      </c>
      <c r="E4129" s="10" t="n">
        <f aca="false">C4129*D4129</f>
        <v>1.25</v>
      </c>
    </row>
    <row r="4130" customFormat="false" ht="15" hidden="false" customHeight="false" outlineLevel="0" collapsed="false">
      <c r="A4130" s="9" t="s">
        <v>1743</v>
      </c>
      <c r="B4130" s="9" t="s">
        <v>379</v>
      </c>
      <c r="C4130" s="9" t="n">
        <v>1</v>
      </c>
      <c r="D4130" s="10" t="n">
        <v>1.65</v>
      </c>
      <c r="E4130" s="10" t="n">
        <f aca="false">C4130*D4130</f>
        <v>1.65</v>
      </c>
    </row>
    <row r="4131" customFormat="false" ht="15" hidden="false" customHeight="false" outlineLevel="0" collapsed="false">
      <c r="A4131" s="9" t="s">
        <v>1743</v>
      </c>
      <c r="B4131" s="9" t="s">
        <v>1467</v>
      </c>
      <c r="C4131" s="9" t="n">
        <v>4</v>
      </c>
      <c r="D4131" s="10" t="n">
        <v>0.65</v>
      </c>
      <c r="E4131" s="10" t="n">
        <f aca="false">C4131*D4131</f>
        <v>2.6</v>
      </c>
    </row>
    <row r="4132" customFormat="false" ht="15" hidden="false" customHeight="false" outlineLevel="0" collapsed="false">
      <c r="A4132" s="9" t="s">
        <v>1743</v>
      </c>
      <c r="B4132" s="9" t="s">
        <v>421</v>
      </c>
      <c r="C4132" s="9" t="n">
        <v>2</v>
      </c>
      <c r="D4132" s="10" t="n">
        <v>1.65</v>
      </c>
      <c r="E4132" s="10" t="n">
        <f aca="false">C4132*D4132</f>
        <v>3.3</v>
      </c>
    </row>
    <row r="4133" customFormat="false" ht="15" hidden="false" customHeight="false" outlineLevel="0" collapsed="false">
      <c r="A4133" s="9" t="s">
        <v>1743</v>
      </c>
      <c r="B4133" s="9" t="s">
        <v>1087</v>
      </c>
      <c r="C4133" s="9" t="n">
        <v>1</v>
      </c>
      <c r="D4133" s="10" t="n">
        <v>1.65</v>
      </c>
      <c r="E4133" s="10" t="n">
        <f aca="false">C4133*D4133</f>
        <v>1.65</v>
      </c>
    </row>
    <row r="4134" customFormat="false" ht="15" hidden="false" customHeight="false" outlineLevel="0" collapsed="false">
      <c r="A4134" s="9" t="s">
        <v>1743</v>
      </c>
      <c r="B4134" s="9" t="s">
        <v>341</v>
      </c>
      <c r="C4134" s="9" t="n">
        <v>5</v>
      </c>
      <c r="D4134" s="10" t="n">
        <v>1.65</v>
      </c>
      <c r="E4134" s="10" t="n">
        <f aca="false">C4134*D4134</f>
        <v>8.25</v>
      </c>
    </row>
    <row r="4135" customFormat="false" ht="15" hidden="false" customHeight="false" outlineLevel="0" collapsed="false">
      <c r="A4135" s="9" t="s">
        <v>1743</v>
      </c>
      <c r="B4135" s="9" t="s">
        <v>1746</v>
      </c>
      <c r="C4135" s="9" t="n">
        <v>4</v>
      </c>
      <c r="D4135" s="10" t="n">
        <v>0.65</v>
      </c>
      <c r="E4135" s="10" t="n">
        <f aca="false">C4135*D4135</f>
        <v>2.6</v>
      </c>
    </row>
    <row r="4136" customFormat="false" ht="15" hidden="false" customHeight="false" outlineLevel="0" collapsed="false">
      <c r="A4136" s="9" t="s">
        <v>1743</v>
      </c>
      <c r="B4136" s="9" t="s">
        <v>1049</v>
      </c>
      <c r="C4136" s="9" t="n">
        <v>3</v>
      </c>
      <c r="D4136" s="10" t="n">
        <v>0.85</v>
      </c>
      <c r="E4136" s="10" t="n">
        <f aca="false">C4136*D4136</f>
        <v>2.55</v>
      </c>
    </row>
    <row r="4137" customFormat="false" ht="15" hidden="false" customHeight="false" outlineLevel="0" collapsed="false">
      <c r="A4137" s="9" t="s">
        <v>1743</v>
      </c>
      <c r="B4137" s="9" t="s">
        <v>1747</v>
      </c>
      <c r="C4137" s="9" t="n">
        <v>4</v>
      </c>
      <c r="D4137" s="10" t="n">
        <v>0.65</v>
      </c>
      <c r="E4137" s="10" t="n">
        <f aca="false">C4137*D4137</f>
        <v>2.6</v>
      </c>
    </row>
    <row r="4138" customFormat="false" ht="15" hidden="false" customHeight="false" outlineLevel="0" collapsed="false">
      <c r="A4138" s="9" t="s">
        <v>1743</v>
      </c>
      <c r="B4138" s="9" t="s">
        <v>1488</v>
      </c>
      <c r="C4138" s="9" t="n">
        <v>1</v>
      </c>
      <c r="D4138" s="10" t="n">
        <v>0.85</v>
      </c>
      <c r="E4138" s="10" t="n">
        <f aca="false">C4138*D4138</f>
        <v>0.85</v>
      </c>
    </row>
    <row r="4139" customFormat="false" ht="15" hidden="false" customHeight="false" outlineLevel="0" collapsed="false">
      <c r="A4139" s="9" t="s">
        <v>1743</v>
      </c>
      <c r="B4139" s="9" t="s">
        <v>1748</v>
      </c>
      <c r="C4139" s="9" t="n">
        <v>1</v>
      </c>
      <c r="D4139" s="10" t="n">
        <v>0.85</v>
      </c>
      <c r="E4139" s="10" t="n">
        <f aca="false">C4139*D4139</f>
        <v>0.85</v>
      </c>
    </row>
    <row r="4140" customFormat="false" ht="15" hidden="false" customHeight="false" outlineLevel="0" collapsed="false">
      <c r="A4140" s="9" t="s">
        <v>1743</v>
      </c>
      <c r="B4140" s="9" t="s">
        <v>396</v>
      </c>
      <c r="C4140" s="9" t="n">
        <v>12</v>
      </c>
      <c r="D4140" s="10" t="n">
        <v>0.85</v>
      </c>
      <c r="E4140" s="10" t="n">
        <f aca="false">C4140*D4140</f>
        <v>10.2</v>
      </c>
    </row>
    <row r="4141" customFormat="false" ht="15" hidden="false" customHeight="false" outlineLevel="0" collapsed="false">
      <c r="A4141" s="9" t="s">
        <v>1743</v>
      </c>
      <c r="B4141" s="9" t="s">
        <v>1749</v>
      </c>
      <c r="C4141" s="9" t="n">
        <v>1</v>
      </c>
      <c r="D4141" s="10" t="n">
        <v>0.85</v>
      </c>
      <c r="E4141" s="10" t="n">
        <f aca="false">C4141*D4141</f>
        <v>0.85</v>
      </c>
    </row>
    <row r="4142" customFormat="false" ht="15" hidden="false" customHeight="false" outlineLevel="0" collapsed="false">
      <c r="A4142" s="9" t="s">
        <v>1743</v>
      </c>
      <c r="B4142" s="9" t="s">
        <v>250</v>
      </c>
      <c r="C4142" s="9" t="n">
        <v>1</v>
      </c>
      <c r="D4142" s="10" t="n">
        <v>1.49</v>
      </c>
      <c r="E4142" s="10" t="n">
        <f aca="false">C4142*D4142</f>
        <v>1.49</v>
      </c>
    </row>
    <row r="4143" customFormat="false" ht="15" hidden="false" customHeight="false" outlineLevel="0" collapsed="false">
      <c r="A4143" s="9" t="s">
        <v>1743</v>
      </c>
      <c r="B4143" s="9" t="s">
        <v>1115</v>
      </c>
      <c r="C4143" s="9" t="n">
        <v>1</v>
      </c>
      <c r="D4143" s="10" t="n">
        <v>1.25</v>
      </c>
      <c r="E4143" s="10" t="n">
        <f aca="false">C4143*D4143</f>
        <v>1.25</v>
      </c>
    </row>
    <row r="4144" customFormat="false" ht="15" hidden="false" customHeight="false" outlineLevel="0" collapsed="false">
      <c r="A4144" s="9" t="s">
        <v>1743</v>
      </c>
      <c r="B4144" s="9" t="s">
        <v>1750</v>
      </c>
      <c r="C4144" s="9" t="n">
        <v>1</v>
      </c>
      <c r="D4144" s="10" t="n">
        <v>1.25</v>
      </c>
      <c r="E4144" s="10" t="n">
        <f aca="false">C4144*D4144</f>
        <v>1.25</v>
      </c>
    </row>
    <row r="4145" customFormat="false" ht="15" hidden="false" customHeight="false" outlineLevel="0" collapsed="false">
      <c r="A4145" s="9" t="s">
        <v>1743</v>
      </c>
      <c r="B4145" s="9" t="s">
        <v>1751</v>
      </c>
      <c r="C4145" s="9" t="n">
        <v>1</v>
      </c>
      <c r="D4145" s="10" t="n">
        <v>0.85</v>
      </c>
      <c r="E4145" s="10" t="n">
        <f aca="false">C4145*D4145</f>
        <v>0.85</v>
      </c>
    </row>
    <row r="4146" customFormat="false" ht="15" hidden="false" customHeight="false" outlineLevel="0" collapsed="false">
      <c r="A4146" s="9" t="s">
        <v>1752</v>
      </c>
      <c r="B4146" s="9" t="s">
        <v>637</v>
      </c>
      <c r="C4146" s="9" t="n">
        <v>1</v>
      </c>
      <c r="D4146" s="10" t="n">
        <v>2.95</v>
      </c>
      <c r="E4146" s="10" t="n">
        <f aca="false">C4146*D4146</f>
        <v>2.95</v>
      </c>
    </row>
    <row r="4147" customFormat="false" ht="15" hidden="false" customHeight="false" outlineLevel="0" collapsed="false">
      <c r="A4147" s="9" t="s">
        <v>1752</v>
      </c>
      <c r="B4147" s="9" t="s">
        <v>165</v>
      </c>
      <c r="C4147" s="9" t="n">
        <v>1</v>
      </c>
      <c r="D4147" s="10" t="n">
        <v>14.95</v>
      </c>
      <c r="E4147" s="10" t="n">
        <f aca="false">C4147*D4147</f>
        <v>14.95</v>
      </c>
    </row>
    <row r="4148" customFormat="false" ht="15" hidden="false" customHeight="false" outlineLevel="0" collapsed="false">
      <c r="A4148" s="9" t="s">
        <v>1752</v>
      </c>
      <c r="B4148" s="9" t="s">
        <v>429</v>
      </c>
      <c r="C4148" s="9" t="n">
        <v>1</v>
      </c>
      <c r="D4148" s="10" t="n">
        <v>3.75</v>
      </c>
      <c r="E4148" s="10" t="n">
        <f aca="false">C4148*D4148</f>
        <v>3.75</v>
      </c>
    </row>
    <row r="4149" customFormat="false" ht="15" hidden="false" customHeight="false" outlineLevel="0" collapsed="false">
      <c r="A4149" s="9" t="s">
        <v>1752</v>
      </c>
      <c r="B4149" s="9" t="s">
        <v>415</v>
      </c>
      <c r="C4149" s="9" t="n">
        <v>1</v>
      </c>
      <c r="D4149" s="10" t="n">
        <v>1.25</v>
      </c>
      <c r="E4149" s="10" t="n">
        <f aca="false">C4149*D4149</f>
        <v>1.25</v>
      </c>
    </row>
    <row r="4150" customFormat="false" ht="15" hidden="false" customHeight="false" outlineLevel="0" collapsed="false">
      <c r="A4150" s="9" t="s">
        <v>1752</v>
      </c>
      <c r="B4150" s="9" t="s">
        <v>421</v>
      </c>
      <c r="C4150" s="9" t="n">
        <v>1</v>
      </c>
      <c r="D4150" s="10" t="n">
        <v>1.65</v>
      </c>
      <c r="E4150" s="10" t="n">
        <f aca="false">C4150*D4150</f>
        <v>1.65</v>
      </c>
    </row>
    <row r="4151" customFormat="false" ht="15" hidden="false" customHeight="false" outlineLevel="0" collapsed="false">
      <c r="A4151" s="9" t="s">
        <v>1752</v>
      </c>
      <c r="B4151" s="9" t="s">
        <v>76</v>
      </c>
      <c r="C4151" s="9" t="n">
        <v>1</v>
      </c>
      <c r="D4151" s="10" t="n">
        <v>1.95</v>
      </c>
      <c r="E4151" s="10" t="n">
        <f aca="false">C4151*D4151</f>
        <v>1.95</v>
      </c>
    </row>
    <row r="4152" customFormat="false" ht="15" hidden="false" customHeight="false" outlineLevel="0" collapsed="false">
      <c r="A4152" s="9" t="s">
        <v>1752</v>
      </c>
      <c r="B4152" s="9" t="s">
        <v>594</v>
      </c>
      <c r="C4152" s="9" t="n">
        <v>1</v>
      </c>
      <c r="D4152" s="10" t="n">
        <v>4.25</v>
      </c>
      <c r="E4152" s="10" t="n">
        <f aca="false">C4152*D4152</f>
        <v>4.25</v>
      </c>
    </row>
    <row r="4153" customFormat="false" ht="15" hidden="false" customHeight="false" outlineLevel="0" collapsed="false">
      <c r="A4153" s="9" t="s">
        <v>1752</v>
      </c>
      <c r="B4153" s="9" t="s">
        <v>476</v>
      </c>
      <c r="C4153" s="9" t="n">
        <v>1</v>
      </c>
      <c r="D4153" s="10" t="n">
        <v>1.65</v>
      </c>
      <c r="E4153" s="10" t="n">
        <f aca="false">C4153*D4153</f>
        <v>1.65</v>
      </c>
    </row>
    <row r="4154" customFormat="false" ht="15" hidden="false" customHeight="false" outlineLevel="0" collapsed="false">
      <c r="A4154" s="9" t="s">
        <v>1752</v>
      </c>
      <c r="B4154" s="9" t="s">
        <v>255</v>
      </c>
      <c r="C4154" s="9" t="n">
        <v>1</v>
      </c>
      <c r="D4154" s="10" t="n">
        <v>2.1</v>
      </c>
      <c r="E4154" s="10" t="n">
        <f aca="false">C4154*D4154</f>
        <v>2.1</v>
      </c>
    </row>
    <row r="4155" customFormat="false" ht="15" hidden="false" customHeight="false" outlineLevel="0" collapsed="false">
      <c r="A4155" s="9" t="s">
        <v>1752</v>
      </c>
      <c r="B4155" s="9" t="s">
        <v>258</v>
      </c>
      <c r="C4155" s="9" t="n">
        <v>1</v>
      </c>
      <c r="D4155" s="10" t="n">
        <v>2.1</v>
      </c>
      <c r="E4155" s="10" t="n">
        <f aca="false">C4155*D4155</f>
        <v>2.1</v>
      </c>
    </row>
    <row r="4156" customFormat="false" ht="15" hidden="false" customHeight="false" outlineLevel="0" collapsed="false">
      <c r="A4156" s="9" t="s">
        <v>1752</v>
      </c>
      <c r="B4156" s="9" t="s">
        <v>1230</v>
      </c>
      <c r="C4156" s="9" t="n">
        <v>1</v>
      </c>
      <c r="D4156" s="10" t="n">
        <v>3.75</v>
      </c>
      <c r="E4156" s="10" t="n">
        <f aca="false">C4156*D4156</f>
        <v>3.75</v>
      </c>
    </row>
    <row r="4157" customFormat="false" ht="15" hidden="false" customHeight="false" outlineLevel="0" collapsed="false">
      <c r="A4157" s="9" t="s">
        <v>1752</v>
      </c>
      <c r="B4157" s="9" t="s">
        <v>1231</v>
      </c>
      <c r="C4157" s="9" t="n">
        <v>1</v>
      </c>
      <c r="D4157" s="10" t="n">
        <v>3.75</v>
      </c>
      <c r="E4157" s="10" t="n">
        <f aca="false">C4157*D4157</f>
        <v>3.75</v>
      </c>
    </row>
    <row r="4158" customFormat="false" ht="15" hidden="false" customHeight="false" outlineLevel="0" collapsed="false">
      <c r="A4158" s="9" t="s">
        <v>1752</v>
      </c>
      <c r="B4158" s="9" t="s">
        <v>1112</v>
      </c>
      <c r="C4158" s="9" t="n">
        <v>1</v>
      </c>
      <c r="D4158" s="10" t="n">
        <v>2.95</v>
      </c>
      <c r="E4158" s="10" t="n">
        <f aca="false">C4158*D4158</f>
        <v>2.95</v>
      </c>
    </row>
    <row r="4159" customFormat="false" ht="15" hidden="false" customHeight="false" outlineLevel="0" collapsed="false">
      <c r="A4159" s="9" t="s">
        <v>1752</v>
      </c>
      <c r="B4159" s="9" t="s">
        <v>610</v>
      </c>
      <c r="C4159" s="9" t="n">
        <v>1</v>
      </c>
      <c r="D4159" s="10" t="n">
        <v>2.95</v>
      </c>
      <c r="E4159" s="10" t="n">
        <f aca="false">C4159*D4159</f>
        <v>2.95</v>
      </c>
    </row>
    <row r="4160" customFormat="false" ht="15" hidden="false" customHeight="false" outlineLevel="0" collapsed="false">
      <c r="A4160" s="9" t="s">
        <v>1752</v>
      </c>
      <c r="B4160" s="9" t="s">
        <v>595</v>
      </c>
      <c r="C4160" s="9" t="n">
        <v>1</v>
      </c>
      <c r="D4160" s="10" t="n">
        <v>4.25</v>
      </c>
      <c r="E4160" s="10" t="n">
        <f aca="false">C4160*D4160</f>
        <v>4.25</v>
      </c>
    </row>
    <row r="4161" customFormat="false" ht="15" hidden="false" customHeight="false" outlineLevel="0" collapsed="false">
      <c r="A4161" s="9" t="s">
        <v>1753</v>
      </c>
      <c r="B4161" s="9" t="s">
        <v>1754</v>
      </c>
      <c r="C4161" s="9" t="n">
        <v>2</v>
      </c>
      <c r="D4161" s="10" t="n">
        <v>0.65</v>
      </c>
      <c r="E4161" s="10" t="n">
        <f aca="false">C4161*D4161</f>
        <v>1.3</v>
      </c>
    </row>
    <row r="4162" customFormat="false" ht="15" hidden="false" customHeight="false" outlineLevel="0" collapsed="false">
      <c r="A4162" s="9" t="s">
        <v>1753</v>
      </c>
      <c r="B4162" s="9" t="s">
        <v>233</v>
      </c>
      <c r="C4162" s="9" t="n">
        <v>1</v>
      </c>
      <c r="D4162" s="10" t="n">
        <v>2.95</v>
      </c>
      <c r="E4162" s="10" t="n">
        <f aca="false">C4162*D4162</f>
        <v>2.95</v>
      </c>
    </row>
    <row r="4163" customFormat="false" ht="15" hidden="false" customHeight="false" outlineLevel="0" collapsed="false">
      <c r="A4163" s="9" t="s">
        <v>1753</v>
      </c>
      <c r="B4163" s="9" t="s">
        <v>490</v>
      </c>
      <c r="C4163" s="9" t="n">
        <v>1</v>
      </c>
      <c r="D4163" s="10" t="n">
        <v>0.85</v>
      </c>
      <c r="E4163" s="10" t="n">
        <f aca="false">C4163*D4163</f>
        <v>0.85</v>
      </c>
    </row>
    <row r="4164" customFormat="false" ht="15" hidden="false" customHeight="false" outlineLevel="0" collapsed="false">
      <c r="A4164" s="9" t="s">
        <v>1753</v>
      </c>
      <c r="B4164" s="9" t="s">
        <v>636</v>
      </c>
      <c r="C4164" s="9" t="n">
        <v>1</v>
      </c>
      <c r="D4164" s="10" t="n">
        <v>3.95</v>
      </c>
      <c r="E4164" s="10" t="n">
        <f aca="false">C4164*D4164</f>
        <v>3.95</v>
      </c>
    </row>
    <row r="4165" customFormat="false" ht="15" hidden="false" customHeight="false" outlineLevel="0" collapsed="false">
      <c r="A4165" s="9" t="s">
        <v>1753</v>
      </c>
      <c r="B4165" s="9" t="s">
        <v>88</v>
      </c>
      <c r="C4165" s="9" t="n">
        <v>1</v>
      </c>
      <c r="D4165" s="10" t="n">
        <v>2.95</v>
      </c>
      <c r="E4165" s="10" t="n">
        <f aca="false">C4165*D4165</f>
        <v>2.95</v>
      </c>
    </row>
    <row r="4166" customFormat="false" ht="15" hidden="false" customHeight="false" outlineLevel="0" collapsed="false">
      <c r="A4166" s="9" t="s">
        <v>1753</v>
      </c>
      <c r="B4166" s="9" t="s">
        <v>583</v>
      </c>
      <c r="C4166" s="9" t="n">
        <v>1</v>
      </c>
      <c r="D4166" s="10" t="n">
        <v>7.95</v>
      </c>
      <c r="E4166" s="10" t="n">
        <f aca="false">C4166*D4166</f>
        <v>7.95</v>
      </c>
    </row>
    <row r="4167" customFormat="false" ht="15" hidden="false" customHeight="false" outlineLevel="0" collapsed="false">
      <c r="A4167" s="9" t="s">
        <v>1753</v>
      </c>
      <c r="B4167" s="9" t="s">
        <v>982</v>
      </c>
      <c r="C4167" s="9" t="n">
        <v>1</v>
      </c>
      <c r="D4167" s="10" t="n">
        <v>6.75</v>
      </c>
      <c r="E4167" s="10" t="n">
        <f aca="false">C4167*D4167</f>
        <v>6.75</v>
      </c>
    </row>
    <row r="4168" customFormat="false" ht="15" hidden="false" customHeight="false" outlineLevel="0" collapsed="false">
      <c r="A4168" s="9" t="s">
        <v>1753</v>
      </c>
      <c r="B4168" s="9" t="s">
        <v>637</v>
      </c>
      <c r="C4168" s="9" t="n">
        <v>1</v>
      </c>
      <c r="D4168" s="10" t="n">
        <v>2.95</v>
      </c>
      <c r="E4168" s="10" t="n">
        <f aca="false">C4168*D4168</f>
        <v>2.95</v>
      </c>
    </row>
    <row r="4169" customFormat="false" ht="15" hidden="false" customHeight="false" outlineLevel="0" collapsed="false">
      <c r="A4169" s="9" t="s">
        <v>1753</v>
      </c>
      <c r="B4169" s="9" t="s">
        <v>1452</v>
      </c>
      <c r="C4169" s="9" t="n">
        <v>1</v>
      </c>
      <c r="D4169" s="10" t="n">
        <v>4.95</v>
      </c>
      <c r="E4169" s="10" t="n">
        <f aca="false">C4169*D4169</f>
        <v>4.95</v>
      </c>
    </row>
    <row r="4170" customFormat="false" ht="15" hidden="false" customHeight="false" outlineLevel="0" collapsed="false">
      <c r="A4170" s="9" t="s">
        <v>1753</v>
      </c>
      <c r="B4170" s="9" t="s">
        <v>1304</v>
      </c>
      <c r="C4170" s="9" t="n">
        <v>1</v>
      </c>
      <c r="D4170" s="10" t="n">
        <v>1.45</v>
      </c>
      <c r="E4170" s="10" t="n">
        <f aca="false">C4170*D4170</f>
        <v>1.45</v>
      </c>
    </row>
    <row r="4171" customFormat="false" ht="15" hidden="false" customHeight="false" outlineLevel="0" collapsed="false">
      <c r="A4171" s="9" t="s">
        <v>1753</v>
      </c>
      <c r="B4171" s="9" t="s">
        <v>231</v>
      </c>
      <c r="C4171" s="9" t="n">
        <v>3</v>
      </c>
      <c r="D4171" s="10" t="n">
        <v>0.85</v>
      </c>
      <c r="E4171" s="10" t="n">
        <f aca="false">C4171*D4171</f>
        <v>2.55</v>
      </c>
    </row>
    <row r="4172" customFormat="false" ht="15" hidden="false" customHeight="false" outlineLevel="0" collapsed="false">
      <c r="A4172" s="9" t="s">
        <v>1753</v>
      </c>
      <c r="B4172" s="9" t="s">
        <v>220</v>
      </c>
      <c r="C4172" s="9" t="n">
        <v>1</v>
      </c>
      <c r="D4172" s="10" t="n">
        <v>5.95</v>
      </c>
      <c r="E4172" s="10" t="n">
        <f aca="false">C4172*D4172</f>
        <v>5.95</v>
      </c>
    </row>
    <row r="4173" customFormat="false" ht="15" hidden="false" customHeight="false" outlineLevel="0" collapsed="false">
      <c r="A4173" s="9" t="s">
        <v>1753</v>
      </c>
      <c r="B4173" s="9" t="s">
        <v>718</v>
      </c>
      <c r="C4173" s="9" t="n">
        <v>1</v>
      </c>
      <c r="D4173" s="10" t="n">
        <v>4.95</v>
      </c>
      <c r="E4173" s="10" t="n">
        <f aca="false">C4173*D4173</f>
        <v>4.95</v>
      </c>
    </row>
    <row r="4174" customFormat="false" ht="15" hidden="false" customHeight="false" outlineLevel="0" collapsed="false">
      <c r="A4174" s="9" t="s">
        <v>1753</v>
      </c>
      <c r="B4174" s="9" t="s">
        <v>80</v>
      </c>
      <c r="C4174" s="9" t="n">
        <v>1</v>
      </c>
      <c r="D4174" s="10" t="n">
        <v>0.85</v>
      </c>
      <c r="E4174" s="10" t="n">
        <f aca="false">C4174*D4174</f>
        <v>0.85</v>
      </c>
    </row>
    <row r="4175" customFormat="false" ht="15" hidden="false" customHeight="false" outlineLevel="0" collapsed="false">
      <c r="A4175" s="9" t="s">
        <v>1753</v>
      </c>
      <c r="B4175" s="9" t="s">
        <v>1747</v>
      </c>
      <c r="C4175" s="9" t="n">
        <v>2</v>
      </c>
      <c r="D4175" s="10" t="n">
        <v>0.65</v>
      </c>
      <c r="E4175" s="10" t="n">
        <f aca="false">C4175*D4175</f>
        <v>1.3</v>
      </c>
    </row>
    <row r="4176" customFormat="false" ht="15" hidden="false" customHeight="false" outlineLevel="0" collapsed="false">
      <c r="A4176" s="9" t="s">
        <v>1753</v>
      </c>
      <c r="B4176" s="9" t="s">
        <v>606</v>
      </c>
      <c r="C4176" s="9" t="n">
        <v>1</v>
      </c>
      <c r="D4176" s="10" t="n">
        <v>0.85</v>
      </c>
      <c r="E4176" s="10" t="n">
        <f aca="false">C4176*D4176</f>
        <v>0.85</v>
      </c>
    </row>
    <row r="4177" customFormat="false" ht="15" hidden="false" customHeight="false" outlineLevel="0" collapsed="false">
      <c r="A4177" s="9" t="s">
        <v>1753</v>
      </c>
      <c r="B4177" s="9" t="s">
        <v>234</v>
      </c>
      <c r="C4177" s="9" t="n">
        <v>1</v>
      </c>
      <c r="D4177" s="10" t="n">
        <v>9.95</v>
      </c>
      <c r="E4177" s="10" t="n">
        <f aca="false">C4177*D4177</f>
        <v>9.95</v>
      </c>
    </row>
    <row r="4178" customFormat="false" ht="15" hidden="false" customHeight="false" outlineLevel="0" collapsed="false">
      <c r="A4178" s="9" t="s">
        <v>1753</v>
      </c>
      <c r="B4178" s="9" t="s">
        <v>1301</v>
      </c>
      <c r="C4178" s="9" t="n">
        <v>1</v>
      </c>
      <c r="D4178" s="10" t="n">
        <v>2.95</v>
      </c>
      <c r="E4178" s="10" t="n">
        <f aca="false">C4178*D4178</f>
        <v>2.95</v>
      </c>
    </row>
    <row r="4179" customFormat="false" ht="15" hidden="false" customHeight="false" outlineLevel="0" collapsed="false">
      <c r="A4179" s="9" t="s">
        <v>1753</v>
      </c>
      <c r="B4179" s="9" t="s">
        <v>920</v>
      </c>
      <c r="C4179" s="9" t="n">
        <v>1</v>
      </c>
      <c r="D4179" s="10" t="n">
        <v>1.25</v>
      </c>
      <c r="E4179" s="10" t="n">
        <f aca="false">C4179*D4179</f>
        <v>1.25</v>
      </c>
    </row>
    <row r="4180" customFormat="false" ht="15" hidden="false" customHeight="false" outlineLevel="0" collapsed="false">
      <c r="A4180" s="9" t="s">
        <v>1755</v>
      </c>
      <c r="B4180" s="9" t="s">
        <v>94</v>
      </c>
      <c r="C4180" s="9" t="n">
        <v>6</v>
      </c>
      <c r="D4180" s="10" t="n">
        <v>2.95</v>
      </c>
      <c r="E4180" s="10" t="n">
        <f aca="false">C4180*D4180</f>
        <v>17.7</v>
      </c>
    </row>
    <row r="4181" customFormat="false" ht="15" hidden="false" customHeight="false" outlineLevel="0" collapsed="false">
      <c r="A4181" s="9" t="s">
        <v>1755</v>
      </c>
      <c r="B4181" s="9" t="s">
        <v>1756</v>
      </c>
      <c r="C4181" s="9" t="n">
        <v>12</v>
      </c>
      <c r="D4181" s="10" t="n">
        <v>1.65</v>
      </c>
      <c r="E4181" s="10" t="n">
        <f aca="false">C4181*D4181</f>
        <v>19.8</v>
      </c>
    </row>
    <row r="4182" customFormat="false" ht="15" hidden="false" customHeight="false" outlineLevel="0" collapsed="false">
      <c r="A4182" s="9" t="s">
        <v>1755</v>
      </c>
      <c r="B4182" s="9" t="s">
        <v>278</v>
      </c>
      <c r="C4182" s="9" t="n">
        <v>6</v>
      </c>
      <c r="D4182" s="10" t="n">
        <v>2.95</v>
      </c>
      <c r="E4182" s="10" t="n">
        <f aca="false">C4182*D4182</f>
        <v>17.7</v>
      </c>
    </row>
    <row r="4183" customFormat="false" ht="15" hidden="false" customHeight="false" outlineLevel="0" collapsed="false">
      <c r="A4183" s="9" t="s">
        <v>1755</v>
      </c>
      <c r="B4183" s="9" t="s">
        <v>559</v>
      </c>
      <c r="C4183" s="9" t="n">
        <v>2</v>
      </c>
      <c r="D4183" s="10" t="n">
        <v>7.95</v>
      </c>
      <c r="E4183" s="10" t="n">
        <f aca="false">C4183*D4183</f>
        <v>15.9</v>
      </c>
    </row>
    <row r="4184" customFormat="false" ht="15" hidden="false" customHeight="false" outlineLevel="0" collapsed="false">
      <c r="A4184" s="9" t="s">
        <v>1755</v>
      </c>
      <c r="B4184" s="9" t="s">
        <v>1577</v>
      </c>
      <c r="C4184" s="9" t="n">
        <v>12</v>
      </c>
      <c r="D4184" s="10" t="n">
        <v>0.85</v>
      </c>
      <c r="E4184" s="10" t="n">
        <f aca="false">C4184*D4184</f>
        <v>10.2</v>
      </c>
    </row>
    <row r="4185" customFormat="false" ht="15" hidden="false" customHeight="false" outlineLevel="0" collapsed="false">
      <c r="A4185" s="9" t="s">
        <v>1755</v>
      </c>
      <c r="B4185" s="9" t="s">
        <v>1133</v>
      </c>
      <c r="C4185" s="9" t="n">
        <v>2</v>
      </c>
      <c r="D4185" s="10" t="n">
        <v>5.95</v>
      </c>
      <c r="E4185" s="10" t="n">
        <f aca="false">C4185*D4185</f>
        <v>11.9</v>
      </c>
    </row>
    <row r="4186" customFormat="false" ht="15" hidden="false" customHeight="false" outlineLevel="0" collapsed="false">
      <c r="A4186" s="9" t="s">
        <v>1755</v>
      </c>
      <c r="B4186" s="9" t="s">
        <v>1697</v>
      </c>
      <c r="C4186" s="9" t="n">
        <v>6</v>
      </c>
      <c r="D4186" s="10" t="n">
        <v>2.55</v>
      </c>
      <c r="E4186" s="10" t="n">
        <f aca="false">C4186*D4186</f>
        <v>15.3</v>
      </c>
    </row>
    <row r="4187" customFormat="false" ht="15" hidden="false" customHeight="false" outlineLevel="0" collapsed="false">
      <c r="A4187" s="9" t="s">
        <v>1755</v>
      </c>
      <c r="B4187" s="9" t="s">
        <v>1413</v>
      </c>
      <c r="C4187" s="9" t="n">
        <v>4</v>
      </c>
      <c r="D4187" s="10" t="n">
        <v>3.75</v>
      </c>
      <c r="E4187" s="10" t="n">
        <f aca="false">C4187*D4187</f>
        <v>15</v>
      </c>
    </row>
    <row r="4188" customFormat="false" ht="15" hidden="false" customHeight="false" outlineLevel="0" collapsed="false">
      <c r="A4188" s="9" t="s">
        <v>1755</v>
      </c>
      <c r="B4188" s="9" t="s">
        <v>276</v>
      </c>
      <c r="C4188" s="9" t="n">
        <v>2</v>
      </c>
      <c r="D4188" s="10" t="n">
        <v>7.95</v>
      </c>
      <c r="E4188" s="10" t="n">
        <f aca="false">C4188*D4188</f>
        <v>15.9</v>
      </c>
    </row>
    <row r="4189" customFormat="false" ht="15" hidden="false" customHeight="false" outlineLevel="0" collapsed="false">
      <c r="A4189" s="9" t="s">
        <v>1755</v>
      </c>
      <c r="B4189" s="9" t="s">
        <v>92</v>
      </c>
      <c r="C4189" s="9" t="n">
        <v>2</v>
      </c>
      <c r="D4189" s="10" t="n">
        <v>7.95</v>
      </c>
      <c r="E4189" s="10" t="n">
        <f aca="false">C4189*D4189</f>
        <v>15.9</v>
      </c>
    </row>
    <row r="4190" customFormat="false" ht="15" hidden="false" customHeight="false" outlineLevel="0" collapsed="false">
      <c r="A4190" s="9" t="s">
        <v>1755</v>
      </c>
      <c r="B4190" s="9" t="s">
        <v>1757</v>
      </c>
      <c r="C4190" s="9" t="n">
        <v>24</v>
      </c>
      <c r="D4190" s="10" t="n">
        <v>1.25</v>
      </c>
      <c r="E4190" s="10" t="n">
        <f aca="false">C4190*D4190</f>
        <v>30</v>
      </c>
    </row>
    <row r="4191" customFormat="false" ht="15" hidden="false" customHeight="false" outlineLevel="0" collapsed="false">
      <c r="A4191" s="9" t="s">
        <v>1755</v>
      </c>
      <c r="B4191" s="9" t="s">
        <v>1758</v>
      </c>
      <c r="C4191" s="9" t="n">
        <v>12</v>
      </c>
      <c r="D4191" s="10" t="n">
        <v>1.65</v>
      </c>
      <c r="E4191" s="10" t="n">
        <f aca="false">C4191*D4191</f>
        <v>19.8</v>
      </c>
    </row>
    <row r="4192" customFormat="false" ht="15" hidden="false" customHeight="false" outlineLevel="0" collapsed="false">
      <c r="A4192" s="9" t="s">
        <v>1755</v>
      </c>
      <c r="B4192" s="9" t="s">
        <v>426</v>
      </c>
      <c r="C4192" s="9" t="n">
        <v>3</v>
      </c>
      <c r="D4192" s="10" t="n">
        <v>6.75</v>
      </c>
      <c r="E4192" s="10" t="n">
        <f aca="false">C4192*D4192</f>
        <v>20.25</v>
      </c>
    </row>
    <row r="4193" customFormat="false" ht="15" hidden="false" customHeight="false" outlineLevel="0" collapsed="false">
      <c r="A4193" s="9" t="s">
        <v>1755</v>
      </c>
      <c r="B4193" s="9" t="s">
        <v>341</v>
      </c>
      <c r="C4193" s="9" t="n">
        <v>12</v>
      </c>
      <c r="D4193" s="10" t="n">
        <v>1.65</v>
      </c>
      <c r="E4193" s="10" t="n">
        <f aca="false">C4193*D4193</f>
        <v>19.8</v>
      </c>
    </row>
    <row r="4194" customFormat="false" ht="15" hidden="false" customHeight="false" outlineLevel="0" collapsed="false">
      <c r="A4194" s="9" t="s">
        <v>1755</v>
      </c>
      <c r="B4194" s="9" t="s">
        <v>184</v>
      </c>
      <c r="C4194" s="9" t="n">
        <v>3</v>
      </c>
      <c r="D4194" s="10" t="n">
        <v>6.45</v>
      </c>
      <c r="E4194" s="10" t="n">
        <f aca="false">C4194*D4194</f>
        <v>19.35</v>
      </c>
    </row>
    <row r="4195" customFormat="false" ht="15" hidden="false" customHeight="false" outlineLevel="0" collapsed="false">
      <c r="A4195" s="9" t="s">
        <v>1755</v>
      </c>
      <c r="B4195" s="9" t="s">
        <v>1199</v>
      </c>
      <c r="C4195" s="9" t="n">
        <v>4</v>
      </c>
      <c r="D4195" s="10" t="n">
        <v>7.95</v>
      </c>
      <c r="E4195" s="10" t="n">
        <f aca="false">C4195*D4195</f>
        <v>31.8</v>
      </c>
    </row>
    <row r="4196" customFormat="false" ht="15" hidden="false" customHeight="false" outlineLevel="0" collapsed="false">
      <c r="A4196" s="9" t="s">
        <v>1755</v>
      </c>
      <c r="B4196" s="9" t="s">
        <v>1239</v>
      </c>
      <c r="C4196" s="9" t="n">
        <v>1</v>
      </c>
      <c r="D4196" s="10" t="n">
        <v>14.95</v>
      </c>
      <c r="E4196" s="10" t="n">
        <f aca="false">C4196*D4196</f>
        <v>14.95</v>
      </c>
    </row>
    <row r="4197" customFormat="false" ht="15" hidden="false" customHeight="false" outlineLevel="0" collapsed="false">
      <c r="A4197" s="9" t="s">
        <v>1759</v>
      </c>
      <c r="B4197" s="9" t="s">
        <v>1610</v>
      </c>
      <c r="C4197" s="9" t="n">
        <v>2</v>
      </c>
      <c r="D4197" s="10" t="n">
        <v>7.95</v>
      </c>
      <c r="E4197" s="10" t="n">
        <f aca="false">C4197*D4197</f>
        <v>15.9</v>
      </c>
    </row>
    <row r="4198" customFormat="false" ht="15" hidden="false" customHeight="false" outlineLevel="0" collapsed="false">
      <c r="A4198" s="9" t="s">
        <v>1759</v>
      </c>
      <c r="B4198" s="9" t="s">
        <v>275</v>
      </c>
      <c r="C4198" s="9" t="n">
        <v>12</v>
      </c>
      <c r="D4198" s="10" t="n">
        <v>1.25</v>
      </c>
      <c r="E4198" s="10" t="n">
        <f aca="false">C4198*D4198</f>
        <v>15</v>
      </c>
    </row>
    <row r="4199" customFormat="false" ht="15" hidden="false" customHeight="false" outlineLevel="0" collapsed="false">
      <c r="A4199" s="9" t="s">
        <v>1759</v>
      </c>
      <c r="B4199" s="9" t="s">
        <v>989</v>
      </c>
      <c r="C4199" s="9" t="n">
        <v>1</v>
      </c>
      <c r="D4199" s="10" t="n">
        <v>9.95</v>
      </c>
      <c r="E4199" s="10" t="n">
        <f aca="false">C4199*D4199</f>
        <v>9.95</v>
      </c>
    </row>
    <row r="4200" customFormat="false" ht="15" hidden="false" customHeight="false" outlineLevel="0" collapsed="false">
      <c r="A4200" s="9" t="s">
        <v>1759</v>
      </c>
      <c r="B4200" s="9" t="s">
        <v>945</v>
      </c>
      <c r="C4200" s="9" t="n">
        <v>8</v>
      </c>
      <c r="D4200" s="10" t="n">
        <v>1.95</v>
      </c>
      <c r="E4200" s="10" t="n">
        <f aca="false">C4200*D4200</f>
        <v>15.6</v>
      </c>
    </row>
    <row r="4201" customFormat="false" ht="15" hidden="false" customHeight="false" outlineLevel="0" collapsed="false">
      <c r="A4201" s="9" t="s">
        <v>1759</v>
      </c>
      <c r="B4201" s="9" t="s">
        <v>1760</v>
      </c>
      <c r="C4201" s="9" t="n">
        <v>4</v>
      </c>
      <c r="D4201" s="10" t="n">
        <v>3.75</v>
      </c>
      <c r="E4201" s="10" t="n">
        <f aca="false">C4201*D4201</f>
        <v>15</v>
      </c>
    </row>
    <row r="4202" customFormat="false" ht="15" hidden="false" customHeight="false" outlineLevel="0" collapsed="false">
      <c r="A4202" s="9" t="s">
        <v>1759</v>
      </c>
      <c r="B4202" s="9" t="s">
        <v>1761</v>
      </c>
      <c r="C4202" s="9" t="n">
        <v>6</v>
      </c>
      <c r="D4202" s="10" t="n">
        <v>2.1</v>
      </c>
      <c r="E4202" s="10" t="n">
        <f aca="false">C4202*D4202</f>
        <v>12.6</v>
      </c>
    </row>
    <row r="4203" customFormat="false" ht="15" hidden="false" customHeight="false" outlineLevel="0" collapsed="false">
      <c r="A4203" s="9" t="s">
        <v>1759</v>
      </c>
      <c r="B4203" s="9" t="s">
        <v>406</v>
      </c>
      <c r="C4203" s="9" t="n">
        <v>3</v>
      </c>
      <c r="D4203" s="10" t="n">
        <v>4.95</v>
      </c>
      <c r="E4203" s="10" t="n">
        <f aca="false">C4203*D4203</f>
        <v>14.85</v>
      </c>
    </row>
    <row r="4204" customFormat="false" ht="15" hidden="false" customHeight="false" outlineLevel="0" collapsed="false">
      <c r="A4204" s="9" t="s">
        <v>1762</v>
      </c>
      <c r="B4204" s="9" t="s">
        <v>758</v>
      </c>
      <c r="C4204" s="9" t="n">
        <v>12</v>
      </c>
      <c r="D4204" s="10" t="n">
        <v>0.42</v>
      </c>
      <c r="E4204" s="10" t="n">
        <f aca="false">C4204*D4204</f>
        <v>5.04</v>
      </c>
    </row>
    <row r="4205" customFormat="false" ht="15" hidden="false" customHeight="false" outlineLevel="0" collapsed="false">
      <c r="A4205" s="9" t="s">
        <v>1762</v>
      </c>
      <c r="B4205" s="9" t="s">
        <v>1763</v>
      </c>
      <c r="C4205" s="9" t="n">
        <v>12</v>
      </c>
      <c r="D4205" s="10" t="n">
        <v>0.65</v>
      </c>
      <c r="E4205" s="10" t="n">
        <f aca="false">C4205*D4205</f>
        <v>7.8</v>
      </c>
    </row>
    <row r="4206" customFormat="false" ht="15" hidden="false" customHeight="false" outlineLevel="0" collapsed="false">
      <c r="A4206" s="9" t="s">
        <v>1762</v>
      </c>
      <c r="B4206" s="9" t="s">
        <v>638</v>
      </c>
      <c r="C4206" s="9" t="n">
        <v>12</v>
      </c>
      <c r="D4206" s="10" t="n">
        <v>0.42</v>
      </c>
      <c r="E4206" s="10" t="n">
        <f aca="false">C4206*D4206</f>
        <v>5.04</v>
      </c>
    </row>
    <row r="4207" customFormat="false" ht="15" hidden="false" customHeight="false" outlineLevel="0" collapsed="false">
      <c r="A4207" s="9" t="s">
        <v>1762</v>
      </c>
      <c r="B4207" s="9" t="s">
        <v>1764</v>
      </c>
      <c r="C4207" s="9" t="n">
        <v>25</v>
      </c>
      <c r="D4207" s="10" t="n">
        <v>0.42</v>
      </c>
      <c r="E4207" s="10" t="n">
        <f aca="false">C4207*D4207</f>
        <v>10.5</v>
      </c>
    </row>
    <row r="4208" customFormat="false" ht="15" hidden="false" customHeight="false" outlineLevel="0" collapsed="false">
      <c r="A4208" s="9" t="s">
        <v>1762</v>
      </c>
      <c r="B4208" s="9" t="s">
        <v>853</v>
      </c>
      <c r="C4208" s="9" t="n">
        <v>12</v>
      </c>
      <c r="D4208" s="10" t="n">
        <v>0.65</v>
      </c>
      <c r="E4208" s="10" t="n">
        <f aca="false">C4208*D4208</f>
        <v>7.8</v>
      </c>
    </row>
    <row r="4209" customFormat="false" ht="15" hidden="false" customHeight="false" outlineLevel="0" collapsed="false">
      <c r="A4209" s="9" t="s">
        <v>1762</v>
      </c>
      <c r="B4209" s="9" t="s">
        <v>274</v>
      </c>
      <c r="C4209" s="9" t="n">
        <v>12</v>
      </c>
      <c r="D4209" s="10" t="n">
        <v>1.65</v>
      </c>
      <c r="E4209" s="10" t="n">
        <f aca="false">C4209*D4209</f>
        <v>19.8</v>
      </c>
    </row>
    <row r="4210" customFormat="false" ht="15" hidden="false" customHeight="false" outlineLevel="0" collapsed="false">
      <c r="A4210" s="9" t="s">
        <v>1762</v>
      </c>
      <c r="B4210" s="9" t="s">
        <v>1412</v>
      </c>
      <c r="C4210" s="9" t="n">
        <v>12</v>
      </c>
      <c r="D4210" s="10" t="n">
        <v>0.85</v>
      </c>
      <c r="E4210" s="10" t="n">
        <f aca="false">C4210*D4210</f>
        <v>10.2</v>
      </c>
    </row>
    <row r="4211" customFormat="false" ht="15" hidden="false" customHeight="false" outlineLevel="0" collapsed="false">
      <c r="A4211" s="9" t="s">
        <v>1762</v>
      </c>
      <c r="B4211" s="9" t="s">
        <v>200</v>
      </c>
      <c r="C4211" s="9" t="n">
        <v>12</v>
      </c>
      <c r="D4211" s="10" t="n">
        <v>1.45</v>
      </c>
      <c r="E4211" s="10" t="n">
        <f aca="false">C4211*D4211</f>
        <v>17.4</v>
      </c>
    </row>
    <row r="4212" customFormat="false" ht="15" hidden="false" customHeight="false" outlineLevel="0" collapsed="false">
      <c r="A4212" s="9" t="s">
        <v>1762</v>
      </c>
      <c r="B4212" s="9" t="s">
        <v>84</v>
      </c>
      <c r="C4212" s="9" t="n">
        <v>4</v>
      </c>
      <c r="D4212" s="10" t="n">
        <v>3.75</v>
      </c>
      <c r="E4212" s="10" t="n">
        <f aca="false">C4212*D4212</f>
        <v>15</v>
      </c>
    </row>
    <row r="4213" customFormat="false" ht="15" hidden="false" customHeight="false" outlineLevel="0" collapsed="false">
      <c r="A4213" s="9" t="s">
        <v>1762</v>
      </c>
      <c r="B4213" s="9" t="s">
        <v>255</v>
      </c>
      <c r="C4213" s="9" t="n">
        <v>12</v>
      </c>
      <c r="D4213" s="10" t="n">
        <v>2.1</v>
      </c>
      <c r="E4213" s="10" t="n">
        <f aca="false">C4213*D4213</f>
        <v>25.2</v>
      </c>
    </row>
    <row r="4214" customFormat="false" ht="15" hidden="false" customHeight="false" outlineLevel="0" collapsed="false">
      <c r="A4214" s="9" t="s">
        <v>1762</v>
      </c>
      <c r="B4214" s="9" t="s">
        <v>523</v>
      </c>
      <c r="C4214" s="9" t="n">
        <v>12</v>
      </c>
      <c r="D4214" s="10" t="n">
        <v>2.95</v>
      </c>
      <c r="E4214" s="10" t="n">
        <f aca="false">C4214*D4214</f>
        <v>35.4</v>
      </c>
    </row>
    <row r="4215" customFormat="false" ht="15" hidden="false" customHeight="false" outlineLevel="0" collapsed="false">
      <c r="A4215" s="9" t="s">
        <v>1762</v>
      </c>
      <c r="B4215" s="9" t="s">
        <v>228</v>
      </c>
      <c r="C4215" s="9" t="n">
        <v>12</v>
      </c>
      <c r="D4215" s="10" t="n">
        <v>1.65</v>
      </c>
      <c r="E4215" s="10" t="n">
        <f aca="false">C4215*D4215</f>
        <v>19.8</v>
      </c>
    </row>
    <row r="4216" customFormat="false" ht="15" hidden="false" customHeight="false" outlineLevel="0" collapsed="false">
      <c r="A4216" s="9" t="s">
        <v>1762</v>
      </c>
      <c r="B4216" s="9" t="s">
        <v>216</v>
      </c>
      <c r="C4216" s="9" t="n">
        <v>3</v>
      </c>
      <c r="D4216" s="10" t="n">
        <v>5.95</v>
      </c>
      <c r="E4216" s="10" t="n">
        <f aca="false">C4216*D4216</f>
        <v>17.85</v>
      </c>
    </row>
    <row r="4217" customFormat="false" ht="15" hidden="false" customHeight="false" outlineLevel="0" collapsed="false">
      <c r="A4217" s="9" t="s">
        <v>1762</v>
      </c>
      <c r="B4217" s="9" t="s">
        <v>725</v>
      </c>
      <c r="C4217" s="9" t="n">
        <v>24</v>
      </c>
      <c r="D4217" s="10" t="n">
        <v>0.65</v>
      </c>
      <c r="E4217" s="10" t="n">
        <f aca="false">C4217*D4217</f>
        <v>15.6</v>
      </c>
    </row>
    <row r="4218" customFormat="false" ht="15" hidden="false" customHeight="false" outlineLevel="0" collapsed="false">
      <c r="A4218" s="9" t="s">
        <v>1762</v>
      </c>
      <c r="B4218" s="9" t="s">
        <v>128</v>
      </c>
      <c r="C4218" s="9" t="n">
        <v>12</v>
      </c>
      <c r="D4218" s="10" t="n">
        <v>1.45</v>
      </c>
      <c r="E4218" s="10" t="n">
        <f aca="false">C4218*D4218</f>
        <v>17.4</v>
      </c>
    </row>
    <row r="4219" customFormat="false" ht="15" hidden="false" customHeight="false" outlineLevel="0" collapsed="false">
      <c r="A4219" s="9" t="s">
        <v>1762</v>
      </c>
      <c r="B4219" s="9" t="s">
        <v>1051</v>
      </c>
      <c r="C4219" s="9" t="n">
        <v>12</v>
      </c>
      <c r="D4219" s="10" t="n">
        <v>1.25</v>
      </c>
      <c r="E4219" s="10" t="n">
        <f aca="false">C4219*D4219</f>
        <v>15</v>
      </c>
    </row>
    <row r="4220" customFormat="false" ht="15" hidden="false" customHeight="false" outlineLevel="0" collapsed="false">
      <c r="A4220" s="9" t="s">
        <v>1762</v>
      </c>
      <c r="B4220" s="9" t="s">
        <v>275</v>
      </c>
      <c r="C4220" s="9" t="n">
        <v>12</v>
      </c>
      <c r="D4220" s="10" t="n">
        <v>1.25</v>
      </c>
      <c r="E4220" s="10" t="n">
        <f aca="false">C4220*D4220</f>
        <v>15</v>
      </c>
    </row>
    <row r="4221" customFormat="false" ht="15" hidden="false" customHeight="false" outlineLevel="0" collapsed="false">
      <c r="A4221" s="9" t="s">
        <v>1762</v>
      </c>
      <c r="B4221" s="9" t="s">
        <v>220</v>
      </c>
      <c r="C4221" s="9" t="n">
        <v>3</v>
      </c>
      <c r="D4221" s="10" t="n">
        <v>5.95</v>
      </c>
      <c r="E4221" s="10" t="n">
        <f aca="false">C4221*D4221</f>
        <v>17.85</v>
      </c>
    </row>
    <row r="4222" customFormat="false" ht="15" hidden="false" customHeight="false" outlineLevel="0" collapsed="false">
      <c r="A4222" s="9" t="s">
        <v>1762</v>
      </c>
      <c r="B4222" s="9" t="s">
        <v>707</v>
      </c>
      <c r="C4222" s="9" t="n">
        <v>12</v>
      </c>
      <c r="D4222" s="10" t="n">
        <v>1.25</v>
      </c>
      <c r="E4222" s="10" t="n">
        <f aca="false">C4222*D4222</f>
        <v>15</v>
      </c>
    </row>
    <row r="4223" customFormat="false" ht="15" hidden="false" customHeight="false" outlineLevel="0" collapsed="false">
      <c r="A4223" s="9" t="s">
        <v>1762</v>
      </c>
      <c r="B4223" s="9" t="s">
        <v>85</v>
      </c>
      <c r="C4223" s="9" t="n">
        <v>4</v>
      </c>
      <c r="D4223" s="10" t="n">
        <v>3.75</v>
      </c>
      <c r="E4223" s="10" t="n">
        <f aca="false">C4223*D4223</f>
        <v>15</v>
      </c>
    </row>
    <row r="4224" customFormat="false" ht="15" hidden="false" customHeight="false" outlineLevel="0" collapsed="false">
      <c r="A4224" s="9" t="s">
        <v>1765</v>
      </c>
      <c r="B4224" s="9" t="s">
        <v>1766</v>
      </c>
      <c r="C4224" s="9" t="n">
        <v>25</v>
      </c>
      <c r="D4224" s="10" t="n">
        <v>0.42</v>
      </c>
      <c r="E4224" s="10" t="n">
        <f aca="false">C4224*D4224</f>
        <v>10.5</v>
      </c>
    </row>
    <row r="4225" customFormat="false" ht="15" hidden="false" customHeight="false" outlineLevel="0" collapsed="false">
      <c r="A4225" s="9" t="s">
        <v>1765</v>
      </c>
      <c r="B4225" s="9" t="s">
        <v>983</v>
      </c>
      <c r="C4225" s="9" t="n">
        <v>12</v>
      </c>
      <c r="D4225" s="10" t="n">
        <v>0.85</v>
      </c>
      <c r="E4225" s="10" t="n">
        <f aca="false">C4225*D4225</f>
        <v>10.2</v>
      </c>
    </row>
    <row r="4226" customFormat="false" ht="15" hidden="false" customHeight="false" outlineLevel="0" collapsed="false">
      <c r="A4226" s="9" t="s">
        <v>1765</v>
      </c>
      <c r="B4226" s="9" t="s">
        <v>402</v>
      </c>
      <c r="C4226" s="9" t="n">
        <v>12</v>
      </c>
      <c r="D4226" s="10" t="n">
        <v>0.65</v>
      </c>
      <c r="E4226" s="10" t="n">
        <f aca="false">C4226*D4226</f>
        <v>7.8</v>
      </c>
    </row>
    <row r="4227" customFormat="false" ht="15" hidden="false" customHeight="false" outlineLevel="0" collapsed="false">
      <c r="A4227" s="9" t="s">
        <v>1765</v>
      </c>
      <c r="B4227" s="9" t="s">
        <v>531</v>
      </c>
      <c r="C4227" s="9" t="n">
        <v>12</v>
      </c>
      <c r="D4227" s="10" t="n">
        <v>1.25</v>
      </c>
      <c r="E4227" s="10" t="n">
        <f aca="false">C4227*D4227</f>
        <v>15</v>
      </c>
    </row>
    <row r="4228" customFormat="false" ht="15" hidden="false" customHeight="false" outlineLevel="0" collapsed="false">
      <c r="A4228" s="9" t="s">
        <v>1765</v>
      </c>
      <c r="B4228" s="9" t="s">
        <v>386</v>
      </c>
      <c r="C4228" s="9" t="n">
        <v>12</v>
      </c>
      <c r="D4228" s="10" t="n">
        <v>1.95</v>
      </c>
      <c r="E4228" s="10" t="n">
        <f aca="false">C4228*D4228</f>
        <v>23.4</v>
      </c>
    </row>
    <row r="4229" customFormat="false" ht="15" hidden="false" customHeight="false" outlineLevel="0" collapsed="false">
      <c r="A4229" s="9" t="s">
        <v>1765</v>
      </c>
      <c r="B4229" s="9" t="s">
        <v>1097</v>
      </c>
      <c r="C4229" s="9" t="n">
        <v>36</v>
      </c>
      <c r="D4229" s="10" t="n">
        <v>0.42</v>
      </c>
      <c r="E4229" s="10" t="n">
        <f aca="false">C4229*D4229</f>
        <v>15.12</v>
      </c>
    </row>
    <row r="4230" customFormat="false" ht="15" hidden="false" customHeight="false" outlineLevel="0" collapsed="false">
      <c r="A4230" s="9" t="s">
        <v>1765</v>
      </c>
      <c r="B4230" s="9" t="s">
        <v>196</v>
      </c>
      <c r="C4230" s="9" t="n">
        <v>24</v>
      </c>
      <c r="D4230" s="10" t="n">
        <v>4.25</v>
      </c>
      <c r="E4230" s="10" t="n">
        <f aca="false">C4230*D4230</f>
        <v>102</v>
      </c>
    </row>
    <row r="4231" customFormat="false" ht="15" hidden="false" customHeight="false" outlineLevel="0" collapsed="false">
      <c r="A4231" s="9" t="s">
        <v>1765</v>
      </c>
      <c r="B4231" s="9" t="s">
        <v>727</v>
      </c>
      <c r="C4231" s="9" t="n">
        <v>48</v>
      </c>
      <c r="D4231" s="10" t="n">
        <v>0.65</v>
      </c>
      <c r="E4231" s="10" t="n">
        <f aca="false">C4231*D4231</f>
        <v>31.2</v>
      </c>
    </row>
    <row r="4232" customFormat="false" ht="15" hidden="false" customHeight="false" outlineLevel="0" collapsed="false">
      <c r="A4232" s="9" t="s">
        <v>1765</v>
      </c>
      <c r="B4232" s="9" t="s">
        <v>104</v>
      </c>
      <c r="C4232" s="9" t="n">
        <v>6</v>
      </c>
      <c r="D4232" s="10" t="n">
        <v>2.95</v>
      </c>
      <c r="E4232" s="10" t="n">
        <f aca="false">C4232*D4232</f>
        <v>17.7</v>
      </c>
    </row>
    <row r="4233" customFormat="false" ht="15" hidden="false" customHeight="false" outlineLevel="0" collapsed="false">
      <c r="A4233" s="9" t="s">
        <v>1765</v>
      </c>
      <c r="B4233" s="9" t="s">
        <v>37</v>
      </c>
      <c r="C4233" s="9" t="n">
        <v>12</v>
      </c>
      <c r="D4233" s="10" t="n">
        <v>2.95</v>
      </c>
      <c r="E4233" s="10" t="n">
        <f aca="false">C4233*D4233</f>
        <v>35.4</v>
      </c>
    </row>
    <row r="4234" customFormat="false" ht="15" hidden="false" customHeight="false" outlineLevel="0" collapsed="false">
      <c r="A4234" s="9" t="s">
        <v>1765</v>
      </c>
      <c r="B4234" s="9" t="s">
        <v>1343</v>
      </c>
      <c r="C4234" s="9" t="n">
        <v>120</v>
      </c>
      <c r="D4234" s="10" t="n">
        <v>1.45</v>
      </c>
      <c r="E4234" s="10" t="n">
        <f aca="false">C4234*D4234</f>
        <v>174</v>
      </c>
    </row>
    <row r="4235" customFormat="false" ht="15" hidden="false" customHeight="false" outlineLevel="0" collapsed="false">
      <c r="A4235" s="9" t="s">
        <v>1765</v>
      </c>
      <c r="B4235" s="9" t="s">
        <v>1217</v>
      </c>
      <c r="C4235" s="9" t="n">
        <v>12</v>
      </c>
      <c r="D4235" s="10" t="n">
        <v>0.85</v>
      </c>
      <c r="E4235" s="10" t="n">
        <f aca="false">C4235*D4235</f>
        <v>10.2</v>
      </c>
    </row>
    <row r="4236" customFormat="false" ht="15" hidden="false" customHeight="false" outlineLevel="0" collapsed="false">
      <c r="A4236" s="9" t="s">
        <v>1767</v>
      </c>
      <c r="B4236" s="9" t="s">
        <v>342</v>
      </c>
      <c r="C4236" s="9" t="n">
        <v>10</v>
      </c>
      <c r="D4236" s="10" t="n">
        <v>1.65</v>
      </c>
      <c r="E4236" s="10" t="n">
        <f aca="false">C4236*D4236</f>
        <v>16.5</v>
      </c>
    </row>
    <row r="4237" customFormat="false" ht="15" hidden="false" customHeight="false" outlineLevel="0" collapsed="false">
      <c r="A4237" s="9" t="s">
        <v>1767</v>
      </c>
      <c r="B4237" s="9" t="s">
        <v>1071</v>
      </c>
      <c r="C4237" s="9" t="n">
        <v>5</v>
      </c>
      <c r="D4237" s="10" t="n">
        <v>2.1</v>
      </c>
      <c r="E4237" s="10" t="n">
        <f aca="false">C4237*D4237</f>
        <v>10.5</v>
      </c>
    </row>
    <row r="4238" customFormat="false" ht="15" hidden="false" customHeight="false" outlineLevel="0" collapsed="false">
      <c r="A4238" s="9" t="s">
        <v>1767</v>
      </c>
      <c r="B4238" s="9" t="s">
        <v>296</v>
      </c>
      <c r="C4238" s="9" t="n">
        <v>10</v>
      </c>
      <c r="D4238" s="10" t="n">
        <v>1.65</v>
      </c>
      <c r="E4238" s="10" t="n">
        <f aca="false">C4238*D4238</f>
        <v>16.5</v>
      </c>
    </row>
    <row r="4239" customFormat="false" ht="15" hidden="false" customHeight="false" outlineLevel="0" collapsed="false">
      <c r="A4239" s="9" t="s">
        <v>1767</v>
      </c>
      <c r="B4239" s="9" t="s">
        <v>1768</v>
      </c>
      <c r="C4239" s="9" t="n">
        <v>12</v>
      </c>
      <c r="D4239" s="10" t="n">
        <v>1.25</v>
      </c>
      <c r="E4239" s="10" t="n">
        <f aca="false">C4239*D4239</f>
        <v>15</v>
      </c>
    </row>
    <row r="4240" customFormat="false" ht="15" hidden="false" customHeight="false" outlineLevel="0" collapsed="false">
      <c r="A4240" s="9" t="s">
        <v>1767</v>
      </c>
      <c r="B4240" s="9" t="s">
        <v>1769</v>
      </c>
      <c r="C4240" s="9" t="n">
        <v>12</v>
      </c>
      <c r="D4240" s="10" t="n">
        <v>1.25</v>
      </c>
      <c r="E4240" s="10" t="n">
        <f aca="false">C4240*D4240</f>
        <v>15</v>
      </c>
    </row>
    <row r="4241" customFormat="false" ht="15" hidden="false" customHeight="false" outlineLevel="0" collapsed="false">
      <c r="A4241" s="9" t="s">
        <v>1767</v>
      </c>
      <c r="B4241" s="9" t="s">
        <v>196</v>
      </c>
      <c r="C4241" s="9" t="n">
        <v>4</v>
      </c>
      <c r="D4241" s="10" t="n">
        <v>4.95</v>
      </c>
      <c r="E4241" s="10" t="n">
        <f aca="false">C4241*D4241</f>
        <v>19.8</v>
      </c>
    </row>
    <row r="4242" customFormat="false" ht="15" hidden="false" customHeight="false" outlineLevel="0" collapsed="false">
      <c r="A4242" s="9" t="s">
        <v>1767</v>
      </c>
      <c r="B4242" s="9" t="s">
        <v>1040</v>
      </c>
      <c r="C4242" s="9" t="n">
        <v>4</v>
      </c>
      <c r="D4242" s="10" t="n">
        <v>4.25</v>
      </c>
      <c r="E4242" s="10" t="n">
        <f aca="false">C4242*D4242</f>
        <v>17</v>
      </c>
    </row>
    <row r="4243" customFormat="false" ht="15" hidden="false" customHeight="false" outlineLevel="0" collapsed="false">
      <c r="A4243" s="9" t="s">
        <v>1767</v>
      </c>
      <c r="B4243" s="9" t="s">
        <v>230</v>
      </c>
      <c r="C4243" s="9" t="n">
        <v>12</v>
      </c>
      <c r="D4243" s="10" t="n">
        <v>1.65</v>
      </c>
      <c r="E4243" s="10" t="n">
        <f aca="false">C4243*D4243</f>
        <v>19.8</v>
      </c>
    </row>
    <row r="4244" customFormat="false" ht="15" hidden="false" customHeight="false" outlineLevel="0" collapsed="false">
      <c r="A4244" s="9" t="s">
        <v>1767</v>
      </c>
      <c r="B4244" s="9" t="s">
        <v>84</v>
      </c>
      <c r="C4244" s="9" t="n">
        <v>8</v>
      </c>
      <c r="D4244" s="10" t="n">
        <v>3.75</v>
      </c>
      <c r="E4244" s="10" t="n">
        <f aca="false">C4244*D4244</f>
        <v>30</v>
      </c>
    </row>
    <row r="4245" customFormat="false" ht="15" hidden="false" customHeight="false" outlineLevel="0" collapsed="false">
      <c r="A4245" s="9" t="s">
        <v>1767</v>
      </c>
      <c r="B4245" s="9" t="s">
        <v>259</v>
      </c>
      <c r="C4245" s="9" t="n">
        <v>4</v>
      </c>
      <c r="D4245" s="10" t="n">
        <v>3.75</v>
      </c>
      <c r="E4245" s="10" t="n">
        <f aca="false">C4245*D4245</f>
        <v>15</v>
      </c>
    </row>
    <row r="4246" customFormat="false" ht="15" hidden="false" customHeight="false" outlineLevel="0" collapsed="false">
      <c r="A4246" s="9" t="s">
        <v>1767</v>
      </c>
      <c r="B4246" s="9" t="s">
        <v>1770</v>
      </c>
      <c r="C4246" s="9" t="n">
        <v>2</v>
      </c>
      <c r="D4246" s="10" t="n">
        <v>12.75</v>
      </c>
      <c r="E4246" s="10" t="n">
        <f aca="false">C4246*D4246</f>
        <v>25.5</v>
      </c>
    </row>
    <row r="4247" customFormat="false" ht="15" hidden="false" customHeight="false" outlineLevel="0" collapsed="false">
      <c r="A4247" s="9" t="s">
        <v>1767</v>
      </c>
      <c r="B4247" s="9" t="s">
        <v>1588</v>
      </c>
      <c r="C4247" s="9" t="n">
        <v>20</v>
      </c>
      <c r="D4247" s="10" t="n">
        <v>1.25</v>
      </c>
      <c r="E4247" s="10" t="n">
        <f aca="false">C4247*D4247</f>
        <v>25</v>
      </c>
    </row>
    <row r="4248" customFormat="false" ht="15" hidden="false" customHeight="false" outlineLevel="0" collapsed="false">
      <c r="A4248" s="9" t="s">
        <v>1767</v>
      </c>
      <c r="B4248" s="9" t="s">
        <v>298</v>
      </c>
      <c r="C4248" s="9" t="n">
        <v>10</v>
      </c>
      <c r="D4248" s="10" t="n">
        <v>1.65</v>
      </c>
      <c r="E4248" s="10" t="n">
        <f aca="false">C4248*D4248</f>
        <v>16.5</v>
      </c>
    </row>
    <row r="4249" customFormat="false" ht="15" hidden="false" customHeight="false" outlineLevel="0" collapsed="false">
      <c r="A4249" s="9" t="s">
        <v>1767</v>
      </c>
      <c r="B4249" s="9" t="s">
        <v>74</v>
      </c>
      <c r="C4249" s="9" t="n">
        <v>10</v>
      </c>
      <c r="D4249" s="10" t="n">
        <v>0.85</v>
      </c>
      <c r="E4249" s="10" t="n">
        <f aca="false">C4249*D4249</f>
        <v>8.5</v>
      </c>
    </row>
    <row r="4250" customFormat="false" ht="15" hidden="false" customHeight="false" outlineLevel="0" collapsed="false">
      <c r="A4250" s="9" t="s">
        <v>1767</v>
      </c>
      <c r="B4250" s="9" t="s">
        <v>1076</v>
      </c>
      <c r="C4250" s="9" t="n">
        <v>10</v>
      </c>
      <c r="D4250" s="10" t="n">
        <v>0.85</v>
      </c>
      <c r="E4250" s="10" t="n">
        <f aca="false">C4250*D4250</f>
        <v>8.5</v>
      </c>
    </row>
    <row r="4251" customFormat="false" ht="15" hidden="false" customHeight="false" outlineLevel="0" collapsed="false">
      <c r="A4251" s="9" t="s">
        <v>1767</v>
      </c>
      <c r="B4251" s="9" t="s">
        <v>885</v>
      </c>
      <c r="C4251" s="9" t="n">
        <v>10</v>
      </c>
      <c r="D4251" s="10" t="n">
        <v>0.85</v>
      </c>
      <c r="E4251" s="10" t="n">
        <f aca="false">C4251*D4251</f>
        <v>8.5</v>
      </c>
    </row>
    <row r="4252" customFormat="false" ht="15" hidden="false" customHeight="false" outlineLevel="0" collapsed="false">
      <c r="A4252" s="9" t="s">
        <v>1767</v>
      </c>
      <c r="B4252" s="9" t="s">
        <v>487</v>
      </c>
      <c r="C4252" s="9" t="n">
        <v>24</v>
      </c>
      <c r="D4252" s="10" t="n">
        <v>0.55</v>
      </c>
      <c r="E4252" s="10" t="n">
        <f aca="false">C4252*D4252</f>
        <v>13.2</v>
      </c>
    </row>
    <row r="4253" customFormat="false" ht="15" hidden="false" customHeight="false" outlineLevel="0" collapsed="false">
      <c r="A4253" s="9" t="s">
        <v>1767</v>
      </c>
      <c r="B4253" s="9" t="s">
        <v>712</v>
      </c>
      <c r="C4253" s="9" t="n">
        <v>4</v>
      </c>
      <c r="D4253" s="10" t="n">
        <v>9.95</v>
      </c>
      <c r="E4253" s="10" t="n">
        <f aca="false">C4253*D4253</f>
        <v>39.8</v>
      </c>
    </row>
    <row r="4254" customFormat="false" ht="15" hidden="false" customHeight="false" outlineLevel="0" collapsed="false">
      <c r="A4254" s="9" t="s">
        <v>1767</v>
      </c>
      <c r="B4254" s="9" t="s">
        <v>375</v>
      </c>
      <c r="C4254" s="9" t="n">
        <v>18</v>
      </c>
      <c r="D4254" s="10" t="n">
        <v>2.55</v>
      </c>
      <c r="E4254" s="10" t="n">
        <f aca="false">C4254*D4254</f>
        <v>45.9</v>
      </c>
    </row>
    <row r="4255" customFormat="false" ht="15" hidden="false" customHeight="false" outlineLevel="0" collapsed="false">
      <c r="A4255" s="9" t="s">
        <v>1767</v>
      </c>
      <c r="B4255" s="9" t="s">
        <v>1019</v>
      </c>
      <c r="C4255" s="9" t="n">
        <v>10</v>
      </c>
      <c r="D4255" s="10" t="n">
        <v>0.85</v>
      </c>
      <c r="E4255" s="10" t="n">
        <f aca="false">C4255*D4255</f>
        <v>8.5</v>
      </c>
    </row>
    <row r="4256" customFormat="false" ht="15" hidden="false" customHeight="false" outlineLevel="0" collapsed="false">
      <c r="A4256" s="9" t="s">
        <v>1767</v>
      </c>
      <c r="B4256" s="9" t="s">
        <v>229</v>
      </c>
      <c r="C4256" s="9" t="n">
        <v>24</v>
      </c>
      <c r="D4256" s="10" t="n">
        <v>0.85</v>
      </c>
      <c r="E4256" s="10" t="n">
        <f aca="false">C4256*D4256</f>
        <v>20.4</v>
      </c>
    </row>
    <row r="4257" customFormat="false" ht="15" hidden="false" customHeight="false" outlineLevel="0" collapsed="false">
      <c r="A4257" s="9" t="s">
        <v>1767</v>
      </c>
      <c r="B4257" s="9" t="s">
        <v>367</v>
      </c>
      <c r="C4257" s="9" t="n">
        <v>24</v>
      </c>
      <c r="D4257" s="10" t="n">
        <v>1.45</v>
      </c>
      <c r="E4257" s="10" t="n">
        <f aca="false">C4257*D4257</f>
        <v>34.8</v>
      </c>
    </row>
    <row r="4258" customFormat="false" ht="15" hidden="false" customHeight="false" outlineLevel="0" collapsed="false">
      <c r="A4258" s="9" t="s">
        <v>1767</v>
      </c>
      <c r="B4258" s="9" t="s">
        <v>116</v>
      </c>
      <c r="C4258" s="9" t="n">
        <v>24</v>
      </c>
      <c r="D4258" s="10" t="n">
        <v>0.55</v>
      </c>
      <c r="E4258" s="10" t="n">
        <f aca="false">C4258*D4258</f>
        <v>13.2</v>
      </c>
    </row>
    <row r="4259" customFormat="false" ht="15" hidden="false" customHeight="false" outlineLevel="0" collapsed="false">
      <c r="A4259" s="9" t="s">
        <v>1767</v>
      </c>
      <c r="B4259" s="9" t="s">
        <v>119</v>
      </c>
      <c r="C4259" s="9" t="n">
        <v>10</v>
      </c>
      <c r="D4259" s="10" t="n">
        <v>1.65</v>
      </c>
      <c r="E4259" s="10" t="n">
        <f aca="false">C4259*D4259</f>
        <v>16.5</v>
      </c>
    </row>
    <row r="4260" customFormat="false" ht="15" hidden="false" customHeight="false" outlineLevel="0" collapsed="false">
      <c r="A4260" s="9" t="s">
        <v>1767</v>
      </c>
      <c r="B4260" s="9" t="s">
        <v>573</v>
      </c>
      <c r="C4260" s="9" t="n">
        <v>8</v>
      </c>
      <c r="D4260" s="10" t="n">
        <v>1.65</v>
      </c>
      <c r="E4260" s="10" t="n">
        <f aca="false">C4260*D4260</f>
        <v>13.2</v>
      </c>
    </row>
    <row r="4261" customFormat="false" ht="15" hidden="false" customHeight="false" outlineLevel="0" collapsed="false">
      <c r="A4261" s="9" t="s">
        <v>1767</v>
      </c>
      <c r="B4261" s="9" t="s">
        <v>1470</v>
      </c>
      <c r="C4261" s="9" t="n">
        <v>6</v>
      </c>
      <c r="D4261" s="10" t="n">
        <v>2.95</v>
      </c>
      <c r="E4261" s="10" t="n">
        <f aca="false">C4261*D4261</f>
        <v>17.7</v>
      </c>
    </row>
    <row r="4262" customFormat="false" ht="15" hidden="false" customHeight="false" outlineLevel="0" collapsed="false">
      <c r="A4262" s="9" t="s">
        <v>1767</v>
      </c>
      <c r="B4262" s="9" t="s">
        <v>88</v>
      </c>
      <c r="C4262" s="9" t="n">
        <v>18</v>
      </c>
      <c r="D4262" s="10" t="n">
        <v>2.95</v>
      </c>
      <c r="E4262" s="10" t="n">
        <f aca="false">C4262*D4262</f>
        <v>53.1</v>
      </c>
    </row>
    <row r="4263" customFormat="false" ht="15" hidden="false" customHeight="false" outlineLevel="0" collapsed="false">
      <c r="A4263" s="9" t="s">
        <v>1767</v>
      </c>
      <c r="B4263" s="9" t="s">
        <v>676</v>
      </c>
      <c r="C4263" s="9" t="n">
        <v>8</v>
      </c>
      <c r="D4263" s="10" t="n">
        <v>1.95</v>
      </c>
      <c r="E4263" s="10" t="n">
        <f aca="false">C4263*D4263</f>
        <v>15.6</v>
      </c>
    </row>
    <row r="4264" customFormat="false" ht="15" hidden="false" customHeight="false" outlineLevel="0" collapsed="false">
      <c r="A4264" s="9" t="s">
        <v>1767</v>
      </c>
      <c r="B4264" s="9" t="s">
        <v>490</v>
      </c>
      <c r="C4264" s="9" t="n">
        <v>24</v>
      </c>
      <c r="D4264" s="10" t="n">
        <v>0.85</v>
      </c>
      <c r="E4264" s="10" t="n">
        <f aca="false">C4264*D4264</f>
        <v>20.4</v>
      </c>
    </row>
    <row r="4265" customFormat="false" ht="15" hidden="false" customHeight="false" outlineLevel="0" collapsed="false">
      <c r="A4265" s="9" t="s">
        <v>1767</v>
      </c>
      <c r="B4265" s="9" t="s">
        <v>233</v>
      </c>
      <c r="C4265" s="9" t="n">
        <v>18</v>
      </c>
      <c r="D4265" s="10" t="n">
        <v>2.95</v>
      </c>
      <c r="E4265" s="10" t="n">
        <f aca="false">C4265*D4265</f>
        <v>53.1</v>
      </c>
    </row>
    <row r="4266" customFormat="false" ht="15" hidden="false" customHeight="false" outlineLevel="0" collapsed="false">
      <c r="A4266" s="9" t="s">
        <v>1767</v>
      </c>
      <c r="B4266" s="9" t="s">
        <v>145</v>
      </c>
      <c r="C4266" s="9" t="n">
        <v>12</v>
      </c>
      <c r="D4266" s="10" t="n">
        <v>2.95</v>
      </c>
      <c r="E4266" s="10" t="n">
        <f aca="false">C4266*D4266</f>
        <v>35.4</v>
      </c>
    </row>
    <row r="4267" customFormat="false" ht="15" hidden="false" customHeight="false" outlineLevel="0" collapsed="false">
      <c r="A4267" s="9" t="s">
        <v>1771</v>
      </c>
      <c r="B4267" s="9" t="s">
        <v>250</v>
      </c>
      <c r="C4267" s="9" t="n">
        <v>12</v>
      </c>
      <c r="D4267" s="10" t="n">
        <v>1.49</v>
      </c>
      <c r="E4267" s="10" t="n">
        <f aca="false">C4267*D4267</f>
        <v>17.88</v>
      </c>
    </row>
    <row r="4268" customFormat="false" ht="15" hidden="false" customHeight="false" outlineLevel="0" collapsed="false">
      <c r="A4268" s="9" t="s">
        <v>1771</v>
      </c>
      <c r="B4268" s="9" t="s">
        <v>348</v>
      </c>
      <c r="C4268" s="9" t="n">
        <v>6</v>
      </c>
      <c r="D4268" s="10" t="n">
        <v>2.1</v>
      </c>
      <c r="E4268" s="10" t="n">
        <f aca="false">C4268*D4268</f>
        <v>12.6</v>
      </c>
    </row>
    <row r="4269" customFormat="false" ht="15" hidden="false" customHeight="false" outlineLevel="0" collapsed="false">
      <c r="A4269" s="9" t="s">
        <v>1771</v>
      </c>
      <c r="B4269" s="9" t="s">
        <v>796</v>
      </c>
      <c r="C4269" s="9" t="n">
        <v>12</v>
      </c>
      <c r="D4269" s="10" t="n">
        <v>1.25</v>
      </c>
      <c r="E4269" s="10" t="n">
        <f aca="false">C4269*D4269</f>
        <v>15</v>
      </c>
    </row>
    <row r="4270" customFormat="false" ht="15" hidden="false" customHeight="false" outlineLevel="0" collapsed="false">
      <c r="A4270" s="9" t="s">
        <v>1771</v>
      </c>
      <c r="B4270" s="9" t="s">
        <v>200</v>
      </c>
      <c r="C4270" s="9" t="n">
        <v>12</v>
      </c>
      <c r="D4270" s="10" t="n">
        <v>1.45</v>
      </c>
      <c r="E4270" s="10" t="n">
        <f aca="false">C4270*D4270</f>
        <v>17.4</v>
      </c>
    </row>
    <row r="4271" customFormat="false" ht="15" hidden="false" customHeight="false" outlineLevel="0" collapsed="false">
      <c r="A4271" s="9" t="s">
        <v>1771</v>
      </c>
      <c r="B4271" s="9" t="s">
        <v>1263</v>
      </c>
      <c r="C4271" s="9" t="n">
        <v>6</v>
      </c>
      <c r="D4271" s="10" t="n">
        <v>2.1</v>
      </c>
      <c r="E4271" s="10" t="n">
        <f aca="false">C4271*D4271</f>
        <v>12.6</v>
      </c>
    </row>
    <row r="4272" customFormat="false" ht="15" hidden="false" customHeight="false" outlineLevel="0" collapsed="false">
      <c r="A4272" s="9" t="s">
        <v>1771</v>
      </c>
      <c r="B4272" s="9" t="s">
        <v>128</v>
      </c>
      <c r="C4272" s="9" t="n">
        <v>12</v>
      </c>
      <c r="D4272" s="10" t="n">
        <v>1.45</v>
      </c>
      <c r="E4272" s="10" t="n">
        <f aca="false">C4272*D4272</f>
        <v>17.4</v>
      </c>
    </row>
    <row r="4273" customFormat="false" ht="15" hidden="false" customHeight="false" outlineLevel="0" collapsed="false">
      <c r="A4273" s="9" t="s">
        <v>1771</v>
      </c>
      <c r="B4273" s="9" t="s">
        <v>63</v>
      </c>
      <c r="C4273" s="9" t="n">
        <v>6</v>
      </c>
      <c r="D4273" s="10" t="n">
        <v>4.25</v>
      </c>
      <c r="E4273" s="10" t="n">
        <f aca="false">C4273*D4273</f>
        <v>25.5</v>
      </c>
    </row>
    <row r="4274" customFormat="false" ht="15" hidden="false" customHeight="false" outlineLevel="0" collapsed="false">
      <c r="A4274" s="9" t="s">
        <v>1772</v>
      </c>
      <c r="B4274" s="9" t="s">
        <v>465</v>
      </c>
      <c r="C4274" s="9" t="n">
        <v>8</v>
      </c>
      <c r="D4274" s="10" t="n">
        <v>4.25</v>
      </c>
      <c r="E4274" s="10" t="n">
        <f aca="false">C4274*D4274</f>
        <v>34</v>
      </c>
    </row>
    <row r="4275" customFormat="false" ht="15" hidden="false" customHeight="false" outlineLevel="0" collapsed="false">
      <c r="A4275" s="9" t="s">
        <v>1772</v>
      </c>
      <c r="B4275" s="9" t="s">
        <v>410</v>
      </c>
      <c r="C4275" s="9" t="n">
        <v>20</v>
      </c>
      <c r="D4275" s="10" t="n">
        <v>1.95</v>
      </c>
      <c r="E4275" s="10" t="n">
        <f aca="false">C4275*D4275</f>
        <v>39</v>
      </c>
    </row>
    <row r="4276" customFormat="false" ht="15" hidden="false" customHeight="false" outlineLevel="0" collapsed="false">
      <c r="A4276" s="9" t="s">
        <v>1772</v>
      </c>
      <c r="B4276" s="9" t="s">
        <v>1050</v>
      </c>
      <c r="C4276" s="9" t="n">
        <v>24</v>
      </c>
      <c r="D4276" s="10" t="n">
        <v>0.65</v>
      </c>
      <c r="E4276" s="10" t="n">
        <f aca="false">C4276*D4276</f>
        <v>15.6</v>
      </c>
    </row>
    <row r="4277" customFormat="false" ht="15" hidden="false" customHeight="false" outlineLevel="0" collapsed="false">
      <c r="A4277" s="9" t="s">
        <v>1772</v>
      </c>
      <c r="B4277" s="9" t="s">
        <v>1773</v>
      </c>
      <c r="C4277" s="9" t="n">
        <v>25</v>
      </c>
      <c r="D4277" s="10" t="n">
        <v>0.42</v>
      </c>
      <c r="E4277" s="10" t="n">
        <f aca="false">C4277*D4277</f>
        <v>10.5</v>
      </c>
    </row>
    <row r="4278" customFormat="false" ht="15" hidden="false" customHeight="false" outlineLevel="0" collapsed="false">
      <c r="A4278" s="9" t="s">
        <v>1772</v>
      </c>
      <c r="B4278" s="9" t="s">
        <v>193</v>
      </c>
      <c r="C4278" s="9" t="n">
        <v>20</v>
      </c>
      <c r="D4278" s="10" t="n">
        <v>1.95</v>
      </c>
      <c r="E4278" s="10" t="n">
        <f aca="false">C4278*D4278</f>
        <v>39</v>
      </c>
    </row>
    <row r="4279" customFormat="false" ht="15" hidden="false" customHeight="false" outlineLevel="0" collapsed="false">
      <c r="A4279" s="9" t="s">
        <v>1774</v>
      </c>
      <c r="B4279" s="9" t="s">
        <v>553</v>
      </c>
      <c r="C4279" s="9" t="n">
        <v>12</v>
      </c>
      <c r="D4279" s="10" t="n">
        <v>1.25</v>
      </c>
      <c r="E4279" s="10" t="n">
        <f aca="false">C4279*D4279</f>
        <v>15</v>
      </c>
    </row>
    <row r="4280" customFormat="false" ht="15" hidden="false" customHeight="false" outlineLevel="0" collapsed="false">
      <c r="A4280" s="9" t="s">
        <v>1774</v>
      </c>
      <c r="B4280" s="9" t="s">
        <v>205</v>
      </c>
      <c r="C4280" s="9" t="n">
        <v>24</v>
      </c>
      <c r="D4280" s="10" t="n">
        <v>0.42</v>
      </c>
      <c r="E4280" s="10" t="n">
        <f aca="false">C4280*D4280</f>
        <v>10.08</v>
      </c>
    </row>
    <row r="4281" customFormat="false" ht="15" hidden="false" customHeight="false" outlineLevel="0" collapsed="false">
      <c r="A4281" s="9" t="s">
        <v>1774</v>
      </c>
      <c r="B4281" s="9" t="s">
        <v>1013</v>
      </c>
      <c r="C4281" s="9" t="n">
        <v>3</v>
      </c>
      <c r="D4281" s="10" t="n">
        <v>4.25</v>
      </c>
      <c r="E4281" s="10" t="n">
        <f aca="false">C4281*D4281</f>
        <v>12.75</v>
      </c>
    </row>
    <row r="4282" customFormat="false" ht="15" hidden="false" customHeight="false" outlineLevel="0" collapsed="false">
      <c r="A4282" s="9" t="s">
        <v>1774</v>
      </c>
      <c r="B4282" s="9" t="s">
        <v>1775</v>
      </c>
      <c r="C4282" s="9" t="n">
        <v>12</v>
      </c>
      <c r="D4282" s="10" t="n">
        <v>0.75</v>
      </c>
      <c r="E4282" s="10" t="n">
        <f aca="false">C4282*D4282</f>
        <v>9</v>
      </c>
    </row>
    <row r="4283" customFormat="false" ht="15" hidden="false" customHeight="false" outlineLevel="0" collapsed="false">
      <c r="A4283" s="9" t="s">
        <v>1774</v>
      </c>
      <c r="B4283" s="9" t="s">
        <v>560</v>
      </c>
      <c r="C4283" s="9" t="n">
        <v>2</v>
      </c>
      <c r="D4283" s="10" t="n">
        <v>5.95</v>
      </c>
      <c r="E4283" s="10" t="n">
        <f aca="false">C4283*D4283</f>
        <v>11.9</v>
      </c>
    </row>
    <row r="4284" customFormat="false" ht="15" hidden="false" customHeight="false" outlineLevel="0" collapsed="false">
      <c r="A4284" s="9" t="s">
        <v>1774</v>
      </c>
      <c r="B4284" s="9" t="s">
        <v>559</v>
      </c>
      <c r="C4284" s="9" t="n">
        <v>2</v>
      </c>
      <c r="D4284" s="10" t="n">
        <v>7.95</v>
      </c>
      <c r="E4284" s="10" t="n">
        <f aca="false">C4284*D4284</f>
        <v>15.9</v>
      </c>
    </row>
    <row r="4285" customFormat="false" ht="15" hidden="false" customHeight="false" outlineLevel="0" collapsed="false">
      <c r="A4285" s="9" t="s">
        <v>1774</v>
      </c>
      <c r="B4285" s="9" t="s">
        <v>531</v>
      </c>
      <c r="C4285" s="9" t="n">
        <v>12</v>
      </c>
      <c r="D4285" s="10" t="n">
        <v>1.25</v>
      </c>
      <c r="E4285" s="10" t="n">
        <f aca="false">C4285*D4285</f>
        <v>15</v>
      </c>
    </row>
    <row r="4286" customFormat="false" ht="15" hidden="false" customHeight="false" outlineLevel="0" collapsed="false">
      <c r="A4286" s="9" t="s">
        <v>1774</v>
      </c>
      <c r="B4286" s="9" t="s">
        <v>1347</v>
      </c>
      <c r="C4286" s="9" t="n">
        <v>4</v>
      </c>
      <c r="D4286" s="10" t="n">
        <v>3.75</v>
      </c>
      <c r="E4286" s="10" t="n">
        <f aca="false">C4286*D4286</f>
        <v>15</v>
      </c>
    </row>
    <row r="4287" customFormat="false" ht="15" hidden="false" customHeight="false" outlineLevel="0" collapsed="false">
      <c r="A4287" s="9" t="s">
        <v>1774</v>
      </c>
      <c r="B4287" s="9" t="s">
        <v>1052</v>
      </c>
      <c r="C4287" s="9" t="n">
        <v>4</v>
      </c>
      <c r="D4287" s="10" t="n">
        <v>3.75</v>
      </c>
      <c r="E4287" s="10" t="n">
        <f aca="false">C4287*D4287</f>
        <v>15</v>
      </c>
    </row>
    <row r="4288" customFormat="false" ht="15" hidden="false" customHeight="false" outlineLevel="0" collapsed="false">
      <c r="A4288" s="9" t="s">
        <v>1774</v>
      </c>
      <c r="B4288" s="9" t="s">
        <v>505</v>
      </c>
      <c r="C4288" s="9" t="n">
        <v>6</v>
      </c>
      <c r="D4288" s="10" t="n">
        <v>2.1</v>
      </c>
      <c r="E4288" s="10" t="n">
        <f aca="false">C4288*D4288</f>
        <v>12.6</v>
      </c>
    </row>
    <row r="4289" customFormat="false" ht="15" hidden="false" customHeight="false" outlineLevel="0" collapsed="false">
      <c r="A4289" s="9" t="s">
        <v>1774</v>
      </c>
      <c r="B4289" s="9" t="s">
        <v>1051</v>
      </c>
      <c r="C4289" s="9" t="n">
        <v>12</v>
      </c>
      <c r="D4289" s="10" t="n">
        <v>1.25</v>
      </c>
      <c r="E4289" s="10" t="n">
        <f aca="false">C4289*D4289</f>
        <v>15</v>
      </c>
    </row>
    <row r="4290" customFormat="false" ht="15" hidden="false" customHeight="false" outlineLevel="0" collapsed="false">
      <c r="A4290" s="9" t="s">
        <v>1774</v>
      </c>
      <c r="B4290" s="9" t="s">
        <v>495</v>
      </c>
      <c r="C4290" s="9" t="n">
        <v>12</v>
      </c>
      <c r="D4290" s="10" t="n">
        <v>1.45</v>
      </c>
      <c r="E4290" s="10" t="n">
        <f aca="false">C4290*D4290</f>
        <v>17.4</v>
      </c>
    </row>
    <row r="4291" customFormat="false" ht="15" hidden="false" customHeight="false" outlineLevel="0" collapsed="false">
      <c r="A4291" s="9" t="s">
        <v>1774</v>
      </c>
      <c r="B4291" s="9" t="s">
        <v>1501</v>
      </c>
      <c r="C4291" s="9" t="n">
        <v>16</v>
      </c>
      <c r="D4291" s="10" t="n">
        <v>0.85</v>
      </c>
      <c r="E4291" s="10" t="n">
        <f aca="false">C4291*D4291</f>
        <v>13.6</v>
      </c>
    </row>
    <row r="4292" customFormat="false" ht="15" hidden="false" customHeight="false" outlineLevel="0" collapsed="false">
      <c r="A4292" s="9" t="s">
        <v>1774</v>
      </c>
      <c r="B4292" s="9" t="s">
        <v>1592</v>
      </c>
      <c r="C4292" s="9" t="n">
        <v>4</v>
      </c>
      <c r="D4292" s="10" t="n">
        <v>3.75</v>
      </c>
      <c r="E4292" s="10" t="n">
        <f aca="false">C4292*D4292</f>
        <v>15</v>
      </c>
    </row>
    <row r="4293" customFormat="false" ht="15" hidden="false" customHeight="false" outlineLevel="0" collapsed="false">
      <c r="A4293" s="9" t="s">
        <v>1776</v>
      </c>
      <c r="B4293" s="9" t="s">
        <v>523</v>
      </c>
      <c r="C4293" s="9" t="n">
        <v>1</v>
      </c>
      <c r="D4293" s="10" t="n">
        <v>2.95</v>
      </c>
      <c r="E4293" s="10" t="n">
        <f aca="false">C4293*D4293</f>
        <v>2.95</v>
      </c>
    </row>
    <row r="4294" customFormat="false" ht="15" hidden="false" customHeight="false" outlineLevel="0" collapsed="false">
      <c r="A4294" s="9" t="s">
        <v>1776</v>
      </c>
      <c r="B4294" s="9" t="s">
        <v>105</v>
      </c>
      <c r="C4294" s="9" t="n">
        <v>1</v>
      </c>
      <c r="D4294" s="10" t="n">
        <v>3.95</v>
      </c>
      <c r="E4294" s="10" t="n">
        <f aca="false">C4294*D4294</f>
        <v>3.95</v>
      </c>
    </row>
    <row r="4295" customFormat="false" ht="15" hidden="false" customHeight="false" outlineLevel="0" collapsed="false">
      <c r="A4295" s="9" t="s">
        <v>1776</v>
      </c>
      <c r="B4295" s="9" t="s">
        <v>481</v>
      </c>
      <c r="C4295" s="9" t="n">
        <v>1</v>
      </c>
      <c r="D4295" s="10" t="n">
        <v>2.95</v>
      </c>
      <c r="E4295" s="10" t="n">
        <f aca="false">C4295*D4295</f>
        <v>2.95</v>
      </c>
    </row>
    <row r="4296" customFormat="false" ht="15" hidden="false" customHeight="false" outlineLevel="0" collapsed="false">
      <c r="A4296" s="9" t="s">
        <v>1776</v>
      </c>
      <c r="B4296" s="9" t="s">
        <v>971</v>
      </c>
      <c r="C4296" s="9" t="n">
        <v>1</v>
      </c>
      <c r="D4296" s="10" t="n">
        <v>2.95</v>
      </c>
      <c r="E4296" s="10" t="n">
        <f aca="false">C4296*D4296</f>
        <v>2.95</v>
      </c>
    </row>
    <row r="4297" customFormat="false" ht="15" hidden="false" customHeight="false" outlineLevel="0" collapsed="false">
      <c r="A4297" s="9" t="s">
        <v>1777</v>
      </c>
      <c r="B4297" s="9" t="s">
        <v>255</v>
      </c>
      <c r="C4297" s="9" t="n">
        <v>24</v>
      </c>
      <c r="D4297" s="10" t="n">
        <v>2.1</v>
      </c>
      <c r="E4297" s="10" t="n">
        <f aca="false">C4297*D4297</f>
        <v>50.4</v>
      </c>
    </row>
    <row r="4298" customFormat="false" ht="15" hidden="false" customHeight="false" outlineLevel="0" collapsed="false">
      <c r="A4298" s="9" t="s">
        <v>1778</v>
      </c>
      <c r="B4298" s="9" t="s">
        <v>272</v>
      </c>
      <c r="C4298" s="9" t="n">
        <v>3</v>
      </c>
      <c r="D4298" s="10" t="n">
        <v>4.95</v>
      </c>
      <c r="E4298" s="10" t="n">
        <f aca="false">C4298*D4298</f>
        <v>14.85</v>
      </c>
    </row>
    <row r="4299" customFormat="false" ht="15" hidden="false" customHeight="false" outlineLevel="0" collapsed="false">
      <c r="A4299" s="9" t="s">
        <v>1778</v>
      </c>
      <c r="B4299" s="9" t="s">
        <v>1779</v>
      </c>
      <c r="C4299" s="9" t="n">
        <v>12</v>
      </c>
      <c r="D4299" s="10" t="n">
        <v>1.65</v>
      </c>
      <c r="E4299" s="10" t="n">
        <f aca="false">C4299*D4299</f>
        <v>19.8</v>
      </c>
    </row>
    <row r="4300" customFormat="false" ht="15" hidden="false" customHeight="false" outlineLevel="0" collapsed="false">
      <c r="A4300" s="9" t="s">
        <v>1778</v>
      </c>
      <c r="B4300" s="9" t="s">
        <v>179</v>
      </c>
      <c r="C4300" s="9" t="n">
        <v>24</v>
      </c>
      <c r="D4300" s="10" t="n">
        <v>1.65</v>
      </c>
      <c r="E4300" s="10" t="n">
        <f aca="false">C4300*D4300</f>
        <v>39.6</v>
      </c>
    </row>
    <row r="4301" customFormat="false" ht="15" hidden="false" customHeight="false" outlineLevel="0" collapsed="false">
      <c r="A4301" s="9" t="s">
        <v>1778</v>
      </c>
      <c r="B4301" s="9" t="s">
        <v>1246</v>
      </c>
      <c r="C4301" s="9" t="n">
        <v>6</v>
      </c>
      <c r="D4301" s="10" t="n">
        <v>1.95</v>
      </c>
      <c r="E4301" s="10" t="n">
        <f aca="false">C4301*D4301</f>
        <v>11.7</v>
      </c>
    </row>
    <row r="4302" customFormat="false" ht="15" hidden="false" customHeight="false" outlineLevel="0" collapsed="false">
      <c r="A4302" s="9" t="s">
        <v>1778</v>
      </c>
      <c r="B4302" s="9" t="s">
        <v>1213</v>
      </c>
      <c r="C4302" s="9" t="n">
        <v>12</v>
      </c>
      <c r="D4302" s="10" t="n">
        <v>1.25</v>
      </c>
      <c r="E4302" s="10" t="n">
        <f aca="false">C4302*D4302</f>
        <v>15</v>
      </c>
    </row>
    <row r="4303" customFormat="false" ht="15" hidden="false" customHeight="false" outlineLevel="0" collapsed="false">
      <c r="A4303" s="9" t="s">
        <v>1778</v>
      </c>
      <c r="B4303" s="9" t="s">
        <v>1184</v>
      </c>
      <c r="C4303" s="9" t="n">
        <v>12</v>
      </c>
      <c r="D4303" s="10" t="n">
        <v>1.25</v>
      </c>
      <c r="E4303" s="10" t="n">
        <f aca="false">C4303*D4303</f>
        <v>15</v>
      </c>
    </row>
    <row r="4304" customFormat="false" ht="15" hidden="false" customHeight="false" outlineLevel="0" collapsed="false">
      <c r="A4304" s="9" t="s">
        <v>1778</v>
      </c>
      <c r="B4304" s="9" t="s">
        <v>1409</v>
      </c>
      <c r="C4304" s="9" t="n">
        <v>12</v>
      </c>
      <c r="D4304" s="10" t="n">
        <v>1.25</v>
      </c>
      <c r="E4304" s="10" t="n">
        <f aca="false">C4304*D4304</f>
        <v>15</v>
      </c>
    </row>
    <row r="4305" customFormat="false" ht="15" hidden="false" customHeight="false" outlineLevel="0" collapsed="false">
      <c r="A4305" s="9" t="s">
        <v>1778</v>
      </c>
      <c r="B4305" s="9" t="s">
        <v>152</v>
      </c>
      <c r="C4305" s="9" t="n">
        <v>12</v>
      </c>
      <c r="D4305" s="10" t="n">
        <v>1.25</v>
      </c>
      <c r="E4305" s="10" t="n">
        <f aca="false">C4305*D4305</f>
        <v>15</v>
      </c>
    </row>
    <row r="4306" customFormat="false" ht="15" hidden="false" customHeight="false" outlineLevel="0" collapsed="false">
      <c r="A4306" s="9" t="s">
        <v>1778</v>
      </c>
      <c r="B4306" s="9" t="s">
        <v>1557</v>
      </c>
      <c r="C4306" s="9" t="n">
        <v>12</v>
      </c>
      <c r="D4306" s="10" t="n">
        <v>1.25</v>
      </c>
      <c r="E4306" s="10" t="n">
        <f aca="false">C4306*D4306</f>
        <v>15</v>
      </c>
    </row>
    <row r="4307" customFormat="false" ht="15" hidden="false" customHeight="false" outlineLevel="0" collapsed="false">
      <c r="A4307" s="9" t="s">
        <v>1778</v>
      </c>
      <c r="B4307" s="9" t="s">
        <v>153</v>
      </c>
      <c r="C4307" s="9" t="n">
        <v>12</v>
      </c>
      <c r="D4307" s="10" t="n">
        <v>1.25</v>
      </c>
      <c r="E4307" s="10" t="n">
        <f aca="false">C4307*D4307</f>
        <v>15</v>
      </c>
    </row>
    <row r="4308" customFormat="false" ht="15" hidden="false" customHeight="false" outlineLevel="0" collapsed="false">
      <c r="A4308" s="9" t="s">
        <v>1778</v>
      </c>
      <c r="B4308" s="9" t="s">
        <v>357</v>
      </c>
      <c r="C4308" s="9" t="n">
        <v>12</v>
      </c>
      <c r="D4308" s="10" t="n">
        <v>1.25</v>
      </c>
      <c r="E4308" s="10" t="n">
        <f aca="false">C4308*D4308</f>
        <v>15</v>
      </c>
    </row>
    <row r="4309" customFormat="false" ht="15" hidden="false" customHeight="false" outlineLevel="0" collapsed="false">
      <c r="A4309" s="9" t="s">
        <v>1778</v>
      </c>
      <c r="B4309" s="9" t="s">
        <v>503</v>
      </c>
      <c r="C4309" s="9" t="n">
        <v>12</v>
      </c>
      <c r="D4309" s="10" t="n">
        <v>1.25</v>
      </c>
      <c r="E4309" s="10" t="n">
        <f aca="false">C4309*D4309</f>
        <v>15</v>
      </c>
    </row>
    <row r="4310" customFormat="false" ht="15" hidden="false" customHeight="false" outlineLevel="0" collapsed="false">
      <c r="A4310" s="9" t="s">
        <v>1778</v>
      </c>
      <c r="B4310" s="9" t="s">
        <v>154</v>
      </c>
      <c r="C4310" s="9" t="n">
        <v>12</v>
      </c>
      <c r="D4310" s="10" t="n">
        <v>1.25</v>
      </c>
      <c r="E4310" s="10" t="n">
        <f aca="false">C4310*D4310</f>
        <v>15</v>
      </c>
    </row>
    <row r="4311" customFormat="false" ht="15" hidden="false" customHeight="false" outlineLevel="0" collapsed="false">
      <c r="A4311" s="9" t="s">
        <v>1778</v>
      </c>
      <c r="B4311" s="9" t="s">
        <v>1564</v>
      </c>
      <c r="C4311" s="9" t="n">
        <v>12</v>
      </c>
      <c r="D4311" s="10" t="n">
        <v>1.25</v>
      </c>
      <c r="E4311" s="10" t="n">
        <f aca="false">C4311*D4311</f>
        <v>15</v>
      </c>
    </row>
    <row r="4312" customFormat="false" ht="15" hidden="false" customHeight="false" outlineLevel="0" collapsed="false">
      <c r="A4312" s="9" t="s">
        <v>1778</v>
      </c>
      <c r="B4312" s="9" t="s">
        <v>733</v>
      </c>
      <c r="C4312" s="9" t="n">
        <v>4</v>
      </c>
      <c r="D4312" s="10" t="n">
        <v>8.5</v>
      </c>
      <c r="E4312" s="10" t="n">
        <f aca="false">C4312*D4312</f>
        <v>34</v>
      </c>
    </row>
    <row r="4313" customFormat="false" ht="15" hidden="false" customHeight="false" outlineLevel="0" collapsed="false">
      <c r="A4313" s="9" t="s">
        <v>1778</v>
      </c>
      <c r="B4313" s="9" t="s">
        <v>732</v>
      </c>
      <c r="C4313" s="9" t="n">
        <v>4</v>
      </c>
      <c r="D4313" s="10" t="n">
        <v>8.5</v>
      </c>
      <c r="E4313" s="10" t="n">
        <f aca="false">C4313*D4313</f>
        <v>34</v>
      </c>
    </row>
    <row r="4314" customFormat="false" ht="15" hidden="false" customHeight="false" outlineLevel="0" collapsed="false">
      <c r="A4314" s="9" t="s">
        <v>1778</v>
      </c>
      <c r="B4314" s="9" t="s">
        <v>449</v>
      </c>
      <c r="C4314" s="9" t="n">
        <v>12</v>
      </c>
      <c r="D4314" s="10" t="n">
        <v>1.65</v>
      </c>
      <c r="E4314" s="10" t="n">
        <f aca="false">C4314*D4314</f>
        <v>19.8</v>
      </c>
    </row>
    <row r="4315" customFormat="false" ht="15" hidden="false" customHeight="false" outlineLevel="0" collapsed="false">
      <c r="A4315" s="9" t="s">
        <v>1778</v>
      </c>
      <c r="B4315" s="9" t="s">
        <v>101</v>
      </c>
      <c r="C4315" s="9" t="n">
        <v>1</v>
      </c>
      <c r="D4315" s="10" t="n">
        <v>12.75</v>
      </c>
      <c r="E4315" s="10" t="n">
        <f aca="false">C4315*D4315</f>
        <v>12.75</v>
      </c>
    </row>
    <row r="4316" customFormat="false" ht="15" hidden="false" customHeight="false" outlineLevel="0" collapsed="false">
      <c r="A4316" s="9" t="s">
        <v>1778</v>
      </c>
      <c r="B4316" s="9" t="s">
        <v>1421</v>
      </c>
      <c r="C4316" s="9" t="n">
        <v>10</v>
      </c>
      <c r="D4316" s="10" t="n">
        <v>1.25</v>
      </c>
      <c r="E4316" s="10" t="n">
        <f aca="false">C4316*D4316</f>
        <v>12.5</v>
      </c>
    </row>
    <row r="4317" customFormat="false" ht="15" hidden="false" customHeight="false" outlineLevel="0" collapsed="false">
      <c r="A4317" s="9" t="s">
        <v>1778</v>
      </c>
      <c r="B4317" s="9" t="s">
        <v>1610</v>
      </c>
      <c r="C4317" s="9" t="n">
        <v>2</v>
      </c>
      <c r="D4317" s="10" t="n">
        <v>7.95</v>
      </c>
      <c r="E4317" s="10" t="n">
        <f aca="false">C4317*D4317</f>
        <v>15.9</v>
      </c>
    </row>
    <row r="4318" customFormat="false" ht="15" hidden="false" customHeight="false" outlineLevel="0" collapsed="false">
      <c r="A4318" s="9" t="s">
        <v>1778</v>
      </c>
      <c r="B4318" s="9" t="s">
        <v>171</v>
      </c>
      <c r="C4318" s="9" t="n">
        <v>5</v>
      </c>
      <c r="D4318" s="10" t="n">
        <v>2.1</v>
      </c>
      <c r="E4318" s="10" t="n">
        <f aca="false">C4318*D4318</f>
        <v>10.5</v>
      </c>
    </row>
    <row r="4319" customFormat="false" ht="15" hidden="false" customHeight="false" outlineLevel="0" collapsed="false">
      <c r="A4319" s="9" t="s">
        <v>1778</v>
      </c>
      <c r="B4319" s="9" t="s">
        <v>130</v>
      </c>
      <c r="C4319" s="9" t="n">
        <v>6</v>
      </c>
      <c r="D4319" s="10" t="n">
        <v>4.95</v>
      </c>
      <c r="E4319" s="10" t="n">
        <f aca="false">C4319*D4319</f>
        <v>29.7</v>
      </c>
    </row>
    <row r="4320" customFormat="false" ht="15" hidden="false" customHeight="false" outlineLevel="0" collapsed="false">
      <c r="A4320" s="9" t="s">
        <v>1778</v>
      </c>
      <c r="B4320" s="9" t="s">
        <v>230</v>
      </c>
      <c r="C4320" s="9" t="n">
        <v>12</v>
      </c>
      <c r="D4320" s="10" t="n">
        <v>1.65</v>
      </c>
      <c r="E4320" s="10" t="n">
        <f aca="false">C4320*D4320</f>
        <v>19.8</v>
      </c>
    </row>
    <row r="4321" customFormat="false" ht="15" hidden="false" customHeight="false" outlineLevel="0" collapsed="false">
      <c r="A4321" s="9" t="s">
        <v>1778</v>
      </c>
      <c r="B4321" s="9" t="s">
        <v>231</v>
      </c>
      <c r="C4321" s="9" t="n">
        <v>12</v>
      </c>
      <c r="D4321" s="10" t="n">
        <v>0.85</v>
      </c>
      <c r="E4321" s="10" t="n">
        <f aca="false">C4321*D4321</f>
        <v>10.2</v>
      </c>
    </row>
    <row r="4322" customFormat="false" ht="15" hidden="false" customHeight="false" outlineLevel="0" collapsed="false">
      <c r="A4322" s="9" t="s">
        <v>1778</v>
      </c>
      <c r="B4322" s="9" t="s">
        <v>761</v>
      </c>
      <c r="C4322" s="9" t="n">
        <v>4</v>
      </c>
      <c r="D4322" s="10" t="n">
        <v>8.5</v>
      </c>
      <c r="E4322" s="10" t="n">
        <f aca="false">C4322*D4322</f>
        <v>34</v>
      </c>
    </row>
    <row r="4323" customFormat="false" ht="15" hidden="false" customHeight="false" outlineLevel="0" collapsed="false">
      <c r="A4323" s="9" t="s">
        <v>1778</v>
      </c>
      <c r="B4323" s="9" t="s">
        <v>734</v>
      </c>
      <c r="C4323" s="9" t="n">
        <v>4</v>
      </c>
      <c r="D4323" s="10" t="n">
        <v>8.5</v>
      </c>
      <c r="E4323" s="10" t="n">
        <f aca="false">C4323*D4323</f>
        <v>34</v>
      </c>
    </row>
    <row r="4324" customFormat="false" ht="15" hidden="false" customHeight="false" outlineLevel="0" collapsed="false">
      <c r="A4324" s="9" t="s">
        <v>1778</v>
      </c>
      <c r="B4324" s="9" t="s">
        <v>1780</v>
      </c>
      <c r="C4324" s="9" t="n">
        <v>3</v>
      </c>
      <c r="D4324" s="10" t="n">
        <v>4.95</v>
      </c>
      <c r="E4324" s="10" t="n">
        <f aca="false">C4324*D4324</f>
        <v>14.85</v>
      </c>
    </row>
    <row r="4325" customFormat="false" ht="15" hidden="false" customHeight="false" outlineLevel="0" collapsed="false">
      <c r="A4325" s="9" t="s">
        <v>1781</v>
      </c>
      <c r="B4325" s="9" t="s">
        <v>417</v>
      </c>
      <c r="C4325" s="9" t="n">
        <v>24</v>
      </c>
      <c r="D4325" s="10" t="n">
        <v>1.25</v>
      </c>
      <c r="E4325" s="10" t="n">
        <f aca="false">C4325*D4325</f>
        <v>30</v>
      </c>
    </row>
    <row r="4326" customFormat="false" ht="15" hidden="false" customHeight="false" outlineLevel="0" collapsed="false">
      <c r="A4326" s="9" t="s">
        <v>1781</v>
      </c>
      <c r="B4326" s="9" t="s">
        <v>389</v>
      </c>
      <c r="C4326" s="9" t="n">
        <v>70</v>
      </c>
      <c r="D4326" s="10" t="n">
        <v>6.75</v>
      </c>
      <c r="E4326" s="10" t="n">
        <f aca="false">C4326*D4326</f>
        <v>472.5</v>
      </c>
    </row>
    <row r="4327" customFormat="false" ht="15" hidden="false" customHeight="false" outlineLevel="0" collapsed="false">
      <c r="A4327" s="9" t="s">
        <v>1781</v>
      </c>
      <c r="B4327" s="9" t="s">
        <v>382</v>
      </c>
      <c r="C4327" s="9" t="n">
        <v>24</v>
      </c>
      <c r="D4327" s="10" t="n">
        <v>0.36</v>
      </c>
      <c r="E4327" s="10" t="n">
        <f aca="false">C4327*D4327</f>
        <v>8.64</v>
      </c>
    </row>
    <row r="4328" customFormat="false" ht="15" hidden="false" customHeight="false" outlineLevel="0" collapsed="false">
      <c r="A4328" s="9" t="s">
        <v>1781</v>
      </c>
      <c r="B4328" s="9" t="s">
        <v>1782</v>
      </c>
      <c r="C4328" s="9" t="n">
        <v>48</v>
      </c>
      <c r="D4328" s="10" t="n">
        <v>1.25</v>
      </c>
      <c r="E4328" s="10" t="n">
        <f aca="false">C4328*D4328</f>
        <v>60</v>
      </c>
    </row>
    <row r="4329" customFormat="false" ht="15" hidden="false" customHeight="false" outlineLevel="0" collapsed="false">
      <c r="A4329" s="9" t="s">
        <v>1781</v>
      </c>
      <c r="B4329" s="9" t="s">
        <v>813</v>
      </c>
      <c r="C4329" s="9" t="n">
        <v>50</v>
      </c>
      <c r="D4329" s="10" t="n">
        <v>0.32</v>
      </c>
      <c r="E4329" s="10" t="n">
        <f aca="false">C4329*D4329</f>
        <v>16</v>
      </c>
    </row>
    <row r="4330" customFormat="false" ht="15" hidden="false" customHeight="false" outlineLevel="0" collapsed="false">
      <c r="A4330" s="9" t="s">
        <v>1781</v>
      </c>
      <c r="B4330" s="9" t="s">
        <v>375</v>
      </c>
      <c r="C4330" s="9" t="n">
        <v>120</v>
      </c>
      <c r="D4330" s="10" t="n">
        <v>1.88</v>
      </c>
      <c r="E4330" s="10" t="n">
        <f aca="false">C4330*D4330</f>
        <v>225.6</v>
      </c>
    </row>
    <row r="4331" customFormat="false" ht="15" hidden="false" customHeight="false" outlineLevel="0" collapsed="false">
      <c r="A4331" s="9" t="s">
        <v>1781</v>
      </c>
      <c r="B4331" s="9" t="s">
        <v>942</v>
      </c>
      <c r="C4331" s="9" t="n">
        <v>144</v>
      </c>
      <c r="D4331" s="10" t="n">
        <v>0.72</v>
      </c>
      <c r="E4331" s="10" t="n">
        <f aca="false">C4331*D4331</f>
        <v>103.68</v>
      </c>
    </row>
    <row r="4332" customFormat="false" ht="15" hidden="false" customHeight="false" outlineLevel="0" collapsed="false">
      <c r="A4332" s="9" t="s">
        <v>1781</v>
      </c>
      <c r="B4332" s="9" t="s">
        <v>873</v>
      </c>
      <c r="C4332" s="9" t="n">
        <v>30</v>
      </c>
      <c r="D4332" s="10" t="n">
        <v>6.75</v>
      </c>
      <c r="E4332" s="10" t="n">
        <f aca="false">C4332*D4332</f>
        <v>202.5</v>
      </c>
    </row>
    <row r="4333" customFormat="false" ht="15" hidden="false" customHeight="false" outlineLevel="0" collapsed="false">
      <c r="A4333" s="9" t="s">
        <v>1781</v>
      </c>
      <c r="B4333" s="9" t="s">
        <v>531</v>
      </c>
      <c r="C4333" s="9" t="n">
        <v>72</v>
      </c>
      <c r="D4333" s="10" t="n">
        <v>1.25</v>
      </c>
      <c r="E4333" s="10" t="n">
        <f aca="false">C4333*D4333</f>
        <v>90</v>
      </c>
    </row>
    <row r="4334" customFormat="false" ht="15" hidden="false" customHeight="false" outlineLevel="0" collapsed="false">
      <c r="A4334" s="9" t="s">
        <v>1781</v>
      </c>
      <c r="B4334" s="9" t="s">
        <v>42</v>
      </c>
      <c r="C4334" s="9" t="n">
        <v>96</v>
      </c>
      <c r="D4334" s="10" t="n">
        <v>7.65</v>
      </c>
      <c r="E4334" s="10" t="n">
        <f aca="false">C4334*D4334</f>
        <v>734.4</v>
      </c>
    </row>
    <row r="4335" customFormat="false" ht="15" hidden="false" customHeight="false" outlineLevel="0" collapsed="false">
      <c r="A4335" s="9" t="s">
        <v>1781</v>
      </c>
      <c r="B4335" s="9" t="s">
        <v>68</v>
      </c>
      <c r="C4335" s="9" t="n">
        <v>64</v>
      </c>
      <c r="D4335" s="10" t="n">
        <v>1.65</v>
      </c>
      <c r="E4335" s="10" t="n">
        <f aca="false">C4335*D4335</f>
        <v>105.6</v>
      </c>
    </row>
    <row r="4336" customFormat="false" ht="15" hidden="false" customHeight="false" outlineLevel="0" collapsed="false">
      <c r="A4336" s="9" t="s">
        <v>1781</v>
      </c>
      <c r="B4336" s="9" t="s">
        <v>462</v>
      </c>
      <c r="C4336" s="9" t="n">
        <v>64</v>
      </c>
      <c r="D4336" s="10" t="n">
        <v>1.65</v>
      </c>
      <c r="E4336" s="10" t="n">
        <f aca="false">C4336*D4336</f>
        <v>105.6</v>
      </c>
    </row>
    <row r="4337" customFormat="false" ht="15" hidden="false" customHeight="false" outlineLevel="0" collapsed="false">
      <c r="A4337" s="9" t="s">
        <v>1781</v>
      </c>
      <c r="B4337" s="9" t="s">
        <v>76</v>
      </c>
      <c r="C4337" s="9" t="n">
        <v>64</v>
      </c>
      <c r="D4337" s="10" t="n">
        <v>1.65</v>
      </c>
      <c r="E4337" s="10" t="n">
        <f aca="false">C4337*D4337</f>
        <v>105.6</v>
      </c>
    </row>
    <row r="4338" customFormat="false" ht="15" hidden="false" customHeight="false" outlineLevel="0" collapsed="false">
      <c r="A4338" s="9" t="s">
        <v>1781</v>
      </c>
      <c r="B4338" s="9" t="s">
        <v>1459</v>
      </c>
      <c r="C4338" s="9" t="n">
        <v>48</v>
      </c>
      <c r="D4338" s="10" t="n">
        <v>0.36</v>
      </c>
      <c r="E4338" s="10" t="n">
        <f aca="false">C4338*D4338</f>
        <v>17.28</v>
      </c>
    </row>
    <row r="4339" customFormat="false" ht="15" hidden="false" customHeight="false" outlineLevel="0" collapsed="false">
      <c r="A4339" s="9" t="s">
        <v>1781</v>
      </c>
      <c r="B4339" s="9" t="s">
        <v>478</v>
      </c>
      <c r="C4339" s="9" t="n">
        <v>96</v>
      </c>
      <c r="D4339" s="10" t="n">
        <v>0.36</v>
      </c>
      <c r="E4339" s="10" t="n">
        <f aca="false">C4339*D4339</f>
        <v>34.56</v>
      </c>
    </row>
    <row r="4340" customFormat="false" ht="15" hidden="false" customHeight="false" outlineLevel="0" collapsed="false">
      <c r="A4340" s="9" t="s">
        <v>1781</v>
      </c>
      <c r="B4340" s="9" t="s">
        <v>914</v>
      </c>
      <c r="C4340" s="9" t="n">
        <v>18</v>
      </c>
      <c r="D4340" s="10" t="n">
        <v>1.25</v>
      </c>
      <c r="E4340" s="10" t="n">
        <f aca="false">C4340*D4340</f>
        <v>22.5</v>
      </c>
    </row>
    <row r="4341" customFormat="false" ht="15" hidden="false" customHeight="false" outlineLevel="0" collapsed="false">
      <c r="A4341" s="9" t="s">
        <v>1781</v>
      </c>
      <c r="B4341" s="9" t="s">
        <v>1783</v>
      </c>
      <c r="C4341" s="9" t="n">
        <v>42</v>
      </c>
      <c r="D4341" s="10" t="n">
        <v>3.39</v>
      </c>
      <c r="E4341" s="10" t="n">
        <f aca="false">C4341*D4341</f>
        <v>142.38</v>
      </c>
    </row>
    <row r="4342" customFormat="false" ht="15" hidden="false" customHeight="false" outlineLevel="0" collapsed="false">
      <c r="A4342" s="9" t="s">
        <v>1781</v>
      </c>
      <c r="B4342" s="9" t="s">
        <v>373</v>
      </c>
      <c r="C4342" s="9" t="n">
        <v>270</v>
      </c>
      <c r="D4342" s="10" t="n">
        <v>0.16</v>
      </c>
      <c r="E4342" s="10" t="n">
        <f aca="false">C4342*D4342</f>
        <v>43.2</v>
      </c>
    </row>
    <row r="4343" customFormat="false" ht="15" hidden="false" customHeight="false" outlineLevel="0" collapsed="false">
      <c r="A4343" s="9" t="s">
        <v>1781</v>
      </c>
      <c r="B4343" s="9" t="s">
        <v>1784</v>
      </c>
      <c r="C4343" s="9" t="n">
        <v>36</v>
      </c>
      <c r="D4343" s="10" t="n">
        <v>1.25</v>
      </c>
      <c r="E4343" s="10" t="n">
        <f aca="false">C4343*D4343</f>
        <v>45</v>
      </c>
    </row>
    <row r="4344" customFormat="false" ht="15" hidden="false" customHeight="false" outlineLevel="0" collapsed="false">
      <c r="A4344" s="9" t="s">
        <v>1781</v>
      </c>
      <c r="B4344" s="9" t="s">
        <v>1020</v>
      </c>
      <c r="C4344" s="9" t="n">
        <v>100</v>
      </c>
      <c r="D4344" s="10" t="n">
        <v>0.72</v>
      </c>
      <c r="E4344" s="10" t="n">
        <f aca="false">C4344*D4344</f>
        <v>72</v>
      </c>
    </row>
    <row r="4345" customFormat="false" ht="15" hidden="false" customHeight="false" outlineLevel="0" collapsed="false">
      <c r="A4345" s="9" t="s">
        <v>1781</v>
      </c>
      <c r="B4345" s="9" t="s">
        <v>390</v>
      </c>
      <c r="C4345" s="9" t="n">
        <v>30</v>
      </c>
      <c r="D4345" s="10" t="n">
        <v>6.75</v>
      </c>
      <c r="E4345" s="10" t="n">
        <f aca="false">C4345*D4345</f>
        <v>202.5</v>
      </c>
    </row>
    <row r="4346" customFormat="false" ht="15" hidden="false" customHeight="false" outlineLevel="0" collapsed="false">
      <c r="A4346" s="9" t="s">
        <v>1781</v>
      </c>
      <c r="B4346" s="9" t="s">
        <v>480</v>
      </c>
      <c r="C4346" s="9" t="n">
        <v>60</v>
      </c>
      <c r="D4346" s="10" t="n">
        <v>0.36</v>
      </c>
      <c r="E4346" s="10" t="n">
        <f aca="false">C4346*D4346</f>
        <v>21.6</v>
      </c>
    </row>
    <row r="4347" customFormat="false" ht="15" hidden="false" customHeight="false" outlineLevel="0" collapsed="false">
      <c r="A4347" s="9" t="s">
        <v>1781</v>
      </c>
      <c r="B4347" s="9" t="s">
        <v>69</v>
      </c>
      <c r="C4347" s="9" t="n">
        <v>144</v>
      </c>
      <c r="D4347" s="10" t="n">
        <v>0.55</v>
      </c>
      <c r="E4347" s="10" t="n">
        <f aca="false">C4347*D4347</f>
        <v>79.2</v>
      </c>
    </row>
    <row r="4348" customFormat="false" ht="15" hidden="false" customHeight="false" outlineLevel="0" collapsed="false">
      <c r="A4348" s="9" t="s">
        <v>1781</v>
      </c>
      <c r="B4348" s="9" t="s">
        <v>750</v>
      </c>
      <c r="C4348" s="9" t="n">
        <v>48</v>
      </c>
      <c r="D4348" s="10" t="n">
        <v>2.55</v>
      </c>
      <c r="E4348" s="10" t="n">
        <f aca="false">C4348*D4348</f>
        <v>122.4</v>
      </c>
    </row>
    <row r="4349" customFormat="false" ht="15" hidden="false" customHeight="false" outlineLevel="0" collapsed="false">
      <c r="A4349" s="9" t="s">
        <v>1781</v>
      </c>
      <c r="B4349" s="9" t="s">
        <v>751</v>
      </c>
      <c r="C4349" s="9" t="n">
        <v>24</v>
      </c>
      <c r="D4349" s="10" t="n">
        <v>2.95</v>
      </c>
      <c r="E4349" s="10" t="n">
        <f aca="false">C4349*D4349</f>
        <v>70.8</v>
      </c>
    </row>
    <row r="4350" customFormat="false" ht="15" hidden="false" customHeight="false" outlineLevel="0" collapsed="false">
      <c r="A4350" s="9" t="s">
        <v>1781</v>
      </c>
      <c r="B4350" s="9" t="s">
        <v>1785</v>
      </c>
      <c r="C4350" s="9" t="n">
        <v>48</v>
      </c>
      <c r="D4350" s="10" t="n">
        <v>2.55</v>
      </c>
      <c r="E4350" s="10" t="n">
        <f aca="false">C4350*D4350</f>
        <v>122.4</v>
      </c>
    </row>
    <row r="4351" customFormat="false" ht="15" hidden="false" customHeight="false" outlineLevel="0" collapsed="false">
      <c r="A4351" s="9" t="s">
        <v>1781</v>
      </c>
      <c r="B4351" s="9" t="s">
        <v>464</v>
      </c>
      <c r="C4351" s="9" t="n">
        <v>72</v>
      </c>
      <c r="D4351" s="10" t="n">
        <v>2.55</v>
      </c>
      <c r="E4351" s="10" t="n">
        <f aca="false">C4351*D4351</f>
        <v>183.6</v>
      </c>
    </row>
    <row r="4352" customFormat="false" ht="15" hidden="false" customHeight="false" outlineLevel="0" collapsed="false">
      <c r="A4352" s="9" t="s">
        <v>1781</v>
      </c>
      <c r="B4352" s="9" t="s">
        <v>401</v>
      </c>
      <c r="C4352" s="9" t="n">
        <v>24</v>
      </c>
      <c r="D4352" s="10" t="n">
        <v>1.45</v>
      </c>
      <c r="E4352" s="10" t="n">
        <f aca="false">C4352*D4352</f>
        <v>34.8</v>
      </c>
    </row>
    <row r="4353" customFormat="false" ht="15" hidden="false" customHeight="false" outlineLevel="0" collapsed="false">
      <c r="A4353" s="9" t="s">
        <v>1781</v>
      </c>
      <c r="B4353" s="9" t="s">
        <v>299</v>
      </c>
      <c r="C4353" s="9" t="n">
        <v>108</v>
      </c>
      <c r="D4353" s="10" t="n">
        <v>2.1</v>
      </c>
      <c r="E4353" s="10" t="n">
        <f aca="false">C4353*D4353</f>
        <v>226.8</v>
      </c>
    </row>
    <row r="4354" customFormat="false" ht="15" hidden="false" customHeight="false" outlineLevel="0" collapsed="false">
      <c r="A4354" s="9" t="s">
        <v>1781</v>
      </c>
      <c r="B4354" s="9" t="s">
        <v>1267</v>
      </c>
      <c r="C4354" s="9" t="n">
        <v>24</v>
      </c>
      <c r="D4354" s="10" t="n">
        <v>0.36</v>
      </c>
      <c r="E4354" s="10" t="n">
        <f aca="false">C4354*D4354</f>
        <v>8.64</v>
      </c>
    </row>
    <row r="4355" customFormat="false" ht="15" hidden="false" customHeight="false" outlineLevel="0" collapsed="false">
      <c r="A4355" s="9" t="s">
        <v>1781</v>
      </c>
      <c r="B4355" s="9" t="s">
        <v>1786</v>
      </c>
      <c r="C4355" s="9" t="n">
        <v>24</v>
      </c>
      <c r="D4355" s="10" t="n">
        <v>0.36</v>
      </c>
      <c r="E4355" s="10" t="n">
        <f aca="false">C4355*D4355</f>
        <v>8.64</v>
      </c>
    </row>
    <row r="4356" customFormat="false" ht="15" hidden="false" customHeight="false" outlineLevel="0" collapsed="false">
      <c r="A4356" s="9" t="s">
        <v>1781</v>
      </c>
      <c r="B4356" s="9" t="s">
        <v>1012</v>
      </c>
      <c r="C4356" s="9" t="n">
        <v>48</v>
      </c>
      <c r="D4356" s="10" t="n">
        <v>0.36</v>
      </c>
      <c r="E4356" s="10" t="n">
        <f aca="false">C4356*D4356</f>
        <v>17.28</v>
      </c>
    </row>
    <row r="4357" customFormat="false" ht="15" hidden="false" customHeight="false" outlineLevel="0" collapsed="false">
      <c r="A4357" s="9" t="s">
        <v>1781</v>
      </c>
      <c r="B4357" s="9" t="s">
        <v>256</v>
      </c>
      <c r="C4357" s="9" t="n">
        <v>108</v>
      </c>
      <c r="D4357" s="10" t="n">
        <v>0.36</v>
      </c>
      <c r="E4357" s="10" t="n">
        <f aca="false">C4357*D4357</f>
        <v>38.88</v>
      </c>
    </row>
    <row r="4358" customFormat="false" ht="15" hidden="false" customHeight="false" outlineLevel="0" collapsed="false">
      <c r="A4358" s="9" t="s">
        <v>1781</v>
      </c>
      <c r="B4358" s="9" t="s">
        <v>1773</v>
      </c>
      <c r="C4358" s="9" t="n">
        <v>75</v>
      </c>
      <c r="D4358" s="10" t="n">
        <v>0.34</v>
      </c>
      <c r="E4358" s="10" t="n">
        <f aca="false">C4358*D4358</f>
        <v>25.5</v>
      </c>
    </row>
    <row r="4359" customFormat="false" ht="15" hidden="false" customHeight="false" outlineLevel="0" collapsed="false">
      <c r="A4359" s="9" t="s">
        <v>1781</v>
      </c>
      <c r="B4359" s="9" t="s">
        <v>1787</v>
      </c>
      <c r="C4359" s="9" t="n">
        <v>200</v>
      </c>
      <c r="D4359" s="10" t="n">
        <v>0.34</v>
      </c>
      <c r="E4359" s="10" t="n">
        <f aca="false">C4359*D4359</f>
        <v>68</v>
      </c>
    </row>
    <row r="4360" customFormat="false" ht="15" hidden="false" customHeight="false" outlineLevel="0" collapsed="false">
      <c r="A4360" s="9" t="s">
        <v>1781</v>
      </c>
      <c r="B4360" s="9" t="s">
        <v>790</v>
      </c>
      <c r="C4360" s="9" t="n">
        <v>200</v>
      </c>
      <c r="D4360" s="10" t="n">
        <v>0.34</v>
      </c>
      <c r="E4360" s="10" t="n">
        <f aca="false">C4360*D4360</f>
        <v>68</v>
      </c>
    </row>
    <row r="4361" customFormat="false" ht="15" hidden="false" customHeight="false" outlineLevel="0" collapsed="false">
      <c r="A4361" s="9" t="s">
        <v>1781</v>
      </c>
      <c r="B4361" s="9" t="s">
        <v>116</v>
      </c>
      <c r="C4361" s="9" t="n">
        <v>120</v>
      </c>
      <c r="D4361" s="10" t="n">
        <v>0.42</v>
      </c>
      <c r="E4361" s="10" t="n">
        <f aca="false">C4361*D4361</f>
        <v>50.4</v>
      </c>
    </row>
    <row r="4362" customFormat="false" ht="15" hidden="false" customHeight="false" outlineLevel="0" collapsed="false">
      <c r="A4362" s="9" t="s">
        <v>1781</v>
      </c>
      <c r="B4362" s="9" t="s">
        <v>1557</v>
      </c>
      <c r="C4362" s="9" t="n">
        <v>72</v>
      </c>
      <c r="D4362" s="10" t="n">
        <v>1.25</v>
      </c>
      <c r="E4362" s="10" t="n">
        <f aca="false">C4362*D4362</f>
        <v>90</v>
      </c>
    </row>
    <row r="4363" customFormat="false" ht="15" hidden="false" customHeight="false" outlineLevel="0" collapsed="false">
      <c r="A4363" s="9" t="s">
        <v>1788</v>
      </c>
      <c r="B4363" s="9" t="s">
        <v>750</v>
      </c>
      <c r="C4363" s="9" t="n">
        <v>12</v>
      </c>
      <c r="D4363" s="10" t="n">
        <v>2.55</v>
      </c>
      <c r="E4363" s="10" t="n">
        <f aca="false">C4363*D4363</f>
        <v>30.6</v>
      </c>
    </row>
    <row r="4364" customFormat="false" ht="15" hidden="false" customHeight="false" outlineLevel="0" collapsed="false">
      <c r="A4364" s="9" t="s">
        <v>1788</v>
      </c>
      <c r="B4364" s="9" t="s">
        <v>751</v>
      </c>
      <c r="C4364" s="9" t="n">
        <v>24</v>
      </c>
      <c r="D4364" s="10" t="n">
        <v>2.55</v>
      </c>
      <c r="E4364" s="10" t="n">
        <f aca="false">C4364*D4364</f>
        <v>61.2</v>
      </c>
    </row>
    <row r="4365" customFormat="false" ht="15" hidden="false" customHeight="false" outlineLevel="0" collapsed="false">
      <c r="A4365" s="9" t="s">
        <v>1788</v>
      </c>
      <c r="B4365" s="9" t="s">
        <v>1785</v>
      </c>
      <c r="C4365" s="9" t="n">
        <v>12</v>
      </c>
      <c r="D4365" s="10" t="n">
        <v>2.55</v>
      </c>
      <c r="E4365" s="10" t="n">
        <f aca="false">C4365*D4365</f>
        <v>30.6</v>
      </c>
    </row>
    <row r="4366" customFormat="false" ht="15" hidden="false" customHeight="false" outlineLevel="0" collapsed="false">
      <c r="A4366" s="9" t="s">
        <v>1788</v>
      </c>
      <c r="B4366" s="9" t="s">
        <v>401</v>
      </c>
      <c r="C4366" s="9" t="n">
        <v>48</v>
      </c>
      <c r="D4366" s="10" t="n">
        <v>1.45</v>
      </c>
      <c r="E4366" s="10" t="n">
        <f aca="false">C4366*D4366</f>
        <v>69.6</v>
      </c>
    </row>
    <row r="4367" customFormat="false" ht="15" hidden="false" customHeight="false" outlineLevel="0" collapsed="false">
      <c r="A4367" s="9" t="s">
        <v>1788</v>
      </c>
      <c r="B4367" s="9" t="s">
        <v>1787</v>
      </c>
      <c r="C4367" s="9" t="n">
        <v>50</v>
      </c>
      <c r="D4367" s="10" t="n">
        <v>0.34</v>
      </c>
      <c r="E4367" s="10" t="n">
        <f aca="false">C4367*D4367</f>
        <v>17</v>
      </c>
    </row>
    <row r="4368" customFormat="false" ht="15" hidden="false" customHeight="false" outlineLevel="0" collapsed="false">
      <c r="A4368" s="9" t="s">
        <v>1788</v>
      </c>
      <c r="B4368" s="9" t="s">
        <v>390</v>
      </c>
      <c r="C4368" s="9" t="n">
        <v>20</v>
      </c>
      <c r="D4368" s="10" t="n">
        <v>6.75</v>
      </c>
      <c r="E4368" s="10" t="n">
        <f aca="false">C4368*D4368</f>
        <v>135</v>
      </c>
    </row>
    <row r="4369" customFormat="false" ht="15" hidden="false" customHeight="false" outlineLevel="0" collapsed="false">
      <c r="A4369" s="9" t="s">
        <v>1788</v>
      </c>
      <c r="B4369" s="9" t="s">
        <v>116</v>
      </c>
      <c r="C4369" s="9" t="n">
        <v>120</v>
      </c>
      <c r="D4369" s="10" t="n">
        <v>0.42</v>
      </c>
      <c r="E4369" s="10" t="n">
        <f aca="false">C4369*D4369</f>
        <v>50.4</v>
      </c>
    </row>
    <row r="4370" customFormat="false" ht="15" hidden="false" customHeight="false" outlineLevel="0" collapsed="false">
      <c r="A4370" s="9" t="s">
        <v>1788</v>
      </c>
      <c r="B4370" s="9" t="s">
        <v>1020</v>
      </c>
      <c r="C4370" s="9" t="n">
        <v>30</v>
      </c>
      <c r="D4370" s="10" t="n">
        <v>0.72</v>
      </c>
      <c r="E4370" s="10" t="n">
        <f aca="false">C4370*D4370</f>
        <v>21.6</v>
      </c>
    </row>
    <row r="4371" customFormat="false" ht="15" hidden="false" customHeight="false" outlineLevel="0" collapsed="false">
      <c r="A4371" s="9" t="s">
        <v>1788</v>
      </c>
      <c r="B4371" s="9" t="s">
        <v>373</v>
      </c>
      <c r="C4371" s="9" t="n">
        <v>90</v>
      </c>
      <c r="D4371" s="10" t="n">
        <v>0.16</v>
      </c>
      <c r="E4371" s="10" t="n">
        <f aca="false">C4371*D4371</f>
        <v>14.4</v>
      </c>
    </row>
    <row r="4372" customFormat="false" ht="15" hidden="false" customHeight="false" outlineLevel="0" collapsed="false">
      <c r="A4372" s="9" t="s">
        <v>1788</v>
      </c>
      <c r="B4372" s="9" t="s">
        <v>480</v>
      </c>
      <c r="C4372" s="9" t="n">
        <v>48</v>
      </c>
      <c r="D4372" s="10" t="n">
        <v>0.36</v>
      </c>
      <c r="E4372" s="10" t="n">
        <f aca="false">C4372*D4372</f>
        <v>17.28</v>
      </c>
    </row>
    <row r="4373" customFormat="false" ht="15" hidden="false" customHeight="false" outlineLevel="0" collapsed="false">
      <c r="A4373" s="9" t="s">
        <v>1788</v>
      </c>
      <c r="B4373" s="9" t="s">
        <v>790</v>
      </c>
      <c r="C4373" s="9" t="n">
        <v>50</v>
      </c>
      <c r="D4373" s="10" t="n">
        <v>0.34</v>
      </c>
      <c r="E4373" s="10" t="n">
        <f aca="false">C4373*D4373</f>
        <v>17</v>
      </c>
    </row>
    <row r="4374" customFormat="false" ht="15" hidden="false" customHeight="false" outlineLevel="0" collapsed="false">
      <c r="A4374" s="9" t="s">
        <v>1788</v>
      </c>
      <c r="B4374" s="9" t="s">
        <v>382</v>
      </c>
      <c r="C4374" s="9" t="n">
        <v>24</v>
      </c>
      <c r="D4374" s="10" t="n">
        <v>0.36</v>
      </c>
      <c r="E4374" s="10" t="n">
        <f aca="false">C4374*D4374</f>
        <v>8.64</v>
      </c>
    </row>
    <row r="4375" customFormat="false" ht="15" hidden="false" customHeight="false" outlineLevel="0" collapsed="false">
      <c r="A4375" s="9" t="s">
        <v>1788</v>
      </c>
      <c r="B4375" s="9" t="s">
        <v>1557</v>
      </c>
      <c r="C4375" s="9" t="n">
        <v>24</v>
      </c>
      <c r="D4375" s="10" t="n">
        <v>1.25</v>
      </c>
      <c r="E4375" s="10" t="n">
        <f aca="false">C4375*D4375</f>
        <v>30</v>
      </c>
    </row>
    <row r="4376" customFormat="false" ht="15" hidden="false" customHeight="false" outlineLevel="0" collapsed="false">
      <c r="A4376" s="9" t="s">
        <v>1788</v>
      </c>
      <c r="B4376" s="9" t="s">
        <v>1459</v>
      </c>
      <c r="C4376" s="9" t="n">
        <v>48</v>
      </c>
      <c r="D4376" s="10" t="n">
        <v>0.36</v>
      </c>
      <c r="E4376" s="10" t="n">
        <f aca="false">C4376*D4376</f>
        <v>17.28</v>
      </c>
    </row>
    <row r="4377" customFormat="false" ht="15" hidden="false" customHeight="false" outlineLevel="0" collapsed="false">
      <c r="A4377" s="9" t="s">
        <v>1788</v>
      </c>
      <c r="B4377" s="9" t="s">
        <v>531</v>
      </c>
      <c r="C4377" s="9" t="n">
        <v>72</v>
      </c>
      <c r="D4377" s="10" t="n">
        <v>1.25</v>
      </c>
      <c r="E4377" s="10" t="n">
        <f aca="false">C4377*D4377</f>
        <v>90</v>
      </c>
    </row>
    <row r="4378" customFormat="false" ht="15" hidden="false" customHeight="false" outlineLevel="0" collapsed="false">
      <c r="A4378" s="9" t="s">
        <v>1788</v>
      </c>
      <c r="B4378" s="9" t="s">
        <v>76</v>
      </c>
      <c r="C4378" s="9" t="n">
        <v>36</v>
      </c>
      <c r="D4378" s="10" t="n">
        <v>1.65</v>
      </c>
      <c r="E4378" s="10" t="n">
        <f aca="false">C4378*D4378</f>
        <v>59.4</v>
      </c>
    </row>
    <row r="4379" customFormat="false" ht="15" hidden="false" customHeight="false" outlineLevel="0" collapsed="false">
      <c r="A4379" s="9" t="s">
        <v>1788</v>
      </c>
      <c r="B4379" s="9" t="s">
        <v>462</v>
      </c>
      <c r="C4379" s="9" t="n">
        <v>36</v>
      </c>
      <c r="D4379" s="10" t="n">
        <v>1.65</v>
      </c>
      <c r="E4379" s="10" t="n">
        <f aca="false">C4379*D4379</f>
        <v>59.4</v>
      </c>
    </row>
    <row r="4380" customFormat="false" ht="15" hidden="false" customHeight="false" outlineLevel="0" collapsed="false">
      <c r="A4380" s="9" t="s">
        <v>1788</v>
      </c>
      <c r="B4380" s="9" t="s">
        <v>68</v>
      </c>
      <c r="C4380" s="9" t="n">
        <v>64</v>
      </c>
      <c r="D4380" s="10" t="n">
        <v>1.65</v>
      </c>
      <c r="E4380" s="10" t="n">
        <f aca="false">C4380*D4380</f>
        <v>105.6</v>
      </c>
    </row>
    <row r="4381" customFormat="false" ht="15" hidden="false" customHeight="false" outlineLevel="0" collapsed="false">
      <c r="A4381" s="9" t="s">
        <v>1788</v>
      </c>
      <c r="B4381" s="9" t="s">
        <v>478</v>
      </c>
      <c r="C4381" s="9" t="n">
        <v>48</v>
      </c>
      <c r="D4381" s="10" t="n">
        <v>0.36</v>
      </c>
      <c r="E4381" s="10" t="n">
        <f aca="false">C4381*D4381</f>
        <v>17.28</v>
      </c>
    </row>
    <row r="4382" customFormat="false" ht="15" hidden="false" customHeight="false" outlineLevel="0" collapsed="false">
      <c r="A4382" s="9" t="s">
        <v>1788</v>
      </c>
      <c r="B4382" s="9" t="s">
        <v>42</v>
      </c>
      <c r="C4382" s="9" t="n">
        <v>72</v>
      </c>
      <c r="D4382" s="10" t="n">
        <v>7.65</v>
      </c>
      <c r="E4382" s="10" t="n">
        <f aca="false">C4382*D4382</f>
        <v>550.8</v>
      </c>
    </row>
    <row r="4383" customFormat="false" ht="15" hidden="false" customHeight="false" outlineLevel="0" collapsed="false">
      <c r="A4383" s="9" t="s">
        <v>1788</v>
      </c>
      <c r="B4383" s="9" t="s">
        <v>48</v>
      </c>
      <c r="C4383" s="9" t="n">
        <v>30</v>
      </c>
      <c r="D4383" s="10" t="n">
        <v>6.75</v>
      </c>
      <c r="E4383" s="10" t="n">
        <f aca="false">C4383*D4383</f>
        <v>202.5</v>
      </c>
    </row>
    <row r="4384" customFormat="false" ht="15" hidden="false" customHeight="false" outlineLevel="0" collapsed="false">
      <c r="A4384" s="9" t="s">
        <v>1788</v>
      </c>
      <c r="B4384" s="9" t="s">
        <v>942</v>
      </c>
      <c r="C4384" s="9" t="n">
        <v>96</v>
      </c>
      <c r="D4384" s="10" t="n">
        <v>0.72</v>
      </c>
      <c r="E4384" s="10" t="n">
        <f aca="false">C4384*D4384</f>
        <v>69.12</v>
      </c>
    </row>
    <row r="4385" customFormat="false" ht="15" hidden="false" customHeight="false" outlineLevel="0" collapsed="false">
      <c r="A4385" s="9" t="s">
        <v>1788</v>
      </c>
      <c r="B4385" s="9" t="s">
        <v>375</v>
      </c>
      <c r="C4385" s="9" t="n">
        <v>240</v>
      </c>
      <c r="D4385" s="10" t="n">
        <v>1.88</v>
      </c>
      <c r="E4385" s="10" t="n">
        <f aca="false">C4385*D4385</f>
        <v>451.2</v>
      </c>
    </row>
    <row r="4386" customFormat="false" ht="15" hidden="false" customHeight="false" outlineLevel="0" collapsed="false">
      <c r="A4386" s="9" t="s">
        <v>1788</v>
      </c>
      <c r="B4386" s="9" t="s">
        <v>1782</v>
      </c>
      <c r="C4386" s="9" t="n">
        <v>12</v>
      </c>
      <c r="D4386" s="10" t="n">
        <v>1.25</v>
      </c>
      <c r="E4386" s="10" t="n">
        <f aca="false">C4386*D4386</f>
        <v>15</v>
      </c>
    </row>
    <row r="4387" customFormat="false" ht="15" hidden="false" customHeight="false" outlineLevel="0" collapsed="false">
      <c r="A4387" s="9" t="s">
        <v>1788</v>
      </c>
      <c r="B4387" s="9" t="s">
        <v>417</v>
      </c>
      <c r="C4387" s="9" t="n">
        <v>24</v>
      </c>
      <c r="D4387" s="10" t="n">
        <v>1.25</v>
      </c>
      <c r="E4387" s="10" t="n">
        <f aca="false">C4387*D4387</f>
        <v>30</v>
      </c>
    </row>
    <row r="4388" customFormat="false" ht="15" hidden="false" customHeight="false" outlineLevel="0" collapsed="false">
      <c r="A4388" s="9" t="s">
        <v>1789</v>
      </c>
      <c r="B4388" s="9" t="s">
        <v>290</v>
      </c>
      <c r="C4388" s="9" t="n">
        <v>100</v>
      </c>
      <c r="D4388" s="10" t="n">
        <v>1.25</v>
      </c>
      <c r="E4388" s="10" t="n">
        <f aca="false">C4388*D4388</f>
        <v>125</v>
      </c>
    </row>
    <row r="4389" customFormat="false" ht="15" hidden="false" customHeight="false" outlineLevel="0" collapsed="false">
      <c r="A4389" s="9" t="s">
        <v>1789</v>
      </c>
      <c r="B4389" s="9" t="s">
        <v>291</v>
      </c>
      <c r="C4389" s="9" t="n">
        <v>100</v>
      </c>
      <c r="D4389" s="10" t="n">
        <v>1.25</v>
      </c>
      <c r="E4389" s="10" t="n">
        <f aca="false">C4389*D4389</f>
        <v>125</v>
      </c>
    </row>
    <row r="4390" customFormat="false" ht="15" hidden="false" customHeight="false" outlineLevel="0" collapsed="false">
      <c r="A4390" s="9" t="s">
        <v>1789</v>
      </c>
      <c r="B4390" s="9" t="s">
        <v>613</v>
      </c>
      <c r="C4390" s="9" t="n">
        <v>144</v>
      </c>
      <c r="D4390" s="10" t="n">
        <v>10.95</v>
      </c>
      <c r="E4390" s="10" t="n">
        <f aca="false">C4390*D4390</f>
        <v>1576.8</v>
      </c>
    </row>
    <row r="4391" customFormat="false" ht="15" hidden="false" customHeight="false" outlineLevel="0" collapsed="false">
      <c r="A4391" s="9" t="s">
        <v>1789</v>
      </c>
      <c r="B4391" s="9" t="s">
        <v>920</v>
      </c>
      <c r="C4391" s="9" t="n">
        <v>216</v>
      </c>
      <c r="D4391" s="10" t="n">
        <v>1.06</v>
      </c>
      <c r="E4391" s="10" t="n">
        <f aca="false">C4391*D4391</f>
        <v>228.96</v>
      </c>
    </row>
    <row r="4392" customFormat="false" ht="15" hidden="false" customHeight="false" outlineLevel="0" collapsed="false">
      <c r="A4392" s="9" t="s">
        <v>1789</v>
      </c>
      <c r="B4392" s="9" t="s">
        <v>59</v>
      </c>
      <c r="C4392" s="9" t="n">
        <v>320</v>
      </c>
      <c r="D4392" s="10" t="n">
        <v>1.45</v>
      </c>
      <c r="E4392" s="10" t="n">
        <f aca="false">C4392*D4392</f>
        <v>464</v>
      </c>
    </row>
    <row r="4393" customFormat="false" ht="15" hidden="false" customHeight="false" outlineLevel="0" collapsed="false">
      <c r="A4393" s="9" t="s">
        <v>1789</v>
      </c>
      <c r="B4393" s="9" t="s">
        <v>68</v>
      </c>
      <c r="C4393" s="9" t="n">
        <v>128</v>
      </c>
      <c r="D4393" s="10" t="n">
        <v>1.65</v>
      </c>
      <c r="E4393" s="10" t="n">
        <f aca="false">C4393*D4393</f>
        <v>211.2</v>
      </c>
    </row>
    <row r="4394" customFormat="false" ht="15" hidden="false" customHeight="false" outlineLevel="0" collapsed="false">
      <c r="A4394" s="9" t="s">
        <v>1790</v>
      </c>
      <c r="B4394" s="9" t="s">
        <v>914</v>
      </c>
      <c r="C4394" s="9" t="n">
        <v>96</v>
      </c>
      <c r="D4394" s="10" t="n">
        <v>1.25</v>
      </c>
      <c r="E4394" s="10" t="n">
        <f aca="false">C4394*D4394</f>
        <v>120</v>
      </c>
    </row>
    <row r="4395" customFormat="false" ht="15" hidden="false" customHeight="false" outlineLevel="0" collapsed="false">
      <c r="A4395" s="9" t="s">
        <v>1790</v>
      </c>
      <c r="B4395" s="9" t="s">
        <v>1502</v>
      </c>
      <c r="C4395" s="9" t="n">
        <v>48</v>
      </c>
      <c r="D4395" s="10" t="n">
        <v>4.25</v>
      </c>
      <c r="E4395" s="10" t="n">
        <f aca="false">C4395*D4395</f>
        <v>204</v>
      </c>
    </row>
    <row r="4396" customFormat="false" ht="15" hidden="false" customHeight="false" outlineLevel="0" collapsed="false">
      <c r="A4396" s="9" t="s">
        <v>1791</v>
      </c>
      <c r="B4396" s="9" t="s">
        <v>94</v>
      </c>
      <c r="C4396" s="9" t="n">
        <v>6</v>
      </c>
      <c r="D4396" s="10" t="n">
        <v>2.55</v>
      </c>
      <c r="E4396" s="10" t="n">
        <f aca="false">C4396*D4396</f>
        <v>15.3</v>
      </c>
    </row>
    <row r="4397" customFormat="false" ht="15" hidden="false" customHeight="false" outlineLevel="0" collapsed="false">
      <c r="A4397" s="9" t="s">
        <v>1791</v>
      </c>
      <c r="B4397" s="9" t="s">
        <v>42</v>
      </c>
      <c r="C4397" s="9" t="n">
        <v>2</v>
      </c>
      <c r="D4397" s="10" t="n">
        <v>7.65</v>
      </c>
      <c r="E4397" s="10" t="n">
        <f aca="false">C4397*D4397</f>
        <v>15.3</v>
      </c>
    </row>
    <row r="4398" customFormat="false" ht="15" hidden="false" customHeight="false" outlineLevel="0" collapsed="false">
      <c r="A4398" s="9" t="s">
        <v>1791</v>
      </c>
      <c r="B4398" s="9" t="s">
        <v>43</v>
      </c>
      <c r="C4398" s="9" t="n">
        <v>6</v>
      </c>
      <c r="D4398" s="10" t="n">
        <v>4.25</v>
      </c>
      <c r="E4398" s="10" t="n">
        <f aca="false">C4398*D4398</f>
        <v>25.5</v>
      </c>
    </row>
    <row r="4399" customFormat="false" ht="15" hidden="false" customHeight="false" outlineLevel="0" collapsed="false">
      <c r="A4399" s="9" t="s">
        <v>1791</v>
      </c>
      <c r="B4399" s="9" t="s">
        <v>41</v>
      </c>
      <c r="C4399" s="9" t="n">
        <v>6</v>
      </c>
      <c r="D4399" s="10" t="n">
        <v>3.39</v>
      </c>
      <c r="E4399" s="10" t="n">
        <f aca="false">C4399*D4399</f>
        <v>20.34</v>
      </c>
    </row>
    <row r="4400" customFormat="false" ht="15" hidden="false" customHeight="false" outlineLevel="0" collapsed="false">
      <c r="A4400" s="9" t="s">
        <v>1791</v>
      </c>
      <c r="B4400" s="9" t="s">
        <v>40</v>
      </c>
      <c r="C4400" s="9" t="n">
        <v>6</v>
      </c>
      <c r="D4400" s="10" t="n">
        <v>3.39</v>
      </c>
      <c r="E4400" s="10" t="n">
        <f aca="false">C4400*D4400</f>
        <v>20.34</v>
      </c>
    </row>
    <row r="4401" customFormat="false" ht="15" hidden="false" customHeight="false" outlineLevel="0" collapsed="false">
      <c r="A4401" s="9" t="s">
        <v>1791</v>
      </c>
      <c r="B4401" s="9" t="s">
        <v>91</v>
      </c>
      <c r="C4401" s="9" t="n">
        <v>6</v>
      </c>
      <c r="D4401" s="10" t="n">
        <v>2.1</v>
      </c>
      <c r="E4401" s="10" t="n">
        <f aca="false">C4401*D4401</f>
        <v>12.6</v>
      </c>
    </row>
    <row r="4402" customFormat="false" ht="15" hidden="false" customHeight="false" outlineLevel="0" collapsed="false">
      <c r="A4402" s="9" t="s">
        <v>1791</v>
      </c>
      <c r="B4402" s="9" t="s">
        <v>38</v>
      </c>
      <c r="C4402" s="9" t="n">
        <v>6</v>
      </c>
      <c r="D4402" s="10" t="n">
        <v>3.39</v>
      </c>
      <c r="E4402" s="10" t="n">
        <f aca="false">C4402*D4402</f>
        <v>20.34</v>
      </c>
    </row>
    <row r="4403" customFormat="false" ht="15" hidden="false" customHeight="false" outlineLevel="0" collapsed="false">
      <c r="A4403" s="9" t="s">
        <v>1791</v>
      </c>
      <c r="B4403" s="9" t="s">
        <v>95</v>
      </c>
      <c r="C4403" s="9" t="n">
        <v>6</v>
      </c>
      <c r="D4403" s="10" t="n">
        <v>1.06</v>
      </c>
      <c r="E4403" s="10" t="n">
        <f aca="false">C4403*D4403</f>
        <v>6.36</v>
      </c>
    </row>
    <row r="4404" customFormat="false" ht="15" hidden="false" customHeight="false" outlineLevel="0" collapsed="false">
      <c r="A4404" s="9" t="s">
        <v>1791</v>
      </c>
      <c r="B4404" s="9" t="s">
        <v>96</v>
      </c>
      <c r="C4404" s="9" t="n">
        <v>6</v>
      </c>
      <c r="D4404" s="10" t="n">
        <v>1.06</v>
      </c>
      <c r="E4404" s="10" t="n">
        <f aca="false">C4404*D4404</f>
        <v>6.36</v>
      </c>
    </row>
    <row r="4405" customFormat="false" ht="15" hidden="false" customHeight="false" outlineLevel="0" collapsed="false">
      <c r="A4405" s="9" t="s">
        <v>1791</v>
      </c>
      <c r="B4405" s="9" t="s">
        <v>97</v>
      </c>
      <c r="C4405" s="9" t="n">
        <v>6</v>
      </c>
      <c r="D4405" s="10" t="n">
        <v>1.06</v>
      </c>
      <c r="E4405" s="10" t="n">
        <f aca="false">C4405*D4405</f>
        <v>6.36</v>
      </c>
    </row>
    <row r="4406" customFormat="false" ht="15" hidden="false" customHeight="false" outlineLevel="0" collapsed="false">
      <c r="A4406" s="9" t="s">
        <v>1791</v>
      </c>
      <c r="B4406" s="9" t="s">
        <v>39</v>
      </c>
      <c r="C4406" s="9" t="n">
        <v>8</v>
      </c>
      <c r="D4406" s="10" t="n">
        <v>2.75</v>
      </c>
      <c r="E4406" s="10" t="n">
        <f aca="false">C4406*D4406</f>
        <v>22</v>
      </c>
    </row>
    <row r="4407" customFormat="false" ht="15" hidden="false" customHeight="false" outlineLevel="0" collapsed="false">
      <c r="A4407" s="9" t="s">
        <v>1791</v>
      </c>
      <c r="B4407" s="9" t="s">
        <v>37</v>
      </c>
      <c r="C4407" s="9" t="n">
        <v>6</v>
      </c>
      <c r="D4407" s="10" t="n">
        <v>2.55</v>
      </c>
      <c r="E4407" s="10" t="n">
        <f aca="false">C4407*D4407</f>
        <v>15.3</v>
      </c>
    </row>
    <row r="4408" customFormat="false" ht="15" hidden="false" customHeight="false" outlineLevel="0" collapsed="false">
      <c r="A4408" s="9" t="s">
        <v>1791</v>
      </c>
      <c r="B4408" s="9" t="s">
        <v>99</v>
      </c>
      <c r="C4408" s="9" t="n">
        <v>6</v>
      </c>
      <c r="D4408" s="10" t="n">
        <v>1.06</v>
      </c>
      <c r="E4408" s="10" t="n">
        <f aca="false">C4408*D4408</f>
        <v>6.36</v>
      </c>
    </row>
    <row r="4409" customFormat="false" ht="15" hidden="false" customHeight="false" outlineLevel="0" collapsed="false">
      <c r="A4409" s="9" t="s">
        <v>1792</v>
      </c>
      <c r="B4409" s="9" t="s">
        <v>250</v>
      </c>
      <c r="C4409" s="9" t="n">
        <v>60</v>
      </c>
      <c r="D4409" s="10" t="n">
        <v>1.25</v>
      </c>
      <c r="E4409" s="10" t="n">
        <f aca="false">C4409*D4409</f>
        <v>75</v>
      </c>
    </row>
    <row r="4410" customFormat="false" ht="15" hidden="false" customHeight="false" outlineLevel="0" collapsed="false">
      <c r="A4410" s="9" t="s">
        <v>1793</v>
      </c>
      <c r="B4410" s="9" t="s">
        <v>46</v>
      </c>
      <c r="C4410" s="9" t="n">
        <v>6</v>
      </c>
      <c r="D4410" s="10" t="n">
        <v>1.85</v>
      </c>
      <c r="E4410" s="10" t="n">
        <f aca="false">C4410*D4410</f>
        <v>11.1</v>
      </c>
    </row>
    <row r="4411" customFormat="false" ht="15" hidden="false" customHeight="false" outlineLevel="0" collapsed="false">
      <c r="A4411" s="9" t="s">
        <v>1793</v>
      </c>
      <c r="B4411" s="9" t="s">
        <v>45</v>
      </c>
      <c r="C4411" s="9" t="n">
        <v>6</v>
      </c>
      <c r="D4411" s="10" t="n">
        <v>1.85</v>
      </c>
      <c r="E4411" s="10" t="n">
        <f aca="false">C4411*D4411</f>
        <v>11.1</v>
      </c>
    </row>
    <row r="4412" customFormat="false" ht="15" hidden="false" customHeight="false" outlineLevel="0" collapsed="false">
      <c r="A4412" s="9" t="s">
        <v>1794</v>
      </c>
      <c r="B4412" s="9" t="s">
        <v>92</v>
      </c>
      <c r="C4412" s="9" t="n">
        <v>4</v>
      </c>
      <c r="D4412" s="10" t="n">
        <v>6.95</v>
      </c>
      <c r="E4412" s="10" t="n">
        <f aca="false">C4412*D4412</f>
        <v>27.8</v>
      </c>
    </row>
    <row r="4413" customFormat="false" ht="15" hidden="false" customHeight="false" outlineLevel="0" collapsed="false">
      <c r="A4413" s="9" t="s">
        <v>1794</v>
      </c>
      <c r="B4413" s="9" t="s">
        <v>265</v>
      </c>
      <c r="C4413" s="9" t="n">
        <v>3</v>
      </c>
      <c r="D4413" s="10" t="n">
        <v>35.75</v>
      </c>
      <c r="E4413" s="10" t="n">
        <f aca="false">C4413*D4413</f>
        <v>107.25</v>
      </c>
    </row>
    <row r="4414" customFormat="false" ht="15" hidden="false" customHeight="false" outlineLevel="0" collapsed="false">
      <c r="A4414" s="9" t="s">
        <v>1794</v>
      </c>
      <c r="B4414" s="9" t="s">
        <v>42</v>
      </c>
      <c r="C4414" s="9" t="n">
        <v>4</v>
      </c>
      <c r="D4414" s="10" t="n">
        <v>7.65</v>
      </c>
      <c r="E4414" s="10" t="n">
        <f aca="false">C4414*D4414</f>
        <v>30.6</v>
      </c>
    </row>
    <row r="4415" customFormat="false" ht="15" hidden="false" customHeight="false" outlineLevel="0" collapsed="false">
      <c r="A4415" s="9" t="s">
        <v>1794</v>
      </c>
      <c r="B4415" s="9" t="s">
        <v>41</v>
      </c>
      <c r="C4415" s="9" t="n">
        <v>6</v>
      </c>
      <c r="D4415" s="10" t="n">
        <v>3.39</v>
      </c>
      <c r="E4415" s="10" t="n">
        <f aca="false">C4415*D4415</f>
        <v>20.34</v>
      </c>
    </row>
    <row r="4416" customFormat="false" ht="15" hidden="false" customHeight="false" outlineLevel="0" collapsed="false">
      <c r="A4416" s="9" t="s">
        <v>1794</v>
      </c>
      <c r="B4416" s="9" t="s">
        <v>43</v>
      </c>
      <c r="C4416" s="9" t="n">
        <v>12</v>
      </c>
      <c r="D4416" s="10" t="n">
        <v>4.25</v>
      </c>
      <c r="E4416" s="10" t="n">
        <f aca="false">C4416*D4416</f>
        <v>51</v>
      </c>
    </row>
    <row r="4417" customFormat="false" ht="15" hidden="false" customHeight="false" outlineLevel="0" collapsed="false">
      <c r="A4417" s="9" t="s">
        <v>1794</v>
      </c>
      <c r="B4417" s="9" t="s">
        <v>94</v>
      </c>
      <c r="C4417" s="9" t="n">
        <v>6</v>
      </c>
      <c r="D4417" s="10" t="n">
        <v>2.55</v>
      </c>
      <c r="E4417" s="10" t="n">
        <f aca="false">C4417*D4417</f>
        <v>15.3</v>
      </c>
    </row>
    <row r="4418" customFormat="false" ht="15" hidden="false" customHeight="false" outlineLevel="0" collapsed="false">
      <c r="A4418" s="9" t="s">
        <v>1794</v>
      </c>
      <c r="B4418" s="9" t="s">
        <v>91</v>
      </c>
      <c r="C4418" s="9" t="n">
        <v>6</v>
      </c>
      <c r="D4418" s="10" t="n">
        <v>2.1</v>
      </c>
      <c r="E4418" s="10" t="n">
        <f aca="false">C4418*D4418</f>
        <v>12.6</v>
      </c>
    </row>
    <row r="4419" customFormat="false" ht="15" hidden="false" customHeight="false" outlineLevel="0" collapsed="false">
      <c r="A4419" s="9" t="s">
        <v>1794</v>
      </c>
      <c r="B4419" s="9" t="s">
        <v>93</v>
      </c>
      <c r="C4419" s="9" t="n">
        <v>4</v>
      </c>
      <c r="D4419" s="10" t="n">
        <v>4.95</v>
      </c>
      <c r="E4419" s="10" t="n">
        <f aca="false">C4419*D4419</f>
        <v>19.8</v>
      </c>
    </row>
    <row r="4420" customFormat="false" ht="15" hidden="false" customHeight="false" outlineLevel="0" collapsed="false">
      <c r="A4420" s="9" t="s">
        <v>1794</v>
      </c>
      <c r="B4420" s="9" t="s">
        <v>40</v>
      </c>
      <c r="C4420" s="9" t="n">
        <v>12</v>
      </c>
      <c r="D4420" s="10" t="n">
        <v>3.39</v>
      </c>
      <c r="E4420" s="10" t="n">
        <f aca="false">C4420*D4420</f>
        <v>40.68</v>
      </c>
    </row>
    <row r="4421" customFormat="false" ht="15" hidden="false" customHeight="false" outlineLevel="0" collapsed="false">
      <c r="A4421" s="9" t="s">
        <v>1794</v>
      </c>
      <c r="B4421" s="9" t="s">
        <v>95</v>
      </c>
      <c r="C4421" s="9" t="n">
        <v>12</v>
      </c>
      <c r="D4421" s="10" t="n">
        <v>1.06</v>
      </c>
      <c r="E4421" s="10" t="n">
        <f aca="false">C4421*D4421</f>
        <v>12.72</v>
      </c>
    </row>
    <row r="4422" customFormat="false" ht="15" hidden="false" customHeight="false" outlineLevel="0" collapsed="false">
      <c r="A4422" s="9" t="s">
        <v>1794</v>
      </c>
      <c r="B4422" s="9" t="s">
        <v>97</v>
      </c>
      <c r="C4422" s="9" t="n">
        <v>12</v>
      </c>
      <c r="D4422" s="10" t="n">
        <v>1.06</v>
      </c>
      <c r="E4422" s="10" t="n">
        <f aca="false">C4422*D4422</f>
        <v>12.72</v>
      </c>
    </row>
    <row r="4423" customFormat="false" ht="15" hidden="false" customHeight="false" outlineLevel="0" collapsed="false">
      <c r="A4423" s="9" t="s">
        <v>1794</v>
      </c>
      <c r="B4423" s="9" t="s">
        <v>98</v>
      </c>
      <c r="C4423" s="9" t="n">
        <v>6</v>
      </c>
      <c r="D4423" s="10" t="n">
        <v>4.95</v>
      </c>
      <c r="E4423" s="10" t="n">
        <f aca="false">C4423*D4423</f>
        <v>29.7</v>
      </c>
    </row>
    <row r="4424" customFormat="false" ht="15" hidden="false" customHeight="false" outlineLevel="0" collapsed="false">
      <c r="A4424" s="9" t="s">
        <v>1794</v>
      </c>
      <c r="B4424" s="9" t="s">
        <v>136</v>
      </c>
      <c r="C4424" s="9" t="n">
        <v>6</v>
      </c>
      <c r="D4424" s="10" t="n">
        <v>4.95</v>
      </c>
      <c r="E4424" s="10" t="n">
        <f aca="false">C4424*D4424</f>
        <v>29.7</v>
      </c>
    </row>
    <row r="4425" customFormat="false" ht="15" hidden="false" customHeight="false" outlineLevel="0" collapsed="false">
      <c r="A4425" s="9" t="s">
        <v>1794</v>
      </c>
      <c r="B4425" s="9" t="s">
        <v>39</v>
      </c>
      <c r="C4425" s="9" t="n">
        <v>12</v>
      </c>
      <c r="D4425" s="10" t="n">
        <v>2.75</v>
      </c>
      <c r="E4425" s="10" t="n">
        <f aca="false">C4425*D4425</f>
        <v>33</v>
      </c>
    </row>
    <row r="4426" customFormat="false" ht="15" hidden="false" customHeight="false" outlineLevel="0" collapsed="false">
      <c r="A4426" s="9" t="s">
        <v>1794</v>
      </c>
      <c r="B4426" s="9" t="s">
        <v>38</v>
      </c>
      <c r="C4426" s="9" t="n">
        <v>12</v>
      </c>
      <c r="D4426" s="10" t="n">
        <v>3.39</v>
      </c>
      <c r="E4426" s="10" t="n">
        <f aca="false">C4426*D4426</f>
        <v>40.68</v>
      </c>
    </row>
    <row r="4427" customFormat="false" ht="15" hidden="false" customHeight="false" outlineLevel="0" collapsed="false">
      <c r="A4427" s="9" t="s">
        <v>1794</v>
      </c>
      <c r="B4427" s="9" t="s">
        <v>37</v>
      </c>
      <c r="C4427" s="9" t="n">
        <v>12</v>
      </c>
      <c r="D4427" s="10" t="n">
        <v>2.95</v>
      </c>
      <c r="E4427" s="10" t="n">
        <f aca="false">C4427*D4427</f>
        <v>35.4</v>
      </c>
    </row>
    <row r="4428" customFormat="false" ht="15" hidden="false" customHeight="false" outlineLevel="0" collapsed="false">
      <c r="A4428" s="9" t="s">
        <v>1794</v>
      </c>
      <c r="B4428" s="9" t="s">
        <v>99</v>
      </c>
      <c r="C4428" s="9" t="n">
        <v>12</v>
      </c>
      <c r="D4428" s="10" t="n">
        <v>1.06</v>
      </c>
      <c r="E4428" s="10" t="n">
        <f aca="false">C4428*D4428</f>
        <v>12.72</v>
      </c>
    </row>
    <row r="4429" customFormat="false" ht="15" hidden="false" customHeight="false" outlineLevel="0" collapsed="false">
      <c r="A4429" s="9" t="s">
        <v>1795</v>
      </c>
      <c r="B4429" s="9" t="s">
        <v>46</v>
      </c>
      <c r="C4429" s="9" t="n">
        <v>12</v>
      </c>
      <c r="D4429" s="10" t="n">
        <v>1.85</v>
      </c>
      <c r="E4429" s="10" t="n">
        <f aca="false">C4429*D4429</f>
        <v>22.2</v>
      </c>
    </row>
    <row r="4430" customFormat="false" ht="15" hidden="false" customHeight="false" outlineLevel="0" collapsed="false">
      <c r="A4430" s="9" t="s">
        <v>1795</v>
      </c>
      <c r="B4430" s="9" t="s">
        <v>45</v>
      </c>
      <c r="C4430" s="9" t="n">
        <v>12</v>
      </c>
      <c r="D4430" s="10" t="n">
        <v>1.85</v>
      </c>
      <c r="E4430" s="10" t="n">
        <f aca="false">C4430*D4430</f>
        <v>22.2</v>
      </c>
    </row>
    <row r="4431" customFormat="false" ht="15" hidden="false" customHeight="false" outlineLevel="0" collapsed="false">
      <c r="A4431" s="9" t="s">
        <v>1796</v>
      </c>
      <c r="B4431" s="9" t="s">
        <v>250</v>
      </c>
      <c r="C4431" s="9" t="n">
        <v>24</v>
      </c>
      <c r="D4431" s="10" t="n">
        <v>1.25</v>
      </c>
      <c r="E4431" s="10" t="n">
        <f aca="false">C4431*D4431</f>
        <v>30</v>
      </c>
    </row>
    <row r="4432" customFormat="false" ht="15" hidden="false" customHeight="false" outlineLevel="0" collapsed="false">
      <c r="A4432" s="9" t="s">
        <v>1797</v>
      </c>
      <c r="B4432" s="9" t="s">
        <v>1798</v>
      </c>
      <c r="C4432" s="9" t="n">
        <v>12</v>
      </c>
      <c r="D4432" s="10" t="n">
        <v>0.85</v>
      </c>
      <c r="E4432" s="10" t="n">
        <f aca="false">C4432*D4432</f>
        <v>10.2</v>
      </c>
    </row>
    <row r="4433" customFormat="false" ht="15" hidden="false" customHeight="false" outlineLevel="0" collapsed="false">
      <c r="A4433" s="9" t="s">
        <v>1797</v>
      </c>
      <c r="B4433" s="9" t="s">
        <v>387</v>
      </c>
      <c r="C4433" s="9" t="n">
        <v>12</v>
      </c>
      <c r="D4433" s="10" t="n">
        <v>1.25</v>
      </c>
      <c r="E4433" s="10" t="n">
        <f aca="false">C4433*D4433</f>
        <v>15</v>
      </c>
    </row>
    <row r="4434" customFormat="false" ht="15" hidden="false" customHeight="false" outlineLevel="0" collapsed="false">
      <c r="A4434" s="9" t="s">
        <v>1797</v>
      </c>
      <c r="B4434" s="9" t="s">
        <v>170</v>
      </c>
      <c r="C4434" s="9" t="n">
        <v>4</v>
      </c>
      <c r="D4434" s="10" t="n">
        <v>3.75</v>
      </c>
      <c r="E4434" s="10" t="n">
        <f aca="false">C4434*D4434</f>
        <v>15</v>
      </c>
    </row>
    <row r="4435" customFormat="false" ht="15" hidden="false" customHeight="false" outlineLevel="0" collapsed="false">
      <c r="A4435" s="9" t="s">
        <v>1797</v>
      </c>
      <c r="B4435" s="9" t="s">
        <v>499</v>
      </c>
      <c r="C4435" s="9" t="n">
        <v>4</v>
      </c>
      <c r="D4435" s="10" t="n">
        <v>3.75</v>
      </c>
      <c r="E4435" s="10" t="n">
        <f aca="false">C4435*D4435</f>
        <v>15</v>
      </c>
    </row>
    <row r="4436" customFormat="false" ht="15" hidden="false" customHeight="false" outlineLevel="0" collapsed="false">
      <c r="A4436" s="9" t="s">
        <v>1797</v>
      </c>
      <c r="B4436" s="9" t="s">
        <v>1051</v>
      </c>
      <c r="C4436" s="9" t="n">
        <v>12</v>
      </c>
      <c r="D4436" s="10" t="n">
        <v>1.25</v>
      </c>
      <c r="E4436" s="10" t="n">
        <f aca="false">C4436*D4436</f>
        <v>15</v>
      </c>
    </row>
    <row r="4437" customFormat="false" ht="15" hidden="false" customHeight="false" outlineLevel="0" collapsed="false">
      <c r="A4437" s="9" t="s">
        <v>1797</v>
      </c>
      <c r="B4437" s="9" t="s">
        <v>63</v>
      </c>
      <c r="C4437" s="9" t="n">
        <v>6</v>
      </c>
      <c r="D4437" s="10" t="n">
        <v>4.25</v>
      </c>
      <c r="E4437" s="10" t="n">
        <f aca="false">C4437*D4437</f>
        <v>25.5</v>
      </c>
    </row>
    <row r="4438" customFormat="false" ht="15" hidden="false" customHeight="false" outlineLevel="0" collapsed="false">
      <c r="A4438" s="9" t="s">
        <v>1797</v>
      </c>
      <c r="B4438" s="9" t="s">
        <v>416</v>
      </c>
      <c r="C4438" s="9" t="n">
        <v>4</v>
      </c>
      <c r="D4438" s="10" t="n">
        <v>3.75</v>
      </c>
      <c r="E4438" s="10" t="n">
        <f aca="false">C4438*D4438</f>
        <v>15</v>
      </c>
    </row>
    <row r="4439" customFormat="false" ht="15" hidden="false" customHeight="false" outlineLevel="0" collapsed="false">
      <c r="A4439" s="9" t="s">
        <v>1797</v>
      </c>
      <c r="B4439" s="9" t="s">
        <v>84</v>
      </c>
      <c r="C4439" s="9" t="n">
        <v>4</v>
      </c>
      <c r="D4439" s="10" t="n">
        <v>3.75</v>
      </c>
      <c r="E4439" s="10" t="n">
        <f aca="false">C4439*D4439</f>
        <v>15</v>
      </c>
    </row>
    <row r="4440" customFormat="false" ht="15" hidden="false" customHeight="false" outlineLevel="0" collapsed="false">
      <c r="A4440" s="9" t="s">
        <v>1797</v>
      </c>
      <c r="B4440" s="9" t="s">
        <v>1273</v>
      </c>
      <c r="C4440" s="9" t="n">
        <v>4</v>
      </c>
      <c r="D4440" s="10" t="n">
        <v>3.75</v>
      </c>
      <c r="E4440" s="10" t="n">
        <f aca="false">C4440*D4440</f>
        <v>15</v>
      </c>
    </row>
    <row r="4441" customFormat="false" ht="15" hidden="false" customHeight="false" outlineLevel="0" collapsed="false">
      <c r="A4441" s="9" t="s">
        <v>1797</v>
      </c>
      <c r="B4441" s="9" t="s">
        <v>85</v>
      </c>
      <c r="C4441" s="9" t="n">
        <v>4</v>
      </c>
      <c r="D4441" s="10" t="n">
        <v>3.75</v>
      </c>
      <c r="E4441" s="10" t="n">
        <f aca="false">C4441*D4441</f>
        <v>15</v>
      </c>
    </row>
    <row r="4442" customFormat="false" ht="15" hidden="false" customHeight="false" outlineLevel="0" collapsed="false">
      <c r="A4442" s="9" t="s">
        <v>1797</v>
      </c>
      <c r="B4442" s="9" t="s">
        <v>451</v>
      </c>
      <c r="C4442" s="9" t="n">
        <v>4</v>
      </c>
      <c r="D4442" s="10" t="n">
        <v>3.75</v>
      </c>
      <c r="E4442" s="10" t="n">
        <f aca="false">C4442*D4442</f>
        <v>15</v>
      </c>
    </row>
    <row r="4443" customFormat="false" ht="15" hidden="false" customHeight="false" outlineLevel="0" collapsed="false">
      <c r="A4443" s="9" t="s">
        <v>1799</v>
      </c>
      <c r="B4443" s="9" t="s">
        <v>263</v>
      </c>
      <c r="C4443" s="9" t="n">
        <v>24</v>
      </c>
      <c r="D4443" s="10" t="n">
        <v>2.1</v>
      </c>
      <c r="E4443" s="10" t="n">
        <f aca="false">C4443*D4443</f>
        <v>50.4</v>
      </c>
    </row>
    <row r="4444" customFormat="false" ht="15" hidden="false" customHeight="false" outlineLevel="0" collapsed="false">
      <c r="A4444" s="9" t="s">
        <v>1799</v>
      </c>
      <c r="B4444" s="9" t="s">
        <v>84</v>
      </c>
      <c r="C4444" s="9" t="n">
        <v>12</v>
      </c>
      <c r="D4444" s="10" t="n">
        <v>3.75</v>
      </c>
      <c r="E4444" s="10" t="n">
        <f aca="false">C4444*D4444</f>
        <v>45</v>
      </c>
    </row>
    <row r="4445" customFormat="false" ht="15" hidden="false" customHeight="false" outlineLevel="0" collapsed="false">
      <c r="A4445" s="9" t="s">
        <v>1799</v>
      </c>
      <c r="B4445" s="9" t="s">
        <v>85</v>
      </c>
      <c r="C4445" s="9" t="n">
        <v>48</v>
      </c>
      <c r="D4445" s="10" t="n">
        <v>3.75</v>
      </c>
      <c r="E4445" s="10" t="n">
        <f aca="false">C4445*D4445</f>
        <v>180</v>
      </c>
    </row>
    <row r="4446" customFormat="false" ht="15" hidden="false" customHeight="false" outlineLevel="0" collapsed="false">
      <c r="A4446" s="9" t="s">
        <v>1799</v>
      </c>
      <c r="B4446" s="9" t="s">
        <v>105</v>
      </c>
      <c r="C4446" s="9" t="n">
        <v>12</v>
      </c>
      <c r="D4446" s="10" t="n">
        <v>3.95</v>
      </c>
      <c r="E4446" s="10" t="n">
        <f aca="false">C4446*D4446</f>
        <v>47.4</v>
      </c>
    </row>
    <row r="4447" customFormat="false" ht="15" hidden="false" customHeight="false" outlineLevel="0" collapsed="false">
      <c r="A4447" s="9" t="s">
        <v>1800</v>
      </c>
      <c r="B4447" s="9" t="s">
        <v>820</v>
      </c>
      <c r="C4447" s="9" t="n">
        <v>24</v>
      </c>
      <c r="D4447" s="10" t="n">
        <v>0.29</v>
      </c>
      <c r="E4447" s="10" t="n">
        <f aca="false">C4447*D4447</f>
        <v>6.96</v>
      </c>
    </row>
    <row r="4448" customFormat="false" ht="15" hidden="false" customHeight="false" outlineLevel="0" collapsed="false">
      <c r="A4448" s="9" t="s">
        <v>1800</v>
      </c>
      <c r="B4448" s="9" t="s">
        <v>1470</v>
      </c>
      <c r="C4448" s="9" t="n">
        <v>12</v>
      </c>
      <c r="D4448" s="10" t="n">
        <v>2.95</v>
      </c>
      <c r="E4448" s="10" t="n">
        <f aca="false">C4448*D4448</f>
        <v>35.4</v>
      </c>
    </row>
    <row r="4449" customFormat="false" ht="15" hidden="false" customHeight="false" outlineLevel="0" collapsed="false">
      <c r="A4449" s="9" t="s">
        <v>1800</v>
      </c>
      <c r="B4449" s="9" t="s">
        <v>822</v>
      </c>
      <c r="C4449" s="9" t="n">
        <v>24</v>
      </c>
      <c r="D4449" s="10" t="n">
        <v>0.29</v>
      </c>
      <c r="E4449" s="10" t="n">
        <f aca="false">C4449*D4449</f>
        <v>6.96</v>
      </c>
    </row>
    <row r="4450" customFormat="false" ht="15" hidden="false" customHeight="false" outlineLevel="0" collapsed="false">
      <c r="A4450" s="9" t="s">
        <v>1800</v>
      </c>
      <c r="B4450" s="9" t="s">
        <v>254</v>
      </c>
      <c r="C4450" s="9" t="n">
        <v>24</v>
      </c>
      <c r="D4450" s="10" t="n">
        <v>2.1</v>
      </c>
      <c r="E4450" s="10" t="n">
        <f aca="false">C4450*D4450</f>
        <v>50.4</v>
      </c>
    </row>
    <row r="4451" customFormat="false" ht="15" hidden="false" customHeight="false" outlineLevel="0" collapsed="false">
      <c r="A4451" s="9" t="s">
        <v>1800</v>
      </c>
      <c r="B4451" s="9" t="s">
        <v>37</v>
      </c>
      <c r="C4451" s="9" t="n">
        <v>32</v>
      </c>
      <c r="D4451" s="10" t="n">
        <v>2.55</v>
      </c>
      <c r="E4451" s="10" t="n">
        <f aca="false">C4451*D4451</f>
        <v>81.6</v>
      </c>
    </row>
    <row r="4452" customFormat="false" ht="15" hidden="false" customHeight="false" outlineLevel="0" collapsed="false">
      <c r="A4452" s="9" t="s">
        <v>1800</v>
      </c>
      <c r="B4452" s="9" t="s">
        <v>88</v>
      </c>
      <c r="C4452" s="9" t="n">
        <v>40</v>
      </c>
      <c r="D4452" s="10" t="n">
        <v>2.55</v>
      </c>
      <c r="E4452" s="10" t="n">
        <f aca="false">C4452*D4452</f>
        <v>102</v>
      </c>
    </row>
    <row r="4453" customFormat="false" ht="15" hidden="false" customHeight="false" outlineLevel="0" collapsed="false">
      <c r="A4453" s="9" t="s">
        <v>1800</v>
      </c>
      <c r="B4453" s="9" t="s">
        <v>255</v>
      </c>
      <c r="C4453" s="9" t="n">
        <v>24</v>
      </c>
      <c r="D4453" s="10" t="n">
        <v>2.1</v>
      </c>
      <c r="E4453" s="10" t="n">
        <f aca="false">C4453*D4453</f>
        <v>50.4</v>
      </c>
    </row>
    <row r="4454" customFormat="false" ht="15" hidden="false" customHeight="false" outlineLevel="0" collapsed="false">
      <c r="A4454" s="9" t="s">
        <v>1801</v>
      </c>
      <c r="B4454" s="9" t="s">
        <v>375</v>
      </c>
      <c r="C4454" s="9" t="n">
        <v>1</v>
      </c>
      <c r="D4454" s="10" t="n">
        <v>2.55</v>
      </c>
      <c r="E4454" s="10" t="n">
        <f aca="false">C4454*D4454</f>
        <v>2.55</v>
      </c>
    </row>
    <row r="4455" customFormat="false" ht="15" hidden="false" customHeight="false" outlineLevel="0" collapsed="false">
      <c r="A4455" s="9" t="s">
        <v>1801</v>
      </c>
      <c r="B4455" s="9" t="s">
        <v>292</v>
      </c>
      <c r="C4455" s="9" t="n">
        <v>1</v>
      </c>
      <c r="D4455" s="10" t="n">
        <v>1.25</v>
      </c>
      <c r="E4455" s="10" t="n">
        <f aca="false">C4455*D4455</f>
        <v>1.25</v>
      </c>
    </row>
    <row r="4456" customFormat="false" ht="15" hidden="false" customHeight="false" outlineLevel="0" collapsed="false">
      <c r="A4456" s="9" t="s">
        <v>1801</v>
      </c>
      <c r="B4456" s="9" t="s">
        <v>609</v>
      </c>
      <c r="C4456" s="9" t="n">
        <v>1</v>
      </c>
      <c r="D4456" s="10" t="n">
        <v>0.42</v>
      </c>
      <c r="E4456" s="10" t="n">
        <f aca="false">C4456*D4456</f>
        <v>0.42</v>
      </c>
    </row>
    <row r="4457" customFormat="false" ht="15" hidden="false" customHeight="false" outlineLevel="0" collapsed="false">
      <c r="A4457" s="9" t="s">
        <v>1801</v>
      </c>
      <c r="B4457" s="9" t="s">
        <v>449</v>
      </c>
      <c r="C4457" s="9" t="n">
        <v>1</v>
      </c>
      <c r="D4457" s="10" t="n">
        <v>1.65</v>
      </c>
      <c r="E4457" s="10" t="n">
        <f aca="false">C4457*D4457</f>
        <v>1.65</v>
      </c>
    </row>
    <row r="4458" customFormat="false" ht="15" hidden="false" customHeight="false" outlineLevel="0" collapsed="false">
      <c r="A4458" s="9" t="s">
        <v>1801</v>
      </c>
      <c r="B4458" s="9" t="s">
        <v>1112</v>
      </c>
      <c r="C4458" s="9" t="n">
        <v>1</v>
      </c>
      <c r="D4458" s="10" t="n">
        <v>2.95</v>
      </c>
      <c r="E4458" s="10" t="n">
        <f aca="false">C4458*D4458</f>
        <v>2.95</v>
      </c>
    </row>
    <row r="4459" customFormat="false" ht="15" hidden="false" customHeight="false" outlineLevel="0" collapsed="false">
      <c r="A4459" s="9" t="s">
        <v>1801</v>
      </c>
      <c r="B4459" s="9" t="s">
        <v>1802</v>
      </c>
      <c r="C4459" s="9" t="n">
        <v>1</v>
      </c>
      <c r="D4459" s="10" t="n">
        <v>2.1</v>
      </c>
      <c r="E4459" s="10" t="n">
        <f aca="false">C4459*D4459</f>
        <v>2.1</v>
      </c>
    </row>
    <row r="4460" customFormat="false" ht="15" hidden="false" customHeight="false" outlineLevel="0" collapsed="false">
      <c r="A4460" s="9" t="s">
        <v>1801</v>
      </c>
      <c r="B4460" s="9" t="s">
        <v>591</v>
      </c>
      <c r="C4460" s="9" t="n">
        <v>2</v>
      </c>
      <c r="D4460" s="10" t="n">
        <v>2.95</v>
      </c>
      <c r="E4460" s="10" t="n">
        <f aca="false">C4460*D4460</f>
        <v>5.9</v>
      </c>
    </row>
    <row r="4461" customFormat="false" ht="15" hidden="false" customHeight="false" outlineLevel="0" collapsed="false">
      <c r="A4461" s="9" t="s">
        <v>1801</v>
      </c>
      <c r="B4461" s="9" t="s">
        <v>584</v>
      </c>
      <c r="C4461" s="9" t="n">
        <v>2</v>
      </c>
      <c r="D4461" s="10" t="n">
        <v>1.65</v>
      </c>
      <c r="E4461" s="10" t="n">
        <f aca="false">C4461*D4461</f>
        <v>3.3</v>
      </c>
    </row>
    <row r="4462" customFormat="false" ht="15" hidden="false" customHeight="false" outlineLevel="0" collapsed="false">
      <c r="A4462" s="9" t="s">
        <v>1801</v>
      </c>
      <c r="B4462" s="9" t="s">
        <v>1114</v>
      </c>
      <c r="C4462" s="9" t="n">
        <v>1</v>
      </c>
      <c r="D4462" s="10" t="n">
        <v>2.95</v>
      </c>
      <c r="E4462" s="10" t="n">
        <f aca="false">C4462*D4462</f>
        <v>2.95</v>
      </c>
    </row>
    <row r="4463" customFormat="false" ht="15" hidden="false" customHeight="false" outlineLevel="0" collapsed="false">
      <c r="A4463" s="9" t="s">
        <v>1801</v>
      </c>
      <c r="B4463" s="9" t="s">
        <v>558</v>
      </c>
      <c r="C4463" s="9" t="n">
        <v>1</v>
      </c>
      <c r="D4463" s="10" t="n">
        <v>1.25</v>
      </c>
      <c r="E4463" s="10" t="n">
        <f aca="false">C4463*D4463</f>
        <v>1.25</v>
      </c>
    </row>
    <row r="4464" customFormat="false" ht="15" hidden="false" customHeight="false" outlineLevel="0" collapsed="false">
      <c r="A4464" s="9" t="s">
        <v>1801</v>
      </c>
      <c r="B4464" s="9" t="s">
        <v>59</v>
      </c>
      <c r="C4464" s="9" t="n">
        <v>5</v>
      </c>
      <c r="D4464" s="10" t="n">
        <v>1.69</v>
      </c>
      <c r="E4464" s="10" t="n">
        <f aca="false">C4464*D4464</f>
        <v>8.45</v>
      </c>
    </row>
    <row r="4465" customFormat="false" ht="15" hidden="false" customHeight="false" outlineLevel="0" collapsed="false">
      <c r="A4465" s="9" t="s">
        <v>1801</v>
      </c>
      <c r="B4465" s="9" t="s">
        <v>736</v>
      </c>
      <c r="C4465" s="9" t="n">
        <v>8</v>
      </c>
      <c r="D4465" s="10" t="n">
        <v>1.69</v>
      </c>
      <c r="E4465" s="10" t="n">
        <f aca="false">C4465*D4465</f>
        <v>13.52</v>
      </c>
    </row>
    <row r="4466" customFormat="false" ht="15" hidden="false" customHeight="false" outlineLevel="0" collapsed="false">
      <c r="A4466" s="9" t="s">
        <v>1801</v>
      </c>
      <c r="B4466" s="9" t="s">
        <v>803</v>
      </c>
      <c r="C4466" s="9" t="n">
        <v>1</v>
      </c>
      <c r="D4466" s="10" t="n">
        <v>0.29</v>
      </c>
      <c r="E4466" s="10" t="n">
        <f aca="false">C4466*D4466</f>
        <v>0.29</v>
      </c>
    </row>
    <row r="4467" customFormat="false" ht="15" hidden="false" customHeight="false" outlineLevel="0" collapsed="false">
      <c r="A4467" s="9" t="s">
        <v>1801</v>
      </c>
      <c r="B4467" s="9" t="s">
        <v>1284</v>
      </c>
      <c r="C4467" s="9" t="n">
        <v>2</v>
      </c>
      <c r="D4467" s="10" t="n">
        <v>2.1</v>
      </c>
      <c r="E4467" s="10" t="n">
        <f aca="false">C4467*D4467</f>
        <v>4.2</v>
      </c>
    </row>
    <row r="4468" customFormat="false" ht="15" hidden="false" customHeight="false" outlineLevel="0" collapsed="false">
      <c r="A4468" s="9" t="s">
        <v>1801</v>
      </c>
      <c r="B4468" s="9" t="s">
        <v>135</v>
      </c>
      <c r="C4468" s="9" t="n">
        <v>2</v>
      </c>
      <c r="D4468" s="10" t="n">
        <v>0.85</v>
      </c>
      <c r="E4468" s="10" t="n">
        <f aca="false">C4468*D4468</f>
        <v>1.7</v>
      </c>
    </row>
    <row r="4469" customFormat="false" ht="15" hidden="false" customHeight="false" outlineLevel="0" collapsed="false">
      <c r="A4469" s="9" t="s">
        <v>1801</v>
      </c>
      <c r="B4469" s="9" t="s">
        <v>1803</v>
      </c>
      <c r="C4469" s="9" t="n">
        <v>1</v>
      </c>
      <c r="D4469" s="10" t="n">
        <v>1.25</v>
      </c>
      <c r="E4469" s="10" t="n">
        <f aca="false">C4469*D4469</f>
        <v>1.25</v>
      </c>
    </row>
    <row r="4470" customFormat="false" ht="15" hidden="false" customHeight="false" outlineLevel="0" collapsed="false">
      <c r="A4470" s="9" t="s">
        <v>1801</v>
      </c>
      <c r="B4470" s="9" t="s">
        <v>548</v>
      </c>
      <c r="C4470" s="9" t="n">
        <v>1</v>
      </c>
      <c r="D4470" s="10" t="n">
        <v>1.25</v>
      </c>
      <c r="E4470" s="10" t="n">
        <f aca="false">C4470*D4470</f>
        <v>1.25</v>
      </c>
    </row>
    <row r="4471" customFormat="false" ht="15" hidden="false" customHeight="false" outlineLevel="0" collapsed="false">
      <c r="A4471" s="9" t="s">
        <v>1801</v>
      </c>
      <c r="B4471" s="9" t="s">
        <v>762</v>
      </c>
      <c r="C4471" s="9" t="n">
        <v>1</v>
      </c>
      <c r="D4471" s="10" t="n">
        <v>0.85</v>
      </c>
      <c r="E4471" s="10" t="n">
        <f aca="false">C4471*D4471</f>
        <v>0.85</v>
      </c>
    </row>
    <row r="4472" customFormat="false" ht="15" hidden="false" customHeight="false" outlineLevel="0" collapsed="false">
      <c r="A4472" s="9" t="s">
        <v>1801</v>
      </c>
      <c r="B4472" s="9" t="s">
        <v>1804</v>
      </c>
      <c r="C4472" s="9" t="n">
        <v>1</v>
      </c>
      <c r="D4472" s="10" t="n">
        <v>1.25</v>
      </c>
      <c r="E4472" s="10" t="n">
        <f aca="false">C4472*D4472</f>
        <v>1.25</v>
      </c>
    </row>
    <row r="4473" customFormat="false" ht="15" hidden="false" customHeight="false" outlineLevel="0" collapsed="false">
      <c r="A4473" s="9" t="s">
        <v>1801</v>
      </c>
      <c r="B4473" s="9" t="s">
        <v>490</v>
      </c>
      <c r="C4473" s="9" t="n">
        <v>1</v>
      </c>
      <c r="D4473" s="10" t="n">
        <v>0.85</v>
      </c>
      <c r="E4473" s="10" t="n">
        <f aca="false">C4473*D4473</f>
        <v>0.85</v>
      </c>
    </row>
    <row r="4474" customFormat="false" ht="15" hidden="false" customHeight="false" outlineLevel="0" collapsed="false">
      <c r="A4474" s="9" t="s">
        <v>1801</v>
      </c>
      <c r="B4474" s="9" t="s">
        <v>52</v>
      </c>
      <c r="C4474" s="9" t="n">
        <v>1</v>
      </c>
      <c r="D4474" s="10" t="n">
        <v>4.95</v>
      </c>
      <c r="E4474" s="10" t="n">
        <f aca="false">C4474*D4474</f>
        <v>4.95</v>
      </c>
    </row>
    <row r="4475" customFormat="false" ht="15" hidden="false" customHeight="false" outlineLevel="0" collapsed="false">
      <c r="A4475" s="9" t="s">
        <v>1801</v>
      </c>
      <c r="B4475" s="9" t="s">
        <v>822</v>
      </c>
      <c r="C4475" s="9" t="n">
        <v>1</v>
      </c>
      <c r="D4475" s="10" t="n">
        <v>0.29</v>
      </c>
      <c r="E4475" s="10" t="n">
        <f aca="false">C4475*D4475</f>
        <v>0.29</v>
      </c>
    </row>
    <row r="4476" customFormat="false" ht="15" hidden="false" customHeight="false" outlineLevel="0" collapsed="false">
      <c r="A4476" s="9" t="s">
        <v>1801</v>
      </c>
      <c r="B4476" s="9" t="s">
        <v>1805</v>
      </c>
      <c r="C4476" s="9" t="n">
        <v>2</v>
      </c>
      <c r="D4476" s="10" t="n">
        <v>2.1</v>
      </c>
      <c r="E4476" s="10" t="n">
        <f aca="false">C4476*D4476</f>
        <v>4.2</v>
      </c>
    </row>
    <row r="4477" customFormat="false" ht="15" hidden="false" customHeight="false" outlineLevel="0" collapsed="false">
      <c r="A4477" s="9" t="s">
        <v>1801</v>
      </c>
      <c r="B4477" s="9" t="s">
        <v>548</v>
      </c>
      <c r="C4477" s="9" t="n">
        <v>3</v>
      </c>
      <c r="D4477" s="10" t="n">
        <v>1.25</v>
      </c>
      <c r="E4477" s="10" t="n">
        <f aca="false">C4477*D4477</f>
        <v>3.75</v>
      </c>
    </row>
    <row r="4478" customFormat="false" ht="15" hidden="false" customHeight="false" outlineLevel="0" collapsed="false">
      <c r="A4478" s="9" t="s">
        <v>1801</v>
      </c>
      <c r="B4478" s="9" t="s">
        <v>578</v>
      </c>
      <c r="C4478" s="9" t="n">
        <v>1</v>
      </c>
      <c r="D4478" s="10" t="n">
        <v>1.65</v>
      </c>
      <c r="E4478" s="10" t="n">
        <f aca="false">C4478*D4478</f>
        <v>1.65</v>
      </c>
    </row>
    <row r="4479" customFormat="false" ht="15" hidden="false" customHeight="false" outlineLevel="0" collapsed="false">
      <c r="A4479" s="9" t="s">
        <v>1801</v>
      </c>
      <c r="B4479" s="9" t="s">
        <v>1806</v>
      </c>
      <c r="C4479" s="9" t="n">
        <v>1</v>
      </c>
      <c r="D4479" s="10" t="n">
        <v>2.1</v>
      </c>
      <c r="E4479" s="10" t="n">
        <f aca="false">C4479*D4479</f>
        <v>2.1</v>
      </c>
    </row>
    <row r="4480" customFormat="false" ht="15" hidden="false" customHeight="false" outlineLevel="0" collapsed="false">
      <c r="A4480" s="9" t="s">
        <v>1801</v>
      </c>
      <c r="B4480" s="9" t="s">
        <v>817</v>
      </c>
      <c r="C4480" s="9" t="n">
        <v>1</v>
      </c>
      <c r="D4480" s="10" t="n">
        <v>1.65</v>
      </c>
      <c r="E4480" s="10" t="n">
        <f aca="false">C4480*D4480</f>
        <v>1.65</v>
      </c>
    </row>
    <row r="4481" customFormat="false" ht="15" hidden="false" customHeight="false" outlineLevel="0" collapsed="false">
      <c r="A4481" s="9" t="s">
        <v>1801</v>
      </c>
      <c r="B4481" s="9" t="s">
        <v>59</v>
      </c>
      <c r="C4481" s="9" t="n">
        <v>1</v>
      </c>
      <c r="D4481" s="10" t="n">
        <v>1.69</v>
      </c>
      <c r="E4481" s="10" t="n">
        <f aca="false">C4481*D4481</f>
        <v>1.69</v>
      </c>
    </row>
    <row r="4482" customFormat="false" ht="15" hidden="false" customHeight="false" outlineLevel="0" collapsed="false">
      <c r="A4482" s="9" t="s">
        <v>1801</v>
      </c>
      <c r="B4482" s="9" t="s">
        <v>74</v>
      </c>
      <c r="C4482" s="9" t="n">
        <v>1</v>
      </c>
      <c r="D4482" s="10" t="n">
        <v>0.85</v>
      </c>
      <c r="E4482" s="10" t="n">
        <f aca="false">C4482*D4482</f>
        <v>0.85</v>
      </c>
    </row>
    <row r="4483" customFormat="false" ht="15" hidden="false" customHeight="false" outlineLevel="0" collapsed="false">
      <c r="A4483" s="9" t="s">
        <v>1801</v>
      </c>
      <c r="B4483" s="9" t="s">
        <v>617</v>
      </c>
      <c r="C4483" s="9" t="n">
        <v>1</v>
      </c>
      <c r="D4483" s="10" t="n">
        <v>1.25</v>
      </c>
      <c r="E4483" s="10" t="n">
        <f aca="false">C4483*D4483</f>
        <v>1.25</v>
      </c>
    </row>
    <row r="4484" customFormat="false" ht="15" hidden="false" customHeight="false" outlineLevel="0" collapsed="false">
      <c r="A4484" s="9" t="s">
        <v>1801</v>
      </c>
      <c r="B4484" s="9" t="s">
        <v>616</v>
      </c>
      <c r="C4484" s="9" t="n">
        <v>2</v>
      </c>
      <c r="D4484" s="10" t="n">
        <v>1.25</v>
      </c>
      <c r="E4484" s="10" t="n">
        <f aca="false">C4484*D4484</f>
        <v>2.5</v>
      </c>
    </row>
    <row r="4485" customFormat="false" ht="15" hidden="false" customHeight="false" outlineLevel="0" collapsed="false">
      <c r="A4485" s="9" t="s">
        <v>1801</v>
      </c>
      <c r="B4485" s="9" t="s">
        <v>486</v>
      </c>
      <c r="C4485" s="9" t="n">
        <v>1</v>
      </c>
      <c r="D4485" s="10" t="n">
        <v>2.1</v>
      </c>
      <c r="E4485" s="10" t="n">
        <f aca="false">C4485*D4485</f>
        <v>2.1</v>
      </c>
    </row>
    <row r="4486" customFormat="false" ht="15" hidden="false" customHeight="false" outlineLevel="0" collapsed="false">
      <c r="A4486" s="9" t="s">
        <v>1801</v>
      </c>
      <c r="B4486" s="9" t="s">
        <v>753</v>
      </c>
      <c r="C4486" s="9" t="n">
        <v>3</v>
      </c>
      <c r="D4486" s="10" t="n">
        <v>9.95</v>
      </c>
      <c r="E4486" s="10" t="n">
        <f aca="false">C4486*D4486</f>
        <v>29.85</v>
      </c>
    </row>
    <row r="4487" customFormat="false" ht="15" hidden="false" customHeight="false" outlineLevel="0" collapsed="false">
      <c r="A4487" s="9" t="s">
        <v>1801</v>
      </c>
      <c r="B4487" s="9" t="s">
        <v>1608</v>
      </c>
      <c r="C4487" s="9" t="n">
        <v>2</v>
      </c>
      <c r="D4487" s="10" t="n">
        <v>3.75</v>
      </c>
      <c r="E4487" s="10" t="n">
        <f aca="false">C4487*D4487</f>
        <v>7.5</v>
      </c>
    </row>
    <row r="4488" customFormat="false" ht="15" hidden="false" customHeight="false" outlineLevel="0" collapsed="false">
      <c r="A4488" s="9" t="s">
        <v>1801</v>
      </c>
      <c r="B4488" s="9" t="s">
        <v>663</v>
      </c>
      <c r="C4488" s="9" t="n">
        <v>1</v>
      </c>
      <c r="D4488" s="10" t="n">
        <v>1.45</v>
      </c>
      <c r="E4488" s="10" t="n">
        <f aca="false">C4488*D4488</f>
        <v>1.45</v>
      </c>
    </row>
    <row r="4489" customFormat="false" ht="15" hidden="false" customHeight="false" outlineLevel="0" collapsed="false">
      <c r="A4489" s="9" t="s">
        <v>1801</v>
      </c>
      <c r="B4489" s="9" t="s">
        <v>630</v>
      </c>
      <c r="C4489" s="9" t="n">
        <v>2</v>
      </c>
      <c r="D4489" s="10" t="n">
        <v>2.25</v>
      </c>
      <c r="E4489" s="10" t="n">
        <f aca="false">C4489*D4489</f>
        <v>4.5</v>
      </c>
    </row>
    <row r="4490" customFormat="false" ht="15" hidden="false" customHeight="false" outlineLevel="0" collapsed="false">
      <c r="A4490" s="9" t="s">
        <v>1801</v>
      </c>
      <c r="B4490" s="9" t="s">
        <v>754</v>
      </c>
      <c r="C4490" s="9" t="n">
        <v>2</v>
      </c>
      <c r="D4490" s="10" t="n">
        <v>9.95</v>
      </c>
      <c r="E4490" s="10" t="n">
        <f aca="false">C4490*D4490</f>
        <v>19.9</v>
      </c>
    </row>
    <row r="4491" customFormat="false" ht="15" hidden="false" customHeight="false" outlineLevel="0" collapsed="false">
      <c r="A4491" s="9" t="s">
        <v>1801</v>
      </c>
      <c r="B4491" s="9" t="s">
        <v>57</v>
      </c>
      <c r="C4491" s="9" t="n">
        <v>1</v>
      </c>
      <c r="D4491" s="10" t="n">
        <v>2.1</v>
      </c>
      <c r="E4491" s="10" t="n">
        <f aca="false">C4491*D4491</f>
        <v>2.1</v>
      </c>
    </row>
    <row r="4492" customFormat="false" ht="15" hidden="false" customHeight="false" outlineLevel="0" collapsed="false">
      <c r="A4492" s="9" t="s">
        <v>1801</v>
      </c>
      <c r="B4492" s="9" t="s">
        <v>1502</v>
      </c>
      <c r="C4492" s="9" t="n">
        <v>1</v>
      </c>
      <c r="D4492" s="10" t="n">
        <v>4.95</v>
      </c>
      <c r="E4492" s="10" t="n">
        <f aca="false">C4492*D4492</f>
        <v>4.95</v>
      </c>
    </row>
    <row r="4493" customFormat="false" ht="15" hidden="false" customHeight="false" outlineLevel="0" collapsed="false">
      <c r="A4493" s="9" t="s">
        <v>1801</v>
      </c>
      <c r="B4493" s="9" t="s">
        <v>343</v>
      </c>
      <c r="C4493" s="9" t="n">
        <v>1</v>
      </c>
      <c r="D4493" s="10" t="n">
        <v>1.65</v>
      </c>
      <c r="E4493" s="10" t="n">
        <f aca="false">C4493*D4493</f>
        <v>1.65</v>
      </c>
    </row>
    <row r="4494" customFormat="false" ht="15" hidden="false" customHeight="false" outlineLevel="0" collapsed="false">
      <c r="A4494" s="9" t="s">
        <v>1801</v>
      </c>
      <c r="B4494" s="9" t="s">
        <v>244</v>
      </c>
      <c r="C4494" s="9" t="n">
        <v>1</v>
      </c>
      <c r="D4494" s="10" t="n">
        <v>3.75</v>
      </c>
      <c r="E4494" s="10" t="n">
        <f aca="false">C4494*D4494</f>
        <v>3.75</v>
      </c>
    </row>
    <row r="4495" customFormat="false" ht="15" hidden="false" customHeight="false" outlineLevel="0" collapsed="false">
      <c r="A4495" s="9" t="s">
        <v>1801</v>
      </c>
      <c r="B4495" s="9" t="s">
        <v>521</v>
      </c>
      <c r="C4495" s="9" t="n">
        <v>1</v>
      </c>
      <c r="D4495" s="10" t="n">
        <v>1.25</v>
      </c>
      <c r="E4495" s="10" t="n">
        <f aca="false">C4495*D4495</f>
        <v>1.25</v>
      </c>
    </row>
    <row r="4496" customFormat="false" ht="15" hidden="false" customHeight="false" outlineLevel="0" collapsed="false">
      <c r="A4496" s="9" t="s">
        <v>1801</v>
      </c>
      <c r="B4496" s="9" t="s">
        <v>475</v>
      </c>
      <c r="C4496" s="9" t="n">
        <v>1</v>
      </c>
      <c r="D4496" s="10" t="n">
        <v>1.65</v>
      </c>
      <c r="E4496" s="10" t="n">
        <f aca="false">C4496*D4496</f>
        <v>1.65</v>
      </c>
    </row>
    <row r="4497" customFormat="false" ht="15" hidden="false" customHeight="false" outlineLevel="0" collapsed="false">
      <c r="A4497" s="9" t="s">
        <v>1801</v>
      </c>
      <c r="B4497" s="9" t="s">
        <v>810</v>
      </c>
      <c r="C4497" s="9" t="n">
        <v>1</v>
      </c>
      <c r="D4497" s="10" t="n">
        <v>1.65</v>
      </c>
      <c r="E4497" s="10" t="n">
        <f aca="false">C4497*D4497</f>
        <v>1.65</v>
      </c>
    </row>
    <row r="4498" customFormat="false" ht="15" hidden="false" customHeight="false" outlineLevel="0" collapsed="false">
      <c r="A4498" s="9" t="s">
        <v>1801</v>
      </c>
      <c r="B4498" s="9" t="s">
        <v>1807</v>
      </c>
      <c r="C4498" s="9" t="n">
        <v>3</v>
      </c>
      <c r="D4498" s="10" t="n">
        <v>8.5</v>
      </c>
      <c r="E4498" s="10" t="n">
        <f aca="false">C4498*D4498</f>
        <v>25.5</v>
      </c>
    </row>
    <row r="4499" customFormat="false" ht="15" hidden="false" customHeight="false" outlineLevel="0" collapsed="false">
      <c r="A4499" s="9" t="s">
        <v>1801</v>
      </c>
      <c r="B4499" s="9" t="s">
        <v>284</v>
      </c>
      <c r="C4499" s="9" t="n">
        <v>1</v>
      </c>
      <c r="D4499" s="10" t="n">
        <v>2.55</v>
      </c>
      <c r="E4499" s="10" t="n">
        <f aca="false">C4499*D4499</f>
        <v>2.55</v>
      </c>
    </row>
    <row r="4500" customFormat="false" ht="15" hidden="false" customHeight="false" outlineLevel="0" collapsed="false">
      <c r="A4500" s="9" t="s">
        <v>1801</v>
      </c>
      <c r="B4500" s="9" t="s">
        <v>1808</v>
      </c>
      <c r="C4500" s="9" t="n">
        <v>1</v>
      </c>
      <c r="D4500" s="10" t="n">
        <v>2.25</v>
      </c>
      <c r="E4500" s="10" t="n">
        <f aca="false">C4500*D4500</f>
        <v>2.25</v>
      </c>
    </row>
    <row r="4501" customFormat="false" ht="15" hidden="false" customHeight="false" outlineLevel="0" collapsed="false">
      <c r="A4501" s="9" t="s">
        <v>1801</v>
      </c>
      <c r="B4501" s="9" t="s">
        <v>262</v>
      </c>
      <c r="C4501" s="9" t="n">
        <v>1</v>
      </c>
      <c r="D4501" s="10" t="n">
        <v>3.45</v>
      </c>
      <c r="E4501" s="10" t="n">
        <f aca="false">C4501*D4501</f>
        <v>3.45</v>
      </c>
    </row>
    <row r="4502" customFormat="false" ht="15" hidden="false" customHeight="false" outlineLevel="0" collapsed="false">
      <c r="A4502" s="9" t="s">
        <v>1801</v>
      </c>
      <c r="B4502" s="9" t="s">
        <v>1422</v>
      </c>
      <c r="C4502" s="9" t="n">
        <v>1</v>
      </c>
      <c r="D4502" s="10" t="n">
        <v>2.1</v>
      </c>
      <c r="E4502" s="10" t="n">
        <f aca="false">C4502*D4502</f>
        <v>2.1</v>
      </c>
    </row>
    <row r="4503" customFormat="false" ht="15" hidden="false" customHeight="false" outlineLevel="0" collapsed="false">
      <c r="A4503" s="9" t="s">
        <v>1801</v>
      </c>
      <c r="B4503" s="9" t="s">
        <v>1118</v>
      </c>
      <c r="C4503" s="9" t="n">
        <v>1</v>
      </c>
      <c r="D4503" s="10" t="n">
        <v>1.65</v>
      </c>
      <c r="E4503" s="10" t="n">
        <f aca="false">C4503*D4503</f>
        <v>1.65</v>
      </c>
    </row>
    <row r="4504" customFormat="false" ht="15" hidden="false" customHeight="false" outlineLevel="0" collapsed="false">
      <c r="A4504" s="9" t="s">
        <v>1801</v>
      </c>
      <c r="B4504" s="9" t="s">
        <v>498</v>
      </c>
      <c r="C4504" s="9" t="n">
        <v>3</v>
      </c>
      <c r="D4504" s="10" t="n">
        <v>0.29</v>
      </c>
      <c r="E4504" s="10" t="n">
        <f aca="false">C4504*D4504</f>
        <v>0.87</v>
      </c>
    </row>
    <row r="4505" customFormat="false" ht="15" hidden="false" customHeight="false" outlineLevel="0" collapsed="false">
      <c r="A4505" s="9" t="s">
        <v>1801</v>
      </c>
      <c r="B4505" s="9" t="s">
        <v>740</v>
      </c>
      <c r="C4505" s="9" t="n">
        <v>1</v>
      </c>
      <c r="D4505" s="10" t="n">
        <v>1.65</v>
      </c>
      <c r="E4505" s="10" t="n">
        <f aca="false">C4505*D4505</f>
        <v>1.65</v>
      </c>
    </row>
    <row r="4506" customFormat="false" ht="15" hidden="false" customHeight="false" outlineLevel="0" collapsed="false">
      <c r="A4506" s="9" t="s">
        <v>1801</v>
      </c>
      <c r="B4506" s="9" t="s">
        <v>1809</v>
      </c>
      <c r="C4506" s="9" t="n">
        <v>1</v>
      </c>
      <c r="D4506" s="10" t="n">
        <v>7.25</v>
      </c>
      <c r="E4506" s="10" t="n">
        <f aca="false">C4506*D4506</f>
        <v>7.25</v>
      </c>
    </row>
    <row r="4507" customFormat="false" ht="15" hidden="false" customHeight="false" outlineLevel="0" collapsed="false">
      <c r="A4507" s="9" t="s">
        <v>1801</v>
      </c>
      <c r="B4507" s="9" t="s">
        <v>447</v>
      </c>
      <c r="C4507" s="9" t="n">
        <v>1</v>
      </c>
      <c r="D4507" s="10" t="n">
        <v>1.25</v>
      </c>
      <c r="E4507" s="10" t="n">
        <f aca="false">C4507*D4507</f>
        <v>1.25</v>
      </c>
    </row>
    <row r="4508" customFormat="false" ht="15" hidden="false" customHeight="false" outlineLevel="0" collapsed="false">
      <c r="A4508" s="9" t="s">
        <v>1801</v>
      </c>
      <c r="B4508" s="9" t="s">
        <v>316</v>
      </c>
      <c r="C4508" s="9" t="n">
        <v>1</v>
      </c>
      <c r="D4508" s="10" t="n">
        <v>1.65</v>
      </c>
      <c r="E4508" s="10" t="n">
        <f aca="false">C4508*D4508</f>
        <v>1.65</v>
      </c>
    </row>
    <row r="4509" customFormat="false" ht="15" hidden="false" customHeight="false" outlineLevel="0" collapsed="false">
      <c r="A4509" s="9" t="s">
        <v>1801</v>
      </c>
      <c r="B4509" s="9" t="s">
        <v>584</v>
      </c>
      <c r="C4509" s="9" t="n">
        <v>1</v>
      </c>
      <c r="D4509" s="10" t="n">
        <v>1.65</v>
      </c>
      <c r="E4509" s="10" t="n">
        <f aca="false">C4509*D4509</f>
        <v>1.65</v>
      </c>
    </row>
    <row r="4510" customFormat="false" ht="15" hidden="false" customHeight="false" outlineLevel="0" collapsed="false">
      <c r="A4510" s="9" t="s">
        <v>1801</v>
      </c>
      <c r="B4510" s="9" t="s">
        <v>631</v>
      </c>
      <c r="C4510" s="9" t="n">
        <v>2</v>
      </c>
      <c r="D4510" s="10" t="n">
        <v>2.95</v>
      </c>
      <c r="E4510" s="10" t="n">
        <f aca="false">C4510*D4510</f>
        <v>5.9</v>
      </c>
    </row>
    <row r="4511" customFormat="false" ht="15" hidden="false" customHeight="false" outlineLevel="0" collapsed="false">
      <c r="A4511" s="9" t="s">
        <v>1801</v>
      </c>
      <c r="B4511" s="9" t="s">
        <v>232</v>
      </c>
      <c r="C4511" s="9" t="n">
        <v>10</v>
      </c>
      <c r="D4511" s="10" t="n">
        <v>0.12</v>
      </c>
      <c r="E4511" s="10" t="n">
        <f aca="false">C4511*D4511</f>
        <v>1.2</v>
      </c>
    </row>
    <row r="4512" customFormat="false" ht="15" hidden="false" customHeight="false" outlineLevel="0" collapsed="false">
      <c r="A4512" s="9" t="s">
        <v>1801</v>
      </c>
      <c r="B4512" s="9" t="s">
        <v>1782</v>
      </c>
      <c r="C4512" s="9" t="n">
        <v>1</v>
      </c>
      <c r="D4512" s="10" t="n">
        <v>3.75</v>
      </c>
      <c r="E4512" s="10" t="n">
        <f aca="false">C4512*D4512</f>
        <v>3.75</v>
      </c>
    </row>
    <row r="4513" customFormat="false" ht="15" hidden="false" customHeight="false" outlineLevel="0" collapsed="false">
      <c r="A4513" s="9" t="s">
        <v>1801</v>
      </c>
      <c r="B4513" s="9" t="s">
        <v>1784</v>
      </c>
      <c r="C4513" s="9" t="n">
        <v>1</v>
      </c>
      <c r="D4513" s="10" t="n">
        <v>3.75</v>
      </c>
      <c r="E4513" s="10" t="n">
        <f aca="false">C4513*D4513</f>
        <v>3.75</v>
      </c>
    </row>
    <row r="4514" customFormat="false" ht="15" hidden="false" customHeight="false" outlineLevel="0" collapsed="false">
      <c r="A4514" s="9" t="s">
        <v>1801</v>
      </c>
      <c r="B4514" s="9" t="s">
        <v>68</v>
      </c>
      <c r="C4514" s="9" t="n">
        <v>1</v>
      </c>
      <c r="D4514" s="10" t="n">
        <v>1.95</v>
      </c>
      <c r="E4514" s="10" t="n">
        <f aca="false">C4514*D4514</f>
        <v>1.95</v>
      </c>
    </row>
    <row r="4515" customFormat="false" ht="15" hidden="false" customHeight="false" outlineLevel="0" collapsed="false">
      <c r="A4515" s="9" t="s">
        <v>1801</v>
      </c>
      <c r="B4515" s="9" t="s">
        <v>456</v>
      </c>
      <c r="C4515" s="9" t="n">
        <v>1</v>
      </c>
      <c r="D4515" s="10" t="n">
        <v>2.1</v>
      </c>
      <c r="E4515" s="10" t="n">
        <f aca="false">C4515*D4515</f>
        <v>2.1</v>
      </c>
    </row>
    <row r="4516" customFormat="false" ht="15" hidden="false" customHeight="false" outlineLevel="0" collapsed="false">
      <c r="A4516" s="9" t="s">
        <v>1801</v>
      </c>
      <c r="B4516" s="9" t="s">
        <v>1810</v>
      </c>
      <c r="C4516" s="9" t="n">
        <v>2</v>
      </c>
      <c r="D4516" s="10" t="n">
        <v>0.42</v>
      </c>
      <c r="E4516" s="10" t="n">
        <f aca="false">C4516*D4516</f>
        <v>0.84</v>
      </c>
    </row>
    <row r="4517" customFormat="false" ht="15" hidden="false" customHeight="false" outlineLevel="0" collapsed="false">
      <c r="A4517" s="9" t="s">
        <v>1801</v>
      </c>
      <c r="B4517" s="9" t="s">
        <v>487</v>
      </c>
      <c r="C4517" s="9" t="n">
        <v>1</v>
      </c>
      <c r="D4517" s="10" t="n">
        <v>0.55</v>
      </c>
      <c r="E4517" s="10" t="n">
        <f aca="false">C4517*D4517</f>
        <v>0.55</v>
      </c>
    </row>
    <row r="4518" customFormat="false" ht="15" hidden="false" customHeight="false" outlineLevel="0" collapsed="false">
      <c r="A4518" s="9" t="s">
        <v>1801</v>
      </c>
      <c r="B4518" s="9" t="s">
        <v>464</v>
      </c>
      <c r="C4518" s="9" t="n">
        <v>1</v>
      </c>
      <c r="D4518" s="10" t="n">
        <v>2.95</v>
      </c>
      <c r="E4518" s="10" t="n">
        <f aca="false">C4518*D4518</f>
        <v>2.95</v>
      </c>
    </row>
    <row r="4519" customFormat="false" ht="15" hidden="false" customHeight="false" outlineLevel="0" collapsed="false">
      <c r="A4519" s="9" t="s">
        <v>1801</v>
      </c>
      <c r="B4519" s="9" t="s">
        <v>1811</v>
      </c>
      <c r="C4519" s="9" t="n">
        <v>1</v>
      </c>
      <c r="D4519" s="10" t="n">
        <v>2.1</v>
      </c>
      <c r="E4519" s="10" t="n">
        <f aca="false">C4519*D4519</f>
        <v>2.1</v>
      </c>
    </row>
    <row r="4520" customFormat="false" ht="15" hidden="false" customHeight="false" outlineLevel="0" collapsed="false">
      <c r="A4520" s="9" t="s">
        <v>1801</v>
      </c>
      <c r="B4520" s="9" t="s">
        <v>1812</v>
      </c>
      <c r="C4520" s="9" t="n">
        <v>1</v>
      </c>
      <c r="D4520" s="10" t="n">
        <v>2.1</v>
      </c>
      <c r="E4520" s="10" t="n">
        <f aca="false">C4520*D4520</f>
        <v>2.1</v>
      </c>
    </row>
    <row r="4521" customFormat="false" ht="15" hidden="false" customHeight="false" outlineLevel="0" collapsed="false">
      <c r="A4521" s="9" t="s">
        <v>1801</v>
      </c>
      <c r="B4521" s="9" t="s">
        <v>820</v>
      </c>
      <c r="C4521" s="9" t="n">
        <v>1</v>
      </c>
      <c r="D4521" s="10" t="n">
        <v>0.29</v>
      </c>
      <c r="E4521" s="10" t="n">
        <f aca="false">C4521*D4521</f>
        <v>0.29</v>
      </c>
    </row>
    <row r="4522" customFormat="false" ht="15" hidden="false" customHeight="false" outlineLevel="0" collapsed="false">
      <c r="A4522" s="9" t="s">
        <v>1801</v>
      </c>
      <c r="B4522" s="9" t="s">
        <v>498</v>
      </c>
      <c r="C4522" s="9" t="n">
        <v>1</v>
      </c>
      <c r="D4522" s="10" t="n">
        <v>0.29</v>
      </c>
      <c r="E4522" s="10" t="n">
        <f aca="false">C4522*D4522</f>
        <v>0.29</v>
      </c>
    </row>
    <row r="4523" customFormat="false" ht="15" hidden="false" customHeight="false" outlineLevel="0" collapsed="false">
      <c r="A4523" s="9" t="s">
        <v>1801</v>
      </c>
      <c r="B4523" s="9" t="s">
        <v>821</v>
      </c>
      <c r="C4523" s="9" t="n">
        <v>1</v>
      </c>
      <c r="D4523" s="10" t="n">
        <v>0.29</v>
      </c>
      <c r="E4523" s="10" t="n">
        <f aca="false">C4523*D4523</f>
        <v>0.29</v>
      </c>
    </row>
    <row r="4524" customFormat="false" ht="15" hidden="false" customHeight="false" outlineLevel="0" collapsed="false">
      <c r="A4524" s="9" t="s">
        <v>1801</v>
      </c>
      <c r="B4524" s="9" t="s">
        <v>1813</v>
      </c>
      <c r="C4524" s="9" t="n">
        <v>2</v>
      </c>
      <c r="D4524" s="10" t="n">
        <v>0.85</v>
      </c>
      <c r="E4524" s="10" t="n">
        <f aca="false">C4524*D4524</f>
        <v>1.7</v>
      </c>
    </row>
    <row r="4525" customFormat="false" ht="15" hidden="false" customHeight="false" outlineLevel="0" collapsed="false">
      <c r="A4525" s="9" t="s">
        <v>1801</v>
      </c>
      <c r="B4525" s="9" t="s">
        <v>689</v>
      </c>
      <c r="C4525" s="9" t="n">
        <v>1</v>
      </c>
      <c r="D4525" s="10" t="n">
        <v>1.65</v>
      </c>
      <c r="E4525" s="10" t="n">
        <f aca="false">C4525*D4525</f>
        <v>1.65</v>
      </c>
    </row>
    <row r="4526" customFormat="false" ht="15" hidden="false" customHeight="false" outlineLevel="0" collapsed="false">
      <c r="A4526" s="9" t="s">
        <v>1801</v>
      </c>
      <c r="B4526" s="9" t="s">
        <v>1547</v>
      </c>
      <c r="C4526" s="9" t="n">
        <v>1</v>
      </c>
      <c r="D4526" s="10" t="n">
        <v>0.85</v>
      </c>
      <c r="E4526" s="10" t="n">
        <f aca="false">C4526*D4526</f>
        <v>0.85</v>
      </c>
    </row>
    <row r="4527" customFormat="false" ht="15" hidden="false" customHeight="false" outlineLevel="0" collapsed="false">
      <c r="A4527" s="9" t="s">
        <v>1801</v>
      </c>
      <c r="B4527" s="9" t="s">
        <v>1353</v>
      </c>
      <c r="C4527" s="9" t="n">
        <v>1</v>
      </c>
      <c r="D4527" s="10" t="n">
        <v>2.95</v>
      </c>
      <c r="E4527" s="10" t="n">
        <f aca="false">C4527*D4527</f>
        <v>2.95</v>
      </c>
    </row>
    <row r="4528" customFormat="false" ht="15" hidden="false" customHeight="false" outlineLevel="0" collapsed="false">
      <c r="A4528" s="9" t="s">
        <v>1801</v>
      </c>
      <c r="B4528" s="9" t="s">
        <v>58</v>
      </c>
      <c r="C4528" s="9" t="n">
        <v>1</v>
      </c>
      <c r="D4528" s="10" t="n">
        <v>2.1</v>
      </c>
      <c r="E4528" s="10" t="n">
        <f aca="false">C4528*D4528</f>
        <v>2.1</v>
      </c>
    </row>
    <row r="4529" customFormat="false" ht="15" hidden="false" customHeight="false" outlineLevel="0" collapsed="false">
      <c r="A4529" s="9" t="s">
        <v>1801</v>
      </c>
      <c r="B4529" s="9" t="s">
        <v>228</v>
      </c>
      <c r="C4529" s="9" t="n">
        <v>1</v>
      </c>
      <c r="D4529" s="10" t="n">
        <v>1.65</v>
      </c>
      <c r="E4529" s="10" t="n">
        <f aca="false">C4529*D4529</f>
        <v>1.65</v>
      </c>
    </row>
    <row r="4530" customFormat="false" ht="15" hidden="false" customHeight="false" outlineLevel="0" collapsed="false">
      <c r="A4530" s="9" t="s">
        <v>1801</v>
      </c>
      <c r="B4530" s="9" t="s">
        <v>625</v>
      </c>
      <c r="C4530" s="9" t="n">
        <v>1</v>
      </c>
      <c r="D4530" s="10" t="n">
        <v>4.25</v>
      </c>
      <c r="E4530" s="10" t="n">
        <f aca="false">C4530*D4530</f>
        <v>4.25</v>
      </c>
    </row>
    <row r="4531" customFormat="false" ht="15" hidden="false" customHeight="false" outlineLevel="0" collapsed="false">
      <c r="A4531" s="9" t="s">
        <v>1801</v>
      </c>
      <c r="B4531" s="9" t="s">
        <v>1814</v>
      </c>
      <c r="C4531" s="9" t="n">
        <v>1</v>
      </c>
      <c r="D4531" s="10" t="n">
        <v>1.25</v>
      </c>
      <c r="E4531" s="10" t="n">
        <f aca="false">C4531*D4531</f>
        <v>1.25</v>
      </c>
    </row>
    <row r="4532" customFormat="false" ht="15" hidden="false" customHeight="false" outlineLevel="0" collapsed="false">
      <c r="A4532" s="9" t="s">
        <v>1801</v>
      </c>
      <c r="B4532" s="9" t="s">
        <v>1815</v>
      </c>
      <c r="C4532" s="9" t="n">
        <v>1</v>
      </c>
      <c r="D4532" s="10" t="n">
        <v>1.25</v>
      </c>
      <c r="E4532" s="10" t="n">
        <f aca="false">C4532*D4532</f>
        <v>1.25</v>
      </c>
    </row>
    <row r="4533" customFormat="false" ht="15" hidden="false" customHeight="false" outlineLevel="0" collapsed="false">
      <c r="A4533" s="9" t="s">
        <v>1801</v>
      </c>
      <c r="B4533" s="9" t="s">
        <v>959</v>
      </c>
      <c r="C4533" s="9" t="n">
        <v>1</v>
      </c>
      <c r="D4533" s="10" t="n">
        <v>1.25</v>
      </c>
      <c r="E4533" s="10" t="n">
        <f aca="false">C4533*D4533</f>
        <v>1.25</v>
      </c>
    </row>
    <row r="4534" customFormat="false" ht="15" hidden="false" customHeight="false" outlineLevel="0" collapsed="false">
      <c r="A4534" s="9" t="s">
        <v>1801</v>
      </c>
      <c r="B4534" s="9" t="s">
        <v>1816</v>
      </c>
      <c r="C4534" s="9" t="n">
        <v>1</v>
      </c>
      <c r="D4534" s="10" t="n">
        <v>1.25</v>
      </c>
      <c r="E4534" s="10" t="n">
        <f aca="false">C4534*D4534</f>
        <v>1.25</v>
      </c>
    </row>
    <row r="4535" customFormat="false" ht="15" hidden="false" customHeight="false" outlineLevel="0" collapsed="false">
      <c r="A4535" s="9" t="s">
        <v>1801</v>
      </c>
      <c r="B4535" s="9" t="s">
        <v>1817</v>
      </c>
      <c r="C4535" s="9" t="n">
        <v>1</v>
      </c>
      <c r="D4535" s="10" t="n">
        <v>1.25</v>
      </c>
      <c r="E4535" s="10" t="n">
        <f aca="false">C4535*D4535</f>
        <v>1.25</v>
      </c>
    </row>
    <row r="4536" customFormat="false" ht="15" hidden="false" customHeight="false" outlineLevel="0" collapsed="false">
      <c r="A4536" s="9" t="s">
        <v>1801</v>
      </c>
      <c r="B4536" s="9" t="s">
        <v>421</v>
      </c>
      <c r="C4536" s="9" t="n">
        <v>1</v>
      </c>
      <c r="D4536" s="10" t="n">
        <v>1.65</v>
      </c>
      <c r="E4536" s="10" t="n">
        <f aca="false">C4536*D4536</f>
        <v>1.65</v>
      </c>
    </row>
    <row r="4537" customFormat="false" ht="15" hidden="false" customHeight="false" outlineLevel="0" collapsed="false">
      <c r="A4537" s="9" t="s">
        <v>1801</v>
      </c>
      <c r="B4537" s="9" t="s">
        <v>755</v>
      </c>
      <c r="C4537" s="9" t="n">
        <v>1</v>
      </c>
      <c r="D4537" s="10" t="n">
        <v>9.95</v>
      </c>
      <c r="E4537" s="10" t="n">
        <f aca="false">C4537*D4537</f>
        <v>9.95</v>
      </c>
    </row>
    <row r="4538" customFormat="false" ht="15" hidden="false" customHeight="false" outlineLevel="0" collapsed="false">
      <c r="A4538" s="9" t="s">
        <v>1801</v>
      </c>
      <c r="B4538" s="9" t="s">
        <v>776</v>
      </c>
      <c r="C4538" s="9" t="n">
        <v>1</v>
      </c>
      <c r="D4538" s="10" t="n">
        <v>6.95</v>
      </c>
      <c r="E4538" s="10" t="n">
        <f aca="false">C4538*D4538</f>
        <v>6.95</v>
      </c>
    </row>
    <row r="4539" customFormat="false" ht="15" hidden="false" customHeight="false" outlineLevel="0" collapsed="false">
      <c r="A4539" s="9" t="s">
        <v>1801</v>
      </c>
      <c r="B4539" s="9" t="s">
        <v>284</v>
      </c>
      <c r="C4539" s="9" t="n">
        <v>5</v>
      </c>
      <c r="D4539" s="10" t="n">
        <v>2.55</v>
      </c>
      <c r="E4539" s="10" t="n">
        <f aca="false">C4539*D4539</f>
        <v>12.75</v>
      </c>
    </row>
    <row r="4540" customFormat="false" ht="15" hidden="false" customHeight="false" outlineLevel="0" collapsed="false">
      <c r="A4540" s="9" t="s">
        <v>1801</v>
      </c>
      <c r="B4540" s="9" t="s">
        <v>1020</v>
      </c>
      <c r="C4540" s="9" t="n">
        <v>1</v>
      </c>
      <c r="D4540" s="10" t="n">
        <v>0.85</v>
      </c>
      <c r="E4540" s="10" t="n">
        <f aca="false">C4540*D4540</f>
        <v>0.85</v>
      </c>
    </row>
    <row r="4541" customFormat="false" ht="15" hidden="false" customHeight="false" outlineLevel="0" collapsed="false">
      <c r="A4541" s="9" t="s">
        <v>1801</v>
      </c>
      <c r="B4541" s="9" t="s">
        <v>1019</v>
      </c>
      <c r="C4541" s="9" t="n">
        <v>1</v>
      </c>
      <c r="D4541" s="10" t="n">
        <v>0.85</v>
      </c>
      <c r="E4541" s="10" t="n">
        <f aca="false">C4541*D4541</f>
        <v>0.85</v>
      </c>
    </row>
    <row r="4542" customFormat="false" ht="15" hidden="false" customHeight="false" outlineLevel="0" collapsed="false">
      <c r="A4542" s="9" t="s">
        <v>1801</v>
      </c>
      <c r="B4542" s="9" t="s">
        <v>746</v>
      </c>
      <c r="C4542" s="9" t="n">
        <v>1</v>
      </c>
      <c r="D4542" s="10" t="n">
        <v>1.65</v>
      </c>
      <c r="E4542" s="10" t="n">
        <f aca="false">C4542*D4542</f>
        <v>1.65</v>
      </c>
    </row>
    <row r="4543" customFormat="false" ht="15" hidden="false" customHeight="false" outlineLevel="0" collapsed="false">
      <c r="A4543" s="9" t="s">
        <v>1801</v>
      </c>
      <c r="B4543" s="9" t="s">
        <v>1318</v>
      </c>
      <c r="C4543" s="9" t="n">
        <v>1</v>
      </c>
      <c r="D4543" s="10" t="n">
        <v>1.25</v>
      </c>
      <c r="E4543" s="10" t="n">
        <f aca="false">C4543*D4543</f>
        <v>1.25</v>
      </c>
    </row>
    <row r="4544" customFormat="false" ht="15" hidden="false" customHeight="false" outlineLevel="0" collapsed="false">
      <c r="A4544" s="9" t="s">
        <v>1801</v>
      </c>
      <c r="B4544" s="9" t="s">
        <v>490</v>
      </c>
      <c r="C4544" s="9" t="n">
        <v>2</v>
      </c>
      <c r="D4544" s="10" t="n">
        <v>0.85</v>
      </c>
      <c r="E4544" s="10" t="n">
        <f aca="false">C4544*D4544</f>
        <v>1.7</v>
      </c>
    </row>
    <row r="4545" customFormat="false" ht="15" hidden="false" customHeight="false" outlineLevel="0" collapsed="false">
      <c r="A4545" s="9" t="s">
        <v>1801</v>
      </c>
      <c r="B4545" s="9" t="s">
        <v>1818</v>
      </c>
      <c r="C4545" s="9" t="n">
        <v>1</v>
      </c>
      <c r="D4545" s="10" t="n">
        <v>1.25</v>
      </c>
      <c r="E4545" s="10" t="n">
        <f aca="false">C4545*D4545</f>
        <v>1.25</v>
      </c>
    </row>
    <row r="4546" customFormat="false" ht="15" hidden="false" customHeight="false" outlineLevel="0" collapsed="false">
      <c r="A4546" s="9" t="s">
        <v>1801</v>
      </c>
      <c r="B4546" s="9" t="s">
        <v>1819</v>
      </c>
      <c r="C4546" s="9" t="n">
        <v>1</v>
      </c>
      <c r="D4546" s="10" t="n">
        <v>3.75</v>
      </c>
      <c r="E4546" s="10" t="n">
        <f aca="false">C4546*D4546</f>
        <v>3.75</v>
      </c>
    </row>
    <row r="4547" customFormat="false" ht="15" hidden="false" customHeight="false" outlineLevel="0" collapsed="false">
      <c r="A4547" s="9" t="s">
        <v>1801</v>
      </c>
      <c r="B4547" s="9" t="s">
        <v>1446</v>
      </c>
      <c r="C4547" s="9" t="n">
        <v>1</v>
      </c>
      <c r="D4547" s="10" t="n">
        <v>2.55</v>
      </c>
      <c r="E4547" s="10" t="n">
        <f aca="false">C4547*D4547</f>
        <v>2.55</v>
      </c>
    </row>
    <row r="4548" customFormat="false" ht="15" hidden="false" customHeight="false" outlineLevel="0" collapsed="false">
      <c r="A4548" s="9" t="s">
        <v>1801</v>
      </c>
      <c r="B4548" s="9" t="s">
        <v>531</v>
      </c>
      <c r="C4548" s="9" t="n">
        <v>1</v>
      </c>
      <c r="D4548" s="10" t="n">
        <v>1.25</v>
      </c>
      <c r="E4548" s="10" t="n">
        <f aca="false">C4548*D4548</f>
        <v>1.25</v>
      </c>
    </row>
    <row r="4549" customFormat="false" ht="15" hidden="false" customHeight="false" outlineLevel="0" collapsed="false">
      <c r="A4549" s="9" t="s">
        <v>1801</v>
      </c>
      <c r="B4549" s="9" t="s">
        <v>1811</v>
      </c>
      <c r="C4549" s="9" t="n">
        <v>2</v>
      </c>
      <c r="D4549" s="10" t="n">
        <v>2.1</v>
      </c>
      <c r="E4549" s="10" t="n">
        <f aca="false">C4549*D4549</f>
        <v>4.2</v>
      </c>
    </row>
    <row r="4550" customFormat="false" ht="15" hidden="false" customHeight="false" outlineLevel="0" collapsed="false">
      <c r="A4550" s="9" t="s">
        <v>1801</v>
      </c>
      <c r="B4550" s="9" t="s">
        <v>1812</v>
      </c>
      <c r="C4550" s="9" t="n">
        <v>2</v>
      </c>
      <c r="D4550" s="10" t="n">
        <v>2.1</v>
      </c>
      <c r="E4550" s="10" t="n">
        <f aca="false">C4550*D4550</f>
        <v>4.2</v>
      </c>
    </row>
    <row r="4551" customFormat="false" ht="15" hidden="false" customHeight="false" outlineLevel="0" collapsed="false">
      <c r="A4551" s="9" t="s">
        <v>1801</v>
      </c>
      <c r="B4551" s="9" t="s">
        <v>861</v>
      </c>
      <c r="C4551" s="9" t="n">
        <v>6</v>
      </c>
      <c r="D4551" s="10" t="n">
        <v>1.25</v>
      </c>
      <c r="E4551" s="10" t="n">
        <f aca="false">C4551*D4551</f>
        <v>7.5</v>
      </c>
    </row>
    <row r="4552" customFormat="false" ht="15" hidden="false" customHeight="false" outlineLevel="0" collapsed="false">
      <c r="A4552" s="9" t="s">
        <v>1801</v>
      </c>
      <c r="B4552" s="9" t="s">
        <v>118</v>
      </c>
      <c r="C4552" s="9" t="n">
        <v>1</v>
      </c>
      <c r="D4552" s="10" t="n">
        <v>2.55</v>
      </c>
      <c r="E4552" s="10" t="n">
        <f aca="false">C4552*D4552</f>
        <v>2.55</v>
      </c>
    </row>
    <row r="4553" customFormat="false" ht="15" hidden="false" customHeight="false" outlineLevel="0" collapsed="false">
      <c r="A4553" s="9" t="s">
        <v>1801</v>
      </c>
      <c r="B4553" s="9" t="s">
        <v>1820</v>
      </c>
      <c r="C4553" s="9" t="n">
        <v>1</v>
      </c>
      <c r="D4553" s="10" t="n">
        <v>2.25</v>
      </c>
      <c r="E4553" s="10" t="n">
        <f aca="false">C4553*D4553</f>
        <v>2.25</v>
      </c>
    </row>
    <row r="4554" customFormat="false" ht="15" hidden="false" customHeight="false" outlineLevel="0" collapsed="false">
      <c r="A4554" s="9" t="s">
        <v>1801</v>
      </c>
      <c r="B4554" s="9" t="s">
        <v>379</v>
      </c>
      <c r="C4554" s="9" t="n">
        <v>1</v>
      </c>
      <c r="D4554" s="10" t="n">
        <v>1.65</v>
      </c>
      <c r="E4554" s="10" t="n">
        <f aca="false">C4554*D4554</f>
        <v>1.65</v>
      </c>
    </row>
    <row r="4555" customFormat="false" ht="15" hidden="false" customHeight="false" outlineLevel="0" collapsed="false">
      <c r="A4555" s="9" t="s">
        <v>1801</v>
      </c>
      <c r="B4555" s="9" t="s">
        <v>477</v>
      </c>
      <c r="C4555" s="9" t="n">
        <v>1</v>
      </c>
      <c r="D4555" s="10" t="n">
        <v>1.65</v>
      </c>
      <c r="E4555" s="10" t="n">
        <f aca="false">C4555*D4555</f>
        <v>1.65</v>
      </c>
    </row>
    <row r="4556" customFormat="false" ht="15" hidden="false" customHeight="false" outlineLevel="0" collapsed="false">
      <c r="A4556" s="9" t="s">
        <v>1801</v>
      </c>
      <c r="B4556" s="9" t="s">
        <v>1821</v>
      </c>
      <c r="C4556" s="9" t="n">
        <v>2</v>
      </c>
      <c r="D4556" s="10" t="n">
        <v>1.25</v>
      </c>
      <c r="E4556" s="10" t="n">
        <f aca="false">C4556*D4556</f>
        <v>2.5</v>
      </c>
    </row>
    <row r="4557" customFormat="false" ht="15" hidden="false" customHeight="false" outlineLevel="0" collapsed="false">
      <c r="A4557" s="9" t="s">
        <v>1801</v>
      </c>
      <c r="B4557" s="9" t="s">
        <v>625</v>
      </c>
      <c r="C4557" s="9" t="n">
        <v>2</v>
      </c>
      <c r="D4557" s="10" t="n">
        <v>4.25</v>
      </c>
      <c r="E4557" s="10" t="n">
        <f aca="false">C4557*D4557</f>
        <v>8.5</v>
      </c>
    </row>
    <row r="4558" customFormat="false" ht="15" hidden="false" customHeight="false" outlineLevel="0" collapsed="false">
      <c r="A4558" s="9" t="s">
        <v>1801</v>
      </c>
      <c r="B4558" s="9" t="s">
        <v>998</v>
      </c>
      <c r="C4558" s="9" t="n">
        <v>1</v>
      </c>
      <c r="D4558" s="10" t="n">
        <v>1.25</v>
      </c>
      <c r="E4558" s="10" t="n">
        <f aca="false">C4558*D4558</f>
        <v>1.25</v>
      </c>
    </row>
    <row r="4559" customFormat="false" ht="15" hidden="false" customHeight="false" outlineLevel="0" collapsed="false">
      <c r="A4559" s="9" t="s">
        <v>1822</v>
      </c>
      <c r="B4559" s="9" t="s">
        <v>1347</v>
      </c>
      <c r="C4559" s="9" t="n">
        <v>4</v>
      </c>
      <c r="D4559" s="10" t="n">
        <v>3.75</v>
      </c>
      <c r="E4559" s="10" t="n">
        <f aca="false">C4559*D4559</f>
        <v>15</v>
      </c>
    </row>
    <row r="4560" customFormat="false" ht="15" hidden="false" customHeight="false" outlineLevel="0" collapsed="false">
      <c r="A4560" s="9" t="s">
        <v>1822</v>
      </c>
      <c r="B4560" s="9" t="s">
        <v>45</v>
      </c>
      <c r="C4560" s="9" t="n">
        <v>12</v>
      </c>
      <c r="D4560" s="10" t="n">
        <v>2.1</v>
      </c>
      <c r="E4560" s="10" t="n">
        <f aca="false">C4560*D4560</f>
        <v>25.2</v>
      </c>
    </row>
    <row r="4561" customFormat="false" ht="15" hidden="false" customHeight="false" outlineLevel="0" collapsed="false">
      <c r="A4561" s="9" t="s">
        <v>1822</v>
      </c>
      <c r="B4561" s="9" t="s">
        <v>255</v>
      </c>
      <c r="C4561" s="9" t="n">
        <v>12</v>
      </c>
      <c r="D4561" s="10" t="n">
        <v>2.1</v>
      </c>
      <c r="E4561" s="10" t="n">
        <f aca="false">C4561*D4561</f>
        <v>25.2</v>
      </c>
    </row>
    <row r="4562" customFormat="false" ht="15" hidden="false" customHeight="false" outlineLevel="0" collapsed="false">
      <c r="A4562" s="9" t="s">
        <v>1822</v>
      </c>
      <c r="B4562" s="9" t="s">
        <v>46</v>
      </c>
      <c r="C4562" s="9" t="n">
        <v>12</v>
      </c>
      <c r="D4562" s="10" t="n">
        <v>2.1</v>
      </c>
      <c r="E4562" s="10" t="n">
        <f aca="false">C4562*D4562</f>
        <v>25.2</v>
      </c>
    </row>
    <row r="4563" customFormat="false" ht="15" hidden="false" customHeight="false" outlineLevel="0" collapsed="false">
      <c r="A4563" s="9" t="s">
        <v>1822</v>
      </c>
      <c r="B4563" s="9" t="s">
        <v>1823</v>
      </c>
      <c r="C4563" s="9" t="n">
        <v>4</v>
      </c>
      <c r="D4563" s="10" t="n">
        <v>3.75</v>
      </c>
      <c r="E4563" s="10" t="n">
        <f aca="false">C4563*D4563</f>
        <v>15</v>
      </c>
    </row>
    <row r="4564" customFormat="false" ht="15" hidden="false" customHeight="false" outlineLevel="0" collapsed="false">
      <c r="A4564" s="9" t="s">
        <v>1822</v>
      </c>
      <c r="B4564" s="9" t="s">
        <v>254</v>
      </c>
      <c r="C4564" s="9" t="n">
        <v>12</v>
      </c>
      <c r="D4564" s="10" t="n">
        <v>2.1</v>
      </c>
      <c r="E4564" s="10" t="n">
        <f aca="false">C4564*D4564</f>
        <v>25.2</v>
      </c>
    </row>
    <row r="4565" customFormat="false" ht="15" hidden="false" customHeight="false" outlineLevel="0" collapsed="false">
      <c r="A4565" s="9" t="s">
        <v>1824</v>
      </c>
      <c r="B4565" s="9" t="s">
        <v>1468</v>
      </c>
      <c r="C4565" s="9" t="n">
        <v>12</v>
      </c>
      <c r="D4565" s="10" t="n">
        <v>2.1</v>
      </c>
      <c r="E4565" s="10" t="n">
        <f aca="false">C4565*D4565</f>
        <v>25.2</v>
      </c>
    </row>
    <row r="4566" customFormat="false" ht="15" hidden="false" customHeight="false" outlineLevel="0" collapsed="false">
      <c r="A4566" s="9" t="s">
        <v>1824</v>
      </c>
      <c r="B4566" s="9" t="s">
        <v>331</v>
      </c>
      <c r="C4566" s="9" t="n">
        <v>12</v>
      </c>
      <c r="D4566" s="10" t="n">
        <v>2.95</v>
      </c>
      <c r="E4566" s="10" t="n">
        <f aca="false">C4566*D4566</f>
        <v>35.4</v>
      </c>
    </row>
    <row r="4567" customFormat="false" ht="15" hidden="false" customHeight="false" outlineLevel="0" collapsed="false">
      <c r="A4567" s="9" t="s">
        <v>1824</v>
      </c>
      <c r="B4567" s="9" t="s">
        <v>157</v>
      </c>
      <c r="C4567" s="9" t="n">
        <v>24</v>
      </c>
      <c r="D4567" s="10" t="n">
        <v>1.69</v>
      </c>
      <c r="E4567" s="10" t="n">
        <f aca="false">C4567*D4567</f>
        <v>40.56</v>
      </c>
    </row>
    <row r="4568" customFormat="false" ht="15" hidden="false" customHeight="false" outlineLevel="0" collapsed="false">
      <c r="A4568" s="9" t="s">
        <v>1824</v>
      </c>
      <c r="B4568" s="9" t="s">
        <v>937</v>
      </c>
      <c r="C4568" s="9" t="n">
        <v>12</v>
      </c>
      <c r="D4568" s="10" t="n">
        <v>2.1</v>
      </c>
      <c r="E4568" s="10" t="n">
        <f aca="false">C4568*D4568</f>
        <v>25.2</v>
      </c>
    </row>
    <row r="4569" customFormat="false" ht="15" hidden="false" customHeight="false" outlineLevel="0" collapsed="false">
      <c r="A4569" s="9" t="s">
        <v>1824</v>
      </c>
      <c r="B4569" s="9" t="s">
        <v>151</v>
      </c>
      <c r="C4569" s="9" t="n">
        <v>12</v>
      </c>
      <c r="D4569" s="10" t="n">
        <v>2.1</v>
      </c>
      <c r="E4569" s="10" t="n">
        <f aca="false">C4569*D4569</f>
        <v>25.2</v>
      </c>
    </row>
    <row r="4570" customFormat="false" ht="15" hidden="false" customHeight="false" outlineLevel="0" collapsed="false">
      <c r="A4570" s="9" t="s">
        <v>1824</v>
      </c>
      <c r="B4570" s="9" t="s">
        <v>158</v>
      </c>
      <c r="C4570" s="9" t="n">
        <v>12</v>
      </c>
      <c r="D4570" s="10" t="n">
        <v>1.95</v>
      </c>
      <c r="E4570" s="10" t="n">
        <f aca="false">C4570*D4570</f>
        <v>23.4</v>
      </c>
    </row>
    <row r="4571" customFormat="false" ht="15" hidden="false" customHeight="false" outlineLevel="0" collapsed="false">
      <c r="A4571" s="9" t="s">
        <v>1824</v>
      </c>
      <c r="B4571" s="9" t="s">
        <v>1746</v>
      </c>
      <c r="C4571" s="9" t="n">
        <v>48</v>
      </c>
      <c r="D4571" s="10" t="n">
        <v>0.65</v>
      </c>
      <c r="E4571" s="10" t="n">
        <f aca="false">C4571*D4571</f>
        <v>31.2</v>
      </c>
    </row>
    <row r="4572" customFormat="false" ht="15" hidden="false" customHeight="false" outlineLevel="0" collapsed="false">
      <c r="A4572" s="9" t="s">
        <v>1824</v>
      </c>
      <c r="B4572" s="9" t="s">
        <v>995</v>
      </c>
      <c r="C4572" s="9" t="n">
        <v>12</v>
      </c>
      <c r="D4572" s="10" t="n">
        <v>1.95</v>
      </c>
      <c r="E4572" s="10" t="n">
        <f aca="false">C4572*D4572</f>
        <v>23.4</v>
      </c>
    </row>
    <row r="4573" customFormat="false" ht="15" hidden="false" customHeight="false" outlineLevel="0" collapsed="false">
      <c r="A4573" s="9" t="s">
        <v>1824</v>
      </c>
      <c r="B4573" s="9" t="s">
        <v>159</v>
      </c>
      <c r="C4573" s="9" t="n">
        <v>12</v>
      </c>
      <c r="D4573" s="10" t="n">
        <v>2.1</v>
      </c>
      <c r="E4573" s="10" t="n">
        <f aca="false">C4573*D4573</f>
        <v>25.2</v>
      </c>
    </row>
    <row r="4574" customFormat="false" ht="15" hidden="false" customHeight="false" outlineLevel="0" collapsed="false">
      <c r="A4574" s="9" t="s">
        <v>1824</v>
      </c>
      <c r="B4574" s="9" t="s">
        <v>1747</v>
      </c>
      <c r="C4574" s="9" t="n">
        <v>48</v>
      </c>
      <c r="D4574" s="10" t="n">
        <v>0.65</v>
      </c>
      <c r="E4574" s="10" t="n">
        <f aca="false">C4574*D4574</f>
        <v>31.2</v>
      </c>
    </row>
    <row r="4575" customFormat="false" ht="15" hidden="false" customHeight="false" outlineLevel="0" collapsed="false">
      <c r="A4575" s="9" t="s">
        <v>1824</v>
      </c>
      <c r="B4575" s="9" t="s">
        <v>874</v>
      </c>
      <c r="C4575" s="9" t="n">
        <v>4</v>
      </c>
      <c r="D4575" s="10" t="n">
        <v>7.95</v>
      </c>
      <c r="E4575" s="10" t="n">
        <f aca="false">C4575*D4575</f>
        <v>31.8</v>
      </c>
    </row>
    <row r="4576" customFormat="false" ht="15" hidden="false" customHeight="false" outlineLevel="0" collapsed="false">
      <c r="A4576" s="9" t="s">
        <v>1824</v>
      </c>
      <c r="B4576" s="9" t="s">
        <v>1203</v>
      </c>
      <c r="C4576" s="9" t="n">
        <v>12</v>
      </c>
      <c r="D4576" s="10" t="n">
        <v>2.1</v>
      </c>
      <c r="E4576" s="10" t="n">
        <f aca="false">C4576*D4576</f>
        <v>25.2</v>
      </c>
    </row>
    <row r="4577" customFormat="false" ht="15" hidden="false" customHeight="false" outlineLevel="0" collapsed="false">
      <c r="A4577" s="9" t="s">
        <v>1824</v>
      </c>
      <c r="B4577" s="9" t="s">
        <v>1467</v>
      </c>
      <c r="C4577" s="9" t="n">
        <v>48</v>
      </c>
      <c r="D4577" s="10" t="n">
        <v>0.65</v>
      </c>
      <c r="E4577" s="10" t="n">
        <f aca="false">C4577*D4577</f>
        <v>31.2</v>
      </c>
    </row>
    <row r="4578" customFormat="false" ht="15" hidden="false" customHeight="false" outlineLevel="0" collapsed="false">
      <c r="A4578" s="9" t="s">
        <v>1824</v>
      </c>
      <c r="B4578" s="9" t="s">
        <v>1087</v>
      </c>
      <c r="C4578" s="9" t="n">
        <v>12</v>
      </c>
      <c r="D4578" s="10" t="n">
        <v>1.65</v>
      </c>
      <c r="E4578" s="10" t="n">
        <f aca="false">C4578*D4578</f>
        <v>19.8</v>
      </c>
    </row>
    <row r="4579" customFormat="false" ht="15" hidden="false" customHeight="false" outlineLevel="0" collapsed="false">
      <c r="A4579" s="9" t="s">
        <v>1824</v>
      </c>
      <c r="B4579" s="9" t="s">
        <v>1825</v>
      </c>
      <c r="C4579" s="9" t="n">
        <v>48</v>
      </c>
      <c r="D4579" s="10" t="n">
        <v>0.65</v>
      </c>
      <c r="E4579" s="10" t="n">
        <f aca="false">C4579*D4579</f>
        <v>31.2</v>
      </c>
    </row>
    <row r="4580" customFormat="false" ht="15" hidden="false" customHeight="false" outlineLevel="0" collapsed="false">
      <c r="A4580" s="9" t="s">
        <v>1824</v>
      </c>
      <c r="B4580" s="9" t="s">
        <v>1374</v>
      </c>
      <c r="C4580" s="9" t="n">
        <v>12</v>
      </c>
      <c r="D4580" s="10" t="n">
        <v>2.1</v>
      </c>
      <c r="E4580" s="10" t="n">
        <f aca="false">C4580*D4580</f>
        <v>25.2</v>
      </c>
    </row>
    <row r="4581" customFormat="false" ht="15" hidden="false" customHeight="false" outlineLevel="0" collapsed="false">
      <c r="A4581" s="9" t="s">
        <v>1824</v>
      </c>
      <c r="B4581" s="9" t="s">
        <v>175</v>
      </c>
      <c r="C4581" s="9" t="n">
        <v>1</v>
      </c>
      <c r="D4581" s="10" t="n">
        <v>5.95</v>
      </c>
      <c r="E4581" s="10" t="n">
        <f aca="false">C4581*D4581</f>
        <v>5.95</v>
      </c>
    </row>
    <row r="4582" customFormat="false" ht="15" hidden="false" customHeight="false" outlineLevel="0" collapsed="false">
      <c r="A4582" s="9" t="s">
        <v>1824</v>
      </c>
      <c r="B4582" s="9" t="s">
        <v>97</v>
      </c>
      <c r="C4582" s="9" t="n">
        <v>6</v>
      </c>
      <c r="D4582" s="10" t="n">
        <v>1.25</v>
      </c>
      <c r="E4582" s="10" t="n">
        <f aca="false">C4582*D4582</f>
        <v>7.5</v>
      </c>
    </row>
    <row r="4583" customFormat="false" ht="15" hidden="false" customHeight="false" outlineLevel="0" collapsed="false">
      <c r="A4583" s="9" t="s">
        <v>1824</v>
      </c>
      <c r="B4583" s="9" t="s">
        <v>1481</v>
      </c>
      <c r="C4583" s="9" t="n">
        <v>6</v>
      </c>
      <c r="D4583" s="10" t="n">
        <v>1.25</v>
      </c>
      <c r="E4583" s="10" t="n">
        <f aca="false">C4583*D4583</f>
        <v>7.5</v>
      </c>
    </row>
    <row r="4584" customFormat="false" ht="15" hidden="false" customHeight="false" outlineLevel="0" collapsed="false">
      <c r="A4584" s="9" t="s">
        <v>1824</v>
      </c>
      <c r="B4584" s="9" t="s">
        <v>1171</v>
      </c>
      <c r="C4584" s="9" t="n">
        <v>6</v>
      </c>
      <c r="D4584" s="10" t="n">
        <v>0.85</v>
      </c>
      <c r="E4584" s="10" t="n">
        <f aca="false">C4584*D4584</f>
        <v>5.1</v>
      </c>
    </row>
    <row r="4585" customFormat="false" ht="15" hidden="false" customHeight="false" outlineLevel="0" collapsed="false">
      <c r="A4585" s="9" t="s">
        <v>1824</v>
      </c>
      <c r="B4585" s="9" t="s">
        <v>173</v>
      </c>
      <c r="C4585" s="9" t="n">
        <v>4</v>
      </c>
      <c r="D4585" s="10" t="n">
        <v>12.75</v>
      </c>
      <c r="E4585" s="10" t="n">
        <f aca="false">C4585*D4585</f>
        <v>51</v>
      </c>
    </row>
    <row r="4586" customFormat="false" ht="15" hidden="false" customHeight="false" outlineLevel="0" collapsed="false">
      <c r="A4586" s="9" t="s">
        <v>1824</v>
      </c>
      <c r="B4586" s="9" t="s">
        <v>1717</v>
      </c>
      <c r="C4586" s="9" t="n">
        <v>4</v>
      </c>
      <c r="D4586" s="10" t="n">
        <v>3.75</v>
      </c>
      <c r="E4586" s="10" t="n">
        <f aca="false">C4586*D4586</f>
        <v>15</v>
      </c>
    </row>
    <row r="4587" customFormat="false" ht="15" hidden="false" customHeight="false" outlineLevel="0" collapsed="false">
      <c r="A4587" s="9" t="s">
        <v>1824</v>
      </c>
      <c r="B4587" s="9" t="s">
        <v>795</v>
      </c>
      <c r="C4587" s="9" t="n">
        <v>6</v>
      </c>
      <c r="D4587" s="10" t="n">
        <v>1.25</v>
      </c>
      <c r="E4587" s="10" t="n">
        <f aca="false">C4587*D4587</f>
        <v>7.5</v>
      </c>
    </row>
    <row r="4588" customFormat="false" ht="15" hidden="false" customHeight="false" outlineLevel="0" collapsed="false">
      <c r="A4588" s="9" t="s">
        <v>1824</v>
      </c>
      <c r="B4588" s="9" t="s">
        <v>174</v>
      </c>
      <c r="C4588" s="9" t="n">
        <v>5</v>
      </c>
      <c r="D4588" s="10" t="n">
        <v>6.95</v>
      </c>
      <c r="E4588" s="10" t="n">
        <f aca="false">C4588*D4588</f>
        <v>34.75</v>
      </c>
    </row>
    <row r="4589" customFormat="false" ht="15" hidden="false" customHeight="false" outlineLevel="0" collapsed="false">
      <c r="A4589" s="9" t="s">
        <v>1824</v>
      </c>
      <c r="B4589" s="9" t="s">
        <v>566</v>
      </c>
      <c r="C4589" s="9" t="n">
        <v>24</v>
      </c>
      <c r="D4589" s="10" t="n">
        <v>1.45</v>
      </c>
      <c r="E4589" s="10" t="n">
        <f aca="false">C4589*D4589</f>
        <v>34.8</v>
      </c>
    </row>
    <row r="4590" customFormat="false" ht="15" hidden="false" customHeight="false" outlineLevel="0" collapsed="false">
      <c r="A4590" s="9" t="s">
        <v>1824</v>
      </c>
      <c r="B4590" s="9" t="s">
        <v>977</v>
      </c>
      <c r="C4590" s="9" t="n">
        <v>24</v>
      </c>
      <c r="D4590" s="10" t="n">
        <v>1.45</v>
      </c>
      <c r="E4590" s="10" t="n">
        <f aca="false">C4590*D4590</f>
        <v>34.8</v>
      </c>
    </row>
    <row r="4591" customFormat="false" ht="15" hidden="false" customHeight="false" outlineLevel="0" collapsed="false">
      <c r="A4591" s="9" t="s">
        <v>1824</v>
      </c>
      <c r="B4591" s="9" t="s">
        <v>307</v>
      </c>
      <c r="C4591" s="9" t="n">
        <v>12</v>
      </c>
      <c r="D4591" s="10" t="n">
        <v>0.55</v>
      </c>
      <c r="E4591" s="10" t="n">
        <f aca="false">C4591*D4591</f>
        <v>6.6</v>
      </c>
    </row>
    <row r="4592" customFormat="false" ht="15" hidden="false" customHeight="false" outlineLevel="0" collapsed="false">
      <c r="A4592" s="9" t="s">
        <v>1824</v>
      </c>
      <c r="B4592" s="9" t="s">
        <v>330</v>
      </c>
      <c r="C4592" s="9" t="n">
        <v>12</v>
      </c>
      <c r="D4592" s="10" t="n">
        <v>0.55</v>
      </c>
      <c r="E4592" s="10" t="n">
        <f aca="false">C4592*D4592</f>
        <v>6.6</v>
      </c>
    </row>
    <row r="4593" customFormat="false" ht="15" hidden="false" customHeight="false" outlineLevel="0" collapsed="false">
      <c r="A4593" s="9" t="s">
        <v>1824</v>
      </c>
      <c r="B4593" s="9" t="s">
        <v>726</v>
      </c>
      <c r="C4593" s="9" t="n">
        <v>4</v>
      </c>
      <c r="D4593" s="10" t="n">
        <v>4.25</v>
      </c>
      <c r="E4593" s="10" t="n">
        <f aca="false">C4593*D4593</f>
        <v>17</v>
      </c>
    </row>
    <row r="4594" customFormat="false" ht="15" hidden="false" customHeight="false" outlineLevel="0" collapsed="false">
      <c r="A4594" s="9" t="s">
        <v>1826</v>
      </c>
      <c r="B4594" s="9" t="s">
        <v>58</v>
      </c>
      <c r="C4594" s="9" t="n">
        <v>2</v>
      </c>
      <c r="D4594" s="10" t="n">
        <v>2.1</v>
      </c>
      <c r="E4594" s="10" t="n">
        <f aca="false">C4594*D4594</f>
        <v>4.2</v>
      </c>
    </row>
    <row r="4595" customFormat="false" ht="15" hidden="false" customHeight="false" outlineLevel="0" collapsed="false">
      <c r="A4595" s="9" t="s">
        <v>1826</v>
      </c>
      <c r="B4595" s="9" t="s">
        <v>254</v>
      </c>
      <c r="C4595" s="9" t="n">
        <v>8</v>
      </c>
      <c r="D4595" s="10" t="n">
        <v>2.1</v>
      </c>
      <c r="E4595" s="10" t="n">
        <f aca="false">C4595*D4595</f>
        <v>16.8</v>
      </c>
    </row>
    <row r="4596" customFormat="false" ht="15" hidden="false" customHeight="false" outlineLevel="0" collapsed="false">
      <c r="A4596" s="9" t="s">
        <v>1826</v>
      </c>
      <c r="B4596" s="9" t="s">
        <v>255</v>
      </c>
      <c r="C4596" s="9" t="n">
        <v>8</v>
      </c>
      <c r="D4596" s="10" t="n">
        <v>2.1</v>
      </c>
      <c r="E4596" s="10" t="n">
        <f aca="false">C4596*D4596</f>
        <v>16.8</v>
      </c>
    </row>
    <row r="4597" customFormat="false" ht="15" hidden="false" customHeight="false" outlineLevel="0" collapsed="false">
      <c r="A4597" s="9" t="s">
        <v>1826</v>
      </c>
      <c r="B4597" s="9" t="s">
        <v>472</v>
      </c>
      <c r="C4597" s="9" t="n">
        <v>12</v>
      </c>
      <c r="D4597" s="10" t="n">
        <v>2.1</v>
      </c>
      <c r="E4597" s="10" t="n">
        <f aca="false">C4597*D4597</f>
        <v>25.2</v>
      </c>
    </row>
    <row r="4598" customFormat="false" ht="15" hidden="false" customHeight="false" outlineLevel="0" collapsed="false">
      <c r="A4598" s="9" t="s">
        <v>1826</v>
      </c>
      <c r="B4598" s="9" t="s">
        <v>46</v>
      </c>
      <c r="C4598" s="9" t="n">
        <v>8</v>
      </c>
      <c r="D4598" s="10" t="n">
        <v>2.1</v>
      </c>
      <c r="E4598" s="10" t="n">
        <f aca="false">C4598*D4598</f>
        <v>16.8</v>
      </c>
    </row>
    <row r="4599" customFormat="false" ht="15" hidden="false" customHeight="false" outlineLevel="0" collapsed="false">
      <c r="A4599" s="9" t="s">
        <v>1826</v>
      </c>
      <c r="B4599" s="9" t="s">
        <v>258</v>
      </c>
      <c r="C4599" s="9" t="n">
        <v>8</v>
      </c>
      <c r="D4599" s="10" t="n">
        <v>2.1</v>
      </c>
      <c r="E4599" s="10" t="n">
        <f aca="false">C4599*D4599</f>
        <v>16.8</v>
      </c>
    </row>
    <row r="4600" customFormat="false" ht="15" hidden="false" customHeight="false" outlineLevel="0" collapsed="false">
      <c r="A4600" s="9" t="s">
        <v>1826</v>
      </c>
      <c r="B4600" s="9" t="s">
        <v>57</v>
      </c>
      <c r="C4600" s="9" t="n">
        <v>2</v>
      </c>
      <c r="D4600" s="10" t="n">
        <v>2.1</v>
      </c>
      <c r="E4600" s="10" t="n">
        <f aca="false">C4600*D4600</f>
        <v>4.2</v>
      </c>
    </row>
    <row r="4601" customFormat="false" ht="15" hidden="false" customHeight="false" outlineLevel="0" collapsed="false">
      <c r="A4601" s="9" t="s">
        <v>1826</v>
      </c>
      <c r="B4601" s="9" t="s">
        <v>1329</v>
      </c>
      <c r="C4601" s="9" t="n">
        <v>2</v>
      </c>
      <c r="D4601" s="10" t="n">
        <v>2.1</v>
      </c>
      <c r="E4601" s="10" t="n">
        <f aca="false">C4601*D4601</f>
        <v>4.2</v>
      </c>
    </row>
    <row r="4602" customFormat="false" ht="15" hidden="false" customHeight="false" outlineLevel="0" collapsed="false">
      <c r="A4602" s="9" t="s">
        <v>1826</v>
      </c>
      <c r="B4602" s="9" t="s">
        <v>696</v>
      </c>
      <c r="C4602" s="9" t="n">
        <v>6</v>
      </c>
      <c r="D4602" s="10" t="n">
        <v>1.25</v>
      </c>
      <c r="E4602" s="10" t="n">
        <f aca="false">C4602*D4602</f>
        <v>7.5</v>
      </c>
    </row>
    <row r="4603" customFormat="false" ht="15" hidden="false" customHeight="false" outlineLevel="0" collapsed="false">
      <c r="A4603" s="9" t="s">
        <v>1826</v>
      </c>
      <c r="B4603" s="9" t="s">
        <v>1050</v>
      </c>
      <c r="C4603" s="9" t="n">
        <v>18</v>
      </c>
      <c r="D4603" s="10" t="n">
        <v>0.65</v>
      </c>
      <c r="E4603" s="10" t="n">
        <f aca="false">C4603*D4603</f>
        <v>11.7</v>
      </c>
    </row>
    <row r="4604" customFormat="false" ht="15" hidden="false" customHeight="false" outlineLevel="0" collapsed="false">
      <c r="A4604" s="9" t="s">
        <v>1826</v>
      </c>
      <c r="B4604" s="9" t="s">
        <v>623</v>
      </c>
      <c r="C4604" s="9" t="n">
        <v>6</v>
      </c>
      <c r="D4604" s="10" t="n">
        <v>1.65</v>
      </c>
      <c r="E4604" s="10" t="n">
        <f aca="false">C4604*D4604</f>
        <v>9.9</v>
      </c>
    </row>
    <row r="4605" customFormat="false" ht="15" hidden="false" customHeight="false" outlineLevel="0" collapsed="false">
      <c r="A4605" s="9" t="s">
        <v>1826</v>
      </c>
      <c r="B4605" s="9" t="s">
        <v>727</v>
      </c>
      <c r="C4605" s="9" t="n">
        <v>18</v>
      </c>
      <c r="D4605" s="10" t="n">
        <v>0.65</v>
      </c>
      <c r="E4605" s="10" t="n">
        <f aca="false">C4605*D4605</f>
        <v>11.7</v>
      </c>
    </row>
    <row r="4606" customFormat="false" ht="15" hidden="false" customHeight="false" outlineLevel="0" collapsed="false">
      <c r="A4606" s="9" t="s">
        <v>1826</v>
      </c>
      <c r="B4606" s="9" t="s">
        <v>725</v>
      </c>
      <c r="C4606" s="9" t="n">
        <v>6</v>
      </c>
      <c r="D4606" s="10" t="n">
        <v>0.65</v>
      </c>
      <c r="E4606" s="10" t="n">
        <f aca="false">C4606*D4606</f>
        <v>3.9</v>
      </c>
    </row>
    <row r="4607" customFormat="false" ht="15" hidden="false" customHeight="false" outlineLevel="0" collapsed="false">
      <c r="A4607" s="9" t="s">
        <v>1826</v>
      </c>
      <c r="B4607" s="9" t="s">
        <v>108</v>
      </c>
      <c r="C4607" s="9" t="n">
        <v>3</v>
      </c>
      <c r="D4607" s="10" t="n">
        <v>1.95</v>
      </c>
      <c r="E4607" s="10" t="n">
        <f aca="false">C4607*D4607</f>
        <v>5.85</v>
      </c>
    </row>
    <row r="4608" customFormat="false" ht="15" hidden="false" customHeight="false" outlineLevel="0" collapsed="false">
      <c r="A4608" s="9" t="s">
        <v>1826</v>
      </c>
      <c r="B4608" s="9" t="s">
        <v>193</v>
      </c>
      <c r="C4608" s="9" t="n">
        <v>3</v>
      </c>
      <c r="D4608" s="10" t="n">
        <v>1.95</v>
      </c>
      <c r="E4608" s="10" t="n">
        <f aca="false">C4608*D4608</f>
        <v>5.85</v>
      </c>
    </row>
    <row r="4609" customFormat="false" ht="15" hidden="false" customHeight="false" outlineLevel="0" collapsed="false">
      <c r="A4609" s="9" t="s">
        <v>1826</v>
      </c>
      <c r="B4609" s="9" t="s">
        <v>658</v>
      </c>
      <c r="C4609" s="9" t="n">
        <v>4</v>
      </c>
      <c r="D4609" s="10" t="n">
        <v>1.95</v>
      </c>
      <c r="E4609" s="10" t="n">
        <f aca="false">C4609*D4609</f>
        <v>7.8</v>
      </c>
    </row>
    <row r="4610" customFormat="false" ht="15" hidden="false" customHeight="false" outlineLevel="0" collapsed="false">
      <c r="A4610" s="9" t="s">
        <v>1826</v>
      </c>
      <c r="B4610" s="9" t="s">
        <v>109</v>
      </c>
      <c r="C4610" s="9" t="n">
        <v>3</v>
      </c>
      <c r="D4610" s="10" t="n">
        <v>1.95</v>
      </c>
      <c r="E4610" s="10" t="n">
        <f aca="false">C4610*D4610</f>
        <v>5.85</v>
      </c>
    </row>
    <row r="4611" customFormat="false" ht="15" hidden="false" customHeight="false" outlineLevel="0" collapsed="false">
      <c r="A4611" s="9" t="s">
        <v>1826</v>
      </c>
      <c r="B4611" s="9" t="s">
        <v>1377</v>
      </c>
      <c r="C4611" s="9" t="n">
        <v>5</v>
      </c>
      <c r="D4611" s="10" t="n">
        <v>1.65</v>
      </c>
      <c r="E4611" s="10" t="n">
        <f aca="false">C4611*D4611</f>
        <v>8.25</v>
      </c>
    </row>
    <row r="4612" customFormat="false" ht="15" hidden="false" customHeight="false" outlineLevel="0" collapsed="false">
      <c r="A4612" s="9" t="s">
        <v>1827</v>
      </c>
      <c r="B4612" s="9" t="s">
        <v>638</v>
      </c>
      <c r="C4612" s="9" t="n">
        <v>12</v>
      </c>
      <c r="D4612" s="10" t="n">
        <v>0.42</v>
      </c>
      <c r="E4612" s="10" t="n">
        <f aca="false">C4612*D4612</f>
        <v>5.04</v>
      </c>
    </row>
    <row r="4613" customFormat="false" ht="15" hidden="false" customHeight="false" outlineLevel="0" collapsed="false">
      <c r="A4613" s="9" t="s">
        <v>1827</v>
      </c>
      <c r="B4613" s="9" t="s">
        <v>1828</v>
      </c>
      <c r="C4613" s="9" t="n">
        <v>12</v>
      </c>
      <c r="D4613" s="10" t="n">
        <v>0.42</v>
      </c>
      <c r="E4613" s="10" t="n">
        <f aca="false">C4613*D4613</f>
        <v>5.04</v>
      </c>
    </row>
    <row r="4614" customFormat="false" ht="15" hidden="false" customHeight="false" outlineLevel="0" collapsed="false">
      <c r="A4614" s="9" t="s">
        <v>1827</v>
      </c>
      <c r="B4614" s="9" t="s">
        <v>171</v>
      </c>
      <c r="C4614" s="9" t="n">
        <v>5</v>
      </c>
      <c r="D4614" s="10" t="n">
        <v>2.1</v>
      </c>
      <c r="E4614" s="10" t="n">
        <f aca="false">C4614*D4614</f>
        <v>10.5</v>
      </c>
    </row>
    <row r="4615" customFormat="false" ht="15" hidden="false" customHeight="false" outlineLevel="0" collapsed="false">
      <c r="A4615" s="9" t="s">
        <v>1827</v>
      </c>
      <c r="B4615" s="9" t="s">
        <v>84</v>
      </c>
      <c r="C4615" s="9" t="n">
        <v>4</v>
      </c>
      <c r="D4615" s="10" t="n">
        <v>3.75</v>
      </c>
      <c r="E4615" s="10" t="n">
        <f aca="false">C4615*D4615</f>
        <v>15</v>
      </c>
    </row>
    <row r="4616" customFormat="false" ht="15" hidden="false" customHeight="false" outlineLevel="0" collapsed="false">
      <c r="A4616" s="9" t="s">
        <v>1827</v>
      </c>
      <c r="B4616" s="9" t="s">
        <v>260</v>
      </c>
      <c r="C4616" s="9" t="n">
        <v>4</v>
      </c>
      <c r="D4616" s="10" t="n">
        <v>3.75</v>
      </c>
      <c r="E4616" s="10" t="n">
        <f aca="false">C4616*D4616</f>
        <v>15</v>
      </c>
    </row>
    <row r="4617" customFormat="false" ht="15" hidden="false" customHeight="false" outlineLevel="0" collapsed="false">
      <c r="A4617" s="9" t="s">
        <v>1827</v>
      </c>
      <c r="B4617" s="9" t="s">
        <v>85</v>
      </c>
      <c r="C4617" s="9" t="n">
        <v>4</v>
      </c>
      <c r="D4617" s="10" t="n">
        <v>3.75</v>
      </c>
      <c r="E4617" s="10" t="n">
        <f aca="false">C4617*D4617</f>
        <v>15</v>
      </c>
    </row>
    <row r="4618" customFormat="false" ht="15" hidden="false" customHeight="false" outlineLevel="0" collapsed="false">
      <c r="A4618" s="9" t="s">
        <v>1827</v>
      </c>
      <c r="B4618" s="9" t="s">
        <v>824</v>
      </c>
      <c r="C4618" s="9" t="n">
        <v>12</v>
      </c>
      <c r="D4618" s="10" t="n">
        <v>0.42</v>
      </c>
      <c r="E4618" s="10" t="n">
        <f aca="false">C4618*D4618</f>
        <v>5.04</v>
      </c>
    </row>
    <row r="4619" customFormat="false" ht="15" hidden="false" customHeight="false" outlineLevel="0" collapsed="false">
      <c r="A4619" s="9" t="s">
        <v>1827</v>
      </c>
      <c r="B4619" s="9" t="s">
        <v>349</v>
      </c>
      <c r="C4619" s="9" t="n">
        <v>12</v>
      </c>
      <c r="D4619" s="10" t="n">
        <v>1.25</v>
      </c>
      <c r="E4619" s="10" t="n">
        <f aca="false">C4619*D4619</f>
        <v>15</v>
      </c>
    </row>
    <row r="4620" customFormat="false" ht="15" hidden="false" customHeight="false" outlineLevel="0" collapsed="false">
      <c r="A4620" s="9" t="s">
        <v>1827</v>
      </c>
      <c r="B4620" s="9" t="s">
        <v>128</v>
      </c>
      <c r="C4620" s="9" t="n">
        <v>24</v>
      </c>
      <c r="D4620" s="10" t="n">
        <v>1.45</v>
      </c>
      <c r="E4620" s="10" t="n">
        <f aca="false">C4620*D4620</f>
        <v>34.8</v>
      </c>
    </row>
    <row r="4621" customFormat="false" ht="15" hidden="false" customHeight="false" outlineLevel="0" collapsed="false">
      <c r="A4621" s="9" t="s">
        <v>1827</v>
      </c>
      <c r="B4621" s="9" t="s">
        <v>691</v>
      </c>
      <c r="C4621" s="9" t="n">
        <v>12</v>
      </c>
      <c r="D4621" s="10" t="n">
        <v>1.25</v>
      </c>
      <c r="E4621" s="10" t="n">
        <f aca="false">C4621*D4621</f>
        <v>15</v>
      </c>
    </row>
    <row r="4622" customFormat="false" ht="15" hidden="false" customHeight="false" outlineLevel="0" collapsed="false">
      <c r="A4622" s="9" t="s">
        <v>1827</v>
      </c>
      <c r="B4622" s="9" t="s">
        <v>945</v>
      </c>
      <c r="C4622" s="9" t="n">
        <v>8</v>
      </c>
      <c r="D4622" s="10" t="n">
        <v>1.95</v>
      </c>
      <c r="E4622" s="10" t="n">
        <f aca="false">C4622*D4622</f>
        <v>15.6</v>
      </c>
    </row>
    <row r="4623" customFormat="false" ht="15" hidden="false" customHeight="false" outlineLevel="0" collapsed="false">
      <c r="A4623" s="9" t="s">
        <v>1827</v>
      </c>
      <c r="B4623" s="9" t="s">
        <v>369</v>
      </c>
      <c r="C4623" s="9" t="n">
        <v>12</v>
      </c>
      <c r="D4623" s="10" t="n">
        <v>0.42</v>
      </c>
      <c r="E4623" s="10" t="n">
        <f aca="false">C4623*D4623</f>
        <v>5.04</v>
      </c>
    </row>
    <row r="4624" customFormat="false" ht="15" hidden="false" customHeight="false" outlineLevel="0" collapsed="false">
      <c r="A4624" s="9" t="s">
        <v>1827</v>
      </c>
      <c r="B4624" s="9" t="s">
        <v>1565</v>
      </c>
      <c r="C4624" s="9" t="n">
        <v>12</v>
      </c>
      <c r="D4624" s="10" t="n">
        <v>0.42</v>
      </c>
      <c r="E4624" s="10" t="n">
        <f aca="false">C4624*D4624</f>
        <v>5.04</v>
      </c>
    </row>
    <row r="4625" customFormat="false" ht="15" hidden="false" customHeight="false" outlineLevel="0" collapsed="false">
      <c r="A4625" s="9" t="s">
        <v>1827</v>
      </c>
      <c r="B4625" s="9" t="s">
        <v>640</v>
      </c>
      <c r="C4625" s="9" t="n">
        <v>12</v>
      </c>
      <c r="D4625" s="10" t="n">
        <v>0.42</v>
      </c>
      <c r="E4625" s="10" t="n">
        <f aca="false">C4625*D4625</f>
        <v>5.04</v>
      </c>
    </row>
    <row r="4626" customFormat="false" ht="15" hidden="false" customHeight="false" outlineLevel="0" collapsed="false">
      <c r="A4626" s="9" t="s">
        <v>1827</v>
      </c>
      <c r="B4626" s="9" t="s">
        <v>1562</v>
      </c>
      <c r="C4626" s="9" t="n">
        <v>12</v>
      </c>
      <c r="D4626" s="10" t="n">
        <v>0.42</v>
      </c>
      <c r="E4626" s="10" t="n">
        <f aca="false">C4626*D4626</f>
        <v>5.04</v>
      </c>
    </row>
    <row r="4627" customFormat="false" ht="15" hidden="false" customHeight="false" outlineLevel="0" collapsed="false">
      <c r="A4627" s="9" t="s">
        <v>1827</v>
      </c>
      <c r="B4627" s="9" t="s">
        <v>1563</v>
      </c>
      <c r="C4627" s="9" t="n">
        <v>12</v>
      </c>
      <c r="D4627" s="10" t="n">
        <v>0.42</v>
      </c>
      <c r="E4627" s="10" t="n">
        <f aca="false">C4627*D4627</f>
        <v>5.04</v>
      </c>
    </row>
    <row r="4628" customFormat="false" ht="15" hidden="false" customHeight="false" outlineLevel="0" collapsed="false">
      <c r="A4628" s="9" t="s">
        <v>1827</v>
      </c>
      <c r="B4628" s="9" t="s">
        <v>200</v>
      </c>
      <c r="C4628" s="9" t="n">
        <v>12</v>
      </c>
      <c r="D4628" s="10" t="n">
        <v>1.45</v>
      </c>
      <c r="E4628" s="10" t="n">
        <f aca="false">C4628*D4628</f>
        <v>17.4</v>
      </c>
    </row>
    <row r="4629" customFormat="false" ht="15" hidden="false" customHeight="false" outlineLevel="0" collapsed="false">
      <c r="A4629" s="9" t="s">
        <v>1827</v>
      </c>
      <c r="B4629" s="9" t="s">
        <v>63</v>
      </c>
      <c r="C4629" s="9" t="n">
        <v>6</v>
      </c>
      <c r="D4629" s="10" t="n">
        <v>4.25</v>
      </c>
      <c r="E4629" s="10" t="n">
        <f aca="false">C4629*D4629</f>
        <v>25.5</v>
      </c>
    </row>
    <row r="4630" customFormat="false" ht="15" hidden="false" customHeight="false" outlineLevel="0" collapsed="false">
      <c r="A4630" s="9" t="s">
        <v>1827</v>
      </c>
      <c r="B4630" s="9" t="s">
        <v>1313</v>
      </c>
      <c r="C4630" s="9" t="n">
        <v>3</v>
      </c>
      <c r="D4630" s="10" t="n">
        <v>5.95</v>
      </c>
      <c r="E4630" s="10" t="n">
        <f aca="false">C4630*D4630</f>
        <v>17.85</v>
      </c>
    </row>
    <row r="4631" customFormat="false" ht="15" hidden="false" customHeight="false" outlineLevel="0" collapsed="false">
      <c r="A4631" s="9" t="s">
        <v>1829</v>
      </c>
      <c r="B4631" s="9" t="s">
        <v>314</v>
      </c>
      <c r="C4631" s="9" t="n">
        <v>12</v>
      </c>
      <c r="D4631" s="10" t="n">
        <v>1.45</v>
      </c>
      <c r="E4631" s="10" t="n">
        <f aca="false">C4631*D4631</f>
        <v>17.4</v>
      </c>
    </row>
    <row r="4632" customFormat="false" ht="15" hidden="false" customHeight="false" outlineLevel="0" collapsed="false">
      <c r="A4632" s="9" t="s">
        <v>1829</v>
      </c>
      <c r="B4632" s="9" t="s">
        <v>118</v>
      </c>
      <c r="C4632" s="9" t="n">
        <v>6</v>
      </c>
      <c r="D4632" s="10" t="n">
        <v>2.55</v>
      </c>
      <c r="E4632" s="10" t="n">
        <f aca="false">C4632*D4632</f>
        <v>15.3</v>
      </c>
    </row>
    <row r="4633" customFormat="false" ht="15" hidden="false" customHeight="false" outlineLevel="0" collapsed="false">
      <c r="A4633" s="9" t="s">
        <v>1829</v>
      </c>
      <c r="B4633" s="9" t="s">
        <v>272</v>
      </c>
      <c r="C4633" s="9" t="n">
        <v>6</v>
      </c>
      <c r="D4633" s="10" t="n">
        <v>4.95</v>
      </c>
      <c r="E4633" s="10" t="n">
        <f aca="false">C4633*D4633</f>
        <v>29.7</v>
      </c>
    </row>
    <row r="4634" customFormat="false" ht="15" hidden="false" customHeight="false" outlineLevel="0" collapsed="false">
      <c r="A4634" s="9" t="s">
        <v>1829</v>
      </c>
      <c r="B4634" s="9" t="s">
        <v>416</v>
      </c>
      <c r="C4634" s="9" t="n">
        <v>4</v>
      </c>
      <c r="D4634" s="10" t="n">
        <v>3.75</v>
      </c>
      <c r="E4634" s="10" t="n">
        <f aca="false">C4634*D4634</f>
        <v>15</v>
      </c>
    </row>
    <row r="4635" customFormat="false" ht="15" hidden="false" customHeight="false" outlineLevel="0" collapsed="false">
      <c r="A4635" s="9" t="s">
        <v>1829</v>
      </c>
      <c r="B4635" s="9" t="s">
        <v>55</v>
      </c>
      <c r="C4635" s="9" t="n">
        <v>4</v>
      </c>
      <c r="D4635" s="10" t="n">
        <v>3.75</v>
      </c>
      <c r="E4635" s="10" t="n">
        <f aca="false">C4635*D4635</f>
        <v>15</v>
      </c>
    </row>
    <row r="4636" customFormat="false" ht="15" hidden="false" customHeight="false" outlineLevel="0" collapsed="false">
      <c r="A4636" s="9" t="s">
        <v>1829</v>
      </c>
      <c r="B4636" s="9" t="s">
        <v>499</v>
      </c>
      <c r="C4636" s="9" t="n">
        <v>4</v>
      </c>
      <c r="D4636" s="10" t="n">
        <v>3.75</v>
      </c>
      <c r="E4636" s="10" t="n">
        <f aca="false">C4636*D4636</f>
        <v>15</v>
      </c>
    </row>
    <row r="4637" customFormat="false" ht="15" hidden="false" customHeight="false" outlineLevel="0" collapsed="false">
      <c r="A4637" s="9" t="s">
        <v>1829</v>
      </c>
      <c r="B4637" s="9" t="s">
        <v>515</v>
      </c>
      <c r="C4637" s="9" t="n">
        <v>4</v>
      </c>
      <c r="D4637" s="10" t="n">
        <v>3.75</v>
      </c>
      <c r="E4637" s="10" t="n">
        <f aca="false">C4637*D4637</f>
        <v>15</v>
      </c>
    </row>
    <row r="4638" customFormat="false" ht="15" hidden="false" customHeight="false" outlineLevel="0" collapsed="false">
      <c r="A4638" s="9" t="s">
        <v>1829</v>
      </c>
      <c r="B4638" s="9" t="s">
        <v>487</v>
      </c>
      <c r="C4638" s="9" t="n">
        <v>24</v>
      </c>
      <c r="D4638" s="10" t="n">
        <v>0.55</v>
      </c>
      <c r="E4638" s="10" t="n">
        <f aca="false">C4638*D4638</f>
        <v>13.2</v>
      </c>
    </row>
    <row r="4639" customFormat="false" ht="15" hidden="false" customHeight="false" outlineLevel="0" collapsed="false">
      <c r="A4639" s="9" t="s">
        <v>1829</v>
      </c>
      <c r="B4639" s="9" t="s">
        <v>88</v>
      </c>
      <c r="C4639" s="9" t="n">
        <v>6</v>
      </c>
      <c r="D4639" s="10" t="n">
        <v>2.95</v>
      </c>
      <c r="E4639" s="10" t="n">
        <f aca="false">C4639*D4639</f>
        <v>17.7</v>
      </c>
    </row>
    <row r="4640" customFormat="false" ht="15" hidden="false" customHeight="false" outlineLevel="0" collapsed="false">
      <c r="A4640" s="9" t="s">
        <v>1829</v>
      </c>
      <c r="B4640" s="9" t="s">
        <v>696</v>
      </c>
      <c r="C4640" s="9" t="n">
        <v>12</v>
      </c>
      <c r="D4640" s="10" t="n">
        <v>1.25</v>
      </c>
      <c r="E4640" s="10" t="n">
        <f aca="false">C4640*D4640</f>
        <v>15</v>
      </c>
    </row>
    <row r="4641" customFormat="false" ht="15" hidden="false" customHeight="false" outlineLevel="0" collapsed="false">
      <c r="A4641" s="9" t="s">
        <v>1829</v>
      </c>
      <c r="B4641" s="9" t="s">
        <v>79</v>
      </c>
      <c r="C4641" s="9" t="n">
        <v>12</v>
      </c>
      <c r="D4641" s="10" t="n">
        <v>1.25</v>
      </c>
      <c r="E4641" s="10" t="n">
        <f aca="false">C4641*D4641</f>
        <v>15</v>
      </c>
    </row>
    <row r="4642" customFormat="false" ht="15" hidden="false" customHeight="false" outlineLevel="0" collapsed="false">
      <c r="A4642" s="9" t="s">
        <v>1829</v>
      </c>
      <c r="B4642" s="9" t="s">
        <v>1443</v>
      </c>
      <c r="C4642" s="9" t="n">
        <v>24</v>
      </c>
      <c r="D4642" s="10" t="n">
        <v>1.25</v>
      </c>
      <c r="E4642" s="10" t="n">
        <f aca="false">C4642*D4642</f>
        <v>30</v>
      </c>
    </row>
    <row r="4643" customFormat="false" ht="15" hidden="false" customHeight="false" outlineLevel="0" collapsed="false">
      <c r="A4643" s="9" t="s">
        <v>1829</v>
      </c>
      <c r="B4643" s="9" t="s">
        <v>262</v>
      </c>
      <c r="C4643" s="9" t="n">
        <v>4</v>
      </c>
      <c r="D4643" s="10" t="n">
        <v>3.45</v>
      </c>
      <c r="E4643" s="10" t="n">
        <f aca="false">C4643*D4643</f>
        <v>13.8</v>
      </c>
    </row>
    <row r="4644" customFormat="false" ht="15" hidden="false" customHeight="false" outlineLevel="0" collapsed="false">
      <c r="A4644" s="9" t="s">
        <v>1829</v>
      </c>
      <c r="B4644" s="9" t="s">
        <v>1374</v>
      </c>
      <c r="C4644" s="9" t="n">
        <v>12</v>
      </c>
      <c r="D4644" s="10" t="n">
        <v>2.1</v>
      </c>
      <c r="E4644" s="10" t="n">
        <f aca="false">C4644*D4644</f>
        <v>25.2</v>
      </c>
    </row>
    <row r="4645" customFormat="false" ht="15" hidden="false" customHeight="false" outlineLevel="0" collapsed="false">
      <c r="A4645" s="9" t="s">
        <v>1830</v>
      </c>
      <c r="B4645" s="9" t="s">
        <v>323</v>
      </c>
      <c r="C4645" s="9" t="n">
        <v>2</v>
      </c>
      <c r="D4645" s="10" t="n">
        <v>5.95</v>
      </c>
      <c r="E4645" s="10" t="n">
        <f aca="false">C4645*D4645</f>
        <v>11.9</v>
      </c>
    </row>
    <row r="4646" customFormat="false" ht="15" hidden="false" customHeight="false" outlineLevel="0" collapsed="false">
      <c r="A4646" s="9" t="s">
        <v>1830</v>
      </c>
      <c r="B4646" s="9" t="s">
        <v>195</v>
      </c>
      <c r="C4646" s="9" t="n">
        <v>8</v>
      </c>
      <c r="D4646" s="10" t="n">
        <v>4.25</v>
      </c>
      <c r="E4646" s="10" t="n">
        <f aca="false">C4646*D4646</f>
        <v>34</v>
      </c>
    </row>
    <row r="4647" customFormat="false" ht="15" hidden="false" customHeight="false" outlineLevel="0" collapsed="false">
      <c r="A4647" s="9" t="s">
        <v>1830</v>
      </c>
      <c r="B4647" s="9" t="s">
        <v>324</v>
      </c>
      <c r="C4647" s="9" t="n">
        <v>2</v>
      </c>
      <c r="D4647" s="10" t="n">
        <v>4.25</v>
      </c>
      <c r="E4647" s="10" t="n">
        <f aca="false">C4647*D4647</f>
        <v>8.5</v>
      </c>
    </row>
    <row r="4648" customFormat="false" ht="15" hidden="false" customHeight="false" outlineLevel="0" collapsed="false">
      <c r="A4648" s="9" t="s">
        <v>1830</v>
      </c>
      <c r="B4648" s="9" t="s">
        <v>452</v>
      </c>
      <c r="C4648" s="9" t="n">
        <v>8</v>
      </c>
      <c r="D4648" s="10" t="n">
        <v>6.75</v>
      </c>
      <c r="E4648" s="10" t="n">
        <f aca="false">C4648*D4648</f>
        <v>54</v>
      </c>
    </row>
    <row r="4649" customFormat="false" ht="15" hidden="false" customHeight="false" outlineLevel="0" collapsed="false">
      <c r="A4649" s="9" t="s">
        <v>1830</v>
      </c>
      <c r="B4649" s="9" t="s">
        <v>608</v>
      </c>
      <c r="C4649" s="9" t="n">
        <v>10</v>
      </c>
      <c r="D4649" s="10" t="n">
        <v>1.65</v>
      </c>
      <c r="E4649" s="10" t="n">
        <f aca="false">C4649*D4649</f>
        <v>16.5</v>
      </c>
    </row>
    <row r="4650" customFormat="false" ht="15" hidden="false" customHeight="false" outlineLevel="0" collapsed="false">
      <c r="A4650" s="9" t="s">
        <v>1830</v>
      </c>
      <c r="B4650" s="9" t="s">
        <v>73</v>
      </c>
      <c r="C4650" s="9" t="n">
        <v>12</v>
      </c>
      <c r="D4650" s="10" t="n">
        <v>1.65</v>
      </c>
      <c r="E4650" s="10" t="n">
        <f aca="false">C4650*D4650</f>
        <v>19.8</v>
      </c>
    </row>
    <row r="4651" customFormat="false" ht="15" hidden="false" customHeight="false" outlineLevel="0" collapsed="false">
      <c r="A4651" s="9" t="s">
        <v>1830</v>
      </c>
      <c r="B4651" s="9" t="s">
        <v>215</v>
      </c>
      <c r="C4651" s="9" t="n">
        <v>4</v>
      </c>
      <c r="D4651" s="10" t="n">
        <v>8.5</v>
      </c>
      <c r="E4651" s="10" t="n">
        <f aca="false">C4651*D4651</f>
        <v>34</v>
      </c>
    </row>
    <row r="4652" customFormat="false" ht="15" hidden="false" customHeight="false" outlineLevel="0" collapsed="false">
      <c r="A4652" s="9" t="s">
        <v>1830</v>
      </c>
      <c r="B4652" s="9" t="s">
        <v>337</v>
      </c>
      <c r="C4652" s="9" t="n">
        <v>4</v>
      </c>
      <c r="D4652" s="10" t="n">
        <v>4.65</v>
      </c>
      <c r="E4652" s="10" t="n">
        <f aca="false">C4652*D4652</f>
        <v>18.6</v>
      </c>
    </row>
    <row r="4653" customFormat="false" ht="15" hidden="false" customHeight="false" outlineLevel="0" collapsed="false">
      <c r="A4653" s="9" t="s">
        <v>1831</v>
      </c>
      <c r="B4653" s="9" t="s">
        <v>515</v>
      </c>
      <c r="C4653" s="9" t="n">
        <v>6</v>
      </c>
      <c r="D4653" s="10" t="n">
        <v>3.75</v>
      </c>
      <c r="E4653" s="10" t="n">
        <f aca="false">C4653*D4653</f>
        <v>22.5</v>
      </c>
    </row>
    <row r="4654" customFormat="false" ht="15" hidden="false" customHeight="false" outlineLevel="0" collapsed="false">
      <c r="A4654" s="9" t="s">
        <v>1832</v>
      </c>
      <c r="B4654" s="9" t="s">
        <v>1376</v>
      </c>
      <c r="C4654" s="9" t="n">
        <v>17</v>
      </c>
      <c r="D4654" s="10" t="n">
        <v>3.75</v>
      </c>
      <c r="E4654" s="10" t="n">
        <f aca="false">C4654*D4654</f>
        <v>63.75</v>
      </c>
    </row>
    <row r="4655" customFormat="false" ht="15" hidden="false" customHeight="false" outlineLevel="0" collapsed="false">
      <c r="A4655" s="9" t="s">
        <v>1832</v>
      </c>
      <c r="B4655" s="9" t="s">
        <v>842</v>
      </c>
      <c r="C4655" s="9" t="n">
        <v>12</v>
      </c>
      <c r="D4655" s="10" t="n">
        <v>3.75</v>
      </c>
      <c r="E4655" s="10" t="n">
        <f aca="false">C4655*D4655</f>
        <v>45</v>
      </c>
    </row>
    <row r="4656" customFormat="false" ht="15" hidden="false" customHeight="false" outlineLevel="0" collapsed="false">
      <c r="A4656" s="9" t="s">
        <v>1832</v>
      </c>
      <c r="B4656" s="9" t="s">
        <v>841</v>
      </c>
      <c r="C4656" s="9" t="n">
        <v>6</v>
      </c>
      <c r="D4656" s="10" t="n">
        <v>3.75</v>
      </c>
      <c r="E4656" s="10" t="n">
        <f aca="false">C4656*D4656</f>
        <v>22.5</v>
      </c>
    </row>
    <row r="4657" customFormat="false" ht="15" hidden="false" customHeight="false" outlineLevel="0" collapsed="false">
      <c r="A4657" s="9" t="s">
        <v>1832</v>
      </c>
      <c r="B4657" s="9" t="s">
        <v>59</v>
      </c>
      <c r="C4657" s="9" t="n">
        <v>48</v>
      </c>
      <c r="D4657" s="10" t="n">
        <v>1.69</v>
      </c>
      <c r="E4657" s="10" t="n">
        <f aca="false">C4657*D4657</f>
        <v>81.12</v>
      </c>
    </row>
    <row r="4658" customFormat="false" ht="15" hidden="false" customHeight="false" outlineLevel="0" collapsed="false">
      <c r="A4658" s="9" t="s">
        <v>1832</v>
      </c>
      <c r="B4658" s="9" t="s">
        <v>163</v>
      </c>
      <c r="C4658" s="9" t="n">
        <v>2</v>
      </c>
      <c r="D4658" s="10" t="n">
        <v>2.95</v>
      </c>
      <c r="E4658" s="10" t="n">
        <f aca="false">C4658*D4658</f>
        <v>5.9</v>
      </c>
    </row>
    <row r="4659" customFormat="false" ht="15" hidden="false" customHeight="false" outlineLevel="0" collapsed="false">
      <c r="A4659" s="9" t="s">
        <v>1832</v>
      </c>
      <c r="B4659" s="9" t="s">
        <v>722</v>
      </c>
      <c r="C4659" s="9" t="n">
        <v>6</v>
      </c>
      <c r="D4659" s="10" t="n">
        <v>2.95</v>
      </c>
      <c r="E4659" s="10" t="n">
        <f aca="false">C4659*D4659</f>
        <v>17.7</v>
      </c>
    </row>
    <row r="4660" customFormat="false" ht="15" hidden="false" customHeight="false" outlineLevel="0" collapsed="false">
      <c r="A4660" s="9" t="s">
        <v>1832</v>
      </c>
      <c r="B4660" s="9" t="s">
        <v>447</v>
      </c>
      <c r="C4660" s="9" t="n">
        <v>72</v>
      </c>
      <c r="D4660" s="10" t="n">
        <v>1.25</v>
      </c>
      <c r="E4660" s="10" t="n">
        <f aca="false">C4660*D4660</f>
        <v>90</v>
      </c>
    </row>
    <row r="4661" customFormat="false" ht="15" hidden="false" customHeight="false" outlineLevel="0" collapsed="false">
      <c r="A4661" s="9" t="s">
        <v>1832</v>
      </c>
      <c r="B4661" s="9" t="s">
        <v>1119</v>
      </c>
      <c r="C4661" s="9" t="n">
        <v>10</v>
      </c>
      <c r="D4661" s="10" t="n">
        <v>1.45</v>
      </c>
      <c r="E4661" s="10" t="n">
        <f aca="false">C4661*D4661</f>
        <v>14.5</v>
      </c>
    </row>
    <row r="4662" customFormat="false" ht="15" hidden="false" customHeight="false" outlineLevel="0" collapsed="false">
      <c r="A4662" s="9" t="s">
        <v>1832</v>
      </c>
      <c r="B4662" s="9" t="s">
        <v>768</v>
      </c>
      <c r="C4662" s="9" t="n">
        <v>8</v>
      </c>
      <c r="D4662" s="10" t="n">
        <v>3.95</v>
      </c>
      <c r="E4662" s="10" t="n">
        <f aca="false">C4662*D4662</f>
        <v>31.6</v>
      </c>
    </row>
    <row r="4663" customFormat="false" ht="15" hidden="false" customHeight="false" outlineLevel="0" collapsed="false">
      <c r="A4663" s="9" t="s">
        <v>1832</v>
      </c>
      <c r="B4663" s="9" t="s">
        <v>136</v>
      </c>
      <c r="C4663" s="9" t="n">
        <v>12</v>
      </c>
      <c r="D4663" s="10" t="n">
        <v>5.95</v>
      </c>
      <c r="E4663" s="10" t="n">
        <f aca="false">C4663*D4663</f>
        <v>71.4</v>
      </c>
    </row>
    <row r="4664" customFormat="false" ht="15" hidden="false" customHeight="false" outlineLevel="0" collapsed="false">
      <c r="A4664" s="9" t="s">
        <v>1832</v>
      </c>
      <c r="B4664" s="9" t="s">
        <v>98</v>
      </c>
      <c r="C4664" s="9" t="n">
        <v>12</v>
      </c>
      <c r="D4664" s="10" t="n">
        <v>5.95</v>
      </c>
      <c r="E4664" s="10" t="n">
        <f aca="false">C4664*D4664</f>
        <v>71.4</v>
      </c>
    </row>
    <row r="4665" customFormat="false" ht="15" hidden="false" customHeight="false" outlineLevel="0" collapsed="false">
      <c r="A4665" s="9" t="s">
        <v>1832</v>
      </c>
      <c r="B4665" s="9" t="s">
        <v>464</v>
      </c>
      <c r="C4665" s="9" t="n">
        <v>6</v>
      </c>
      <c r="D4665" s="10" t="n">
        <v>2.95</v>
      </c>
      <c r="E4665" s="10" t="n">
        <f aca="false">C4665*D4665</f>
        <v>17.7</v>
      </c>
    </row>
    <row r="4666" customFormat="false" ht="15" hidden="false" customHeight="false" outlineLevel="0" collapsed="false">
      <c r="A4666" s="9" t="s">
        <v>1832</v>
      </c>
      <c r="B4666" s="9" t="s">
        <v>262</v>
      </c>
      <c r="C4666" s="9" t="n">
        <v>36</v>
      </c>
      <c r="D4666" s="10" t="n">
        <v>2.95</v>
      </c>
      <c r="E4666" s="10" t="n">
        <f aca="false">C4666*D4666</f>
        <v>106.2</v>
      </c>
    </row>
    <row r="4667" customFormat="false" ht="15" hidden="false" customHeight="false" outlineLevel="0" collapsed="false">
      <c r="A4667" s="9" t="s">
        <v>1832</v>
      </c>
      <c r="B4667" s="9" t="s">
        <v>1516</v>
      </c>
      <c r="C4667" s="9" t="n">
        <v>10</v>
      </c>
      <c r="D4667" s="10" t="n">
        <v>6.75</v>
      </c>
      <c r="E4667" s="10" t="n">
        <f aca="false">C4667*D4667</f>
        <v>67.5</v>
      </c>
    </row>
    <row r="4668" customFormat="false" ht="15" hidden="false" customHeight="false" outlineLevel="0" collapsed="false">
      <c r="A4668" s="9" t="s">
        <v>1832</v>
      </c>
      <c r="B4668" s="9" t="s">
        <v>1413</v>
      </c>
      <c r="C4668" s="9" t="n">
        <v>24</v>
      </c>
      <c r="D4668" s="10" t="n">
        <v>3.39</v>
      </c>
      <c r="E4668" s="10" t="n">
        <f aca="false">C4668*D4668</f>
        <v>81.36</v>
      </c>
    </row>
    <row r="4669" customFormat="false" ht="15" hidden="false" customHeight="false" outlineLevel="0" collapsed="false">
      <c r="A4669" s="9" t="s">
        <v>1832</v>
      </c>
      <c r="B4669" s="9" t="s">
        <v>1571</v>
      </c>
      <c r="C4669" s="9" t="n">
        <v>12</v>
      </c>
      <c r="D4669" s="10" t="n">
        <v>7.65</v>
      </c>
      <c r="E4669" s="10" t="n">
        <f aca="false">C4669*D4669</f>
        <v>91.8</v>
      </c>
    </row>
    <row r="4670" customFormat="false" ht="15" hidden="false" customHeight="false" outlineLevel="0" collapsed="false">
      <c r="A4670" s="9" t="s">
        <v>1832</v>
      </c>
      <c r="B4670" s="9" t="s">
        <v>140</v>
      </c>
      <c r="C4670" s="9" t="n">
        <v>24</v>
      </c>
      <c r="D4670" s="10" t="n">
        <v>3.39</v>
      </c>
      <c r="E4670" s="10" t="n">
        <f aca="false">C4670*D4670</f>
        <v>81.36</v>
      </c>
    </row>
    <row r="4671" customFormat="false" ht="15" hidden="false" customHeight="false" outlineLevel="0" collapsed="false">
      <c r="A4671" s="9" t="s">
        <v>1832</v>
      </c>
      <c r="B4671" s="9" t="s">
        <v>83</v>
      </c>
      <c r="C4671" s="9" t="n">
        <v>6</v>
      </c>
      <c r="D4671" s="10" t="n">
        <v>2.95</v>
      </c>
      <c r="E4671" s="10" t="n">
        <f aca="false">C4671*D4671</f>
        <v>17.7</v>
      </c>
    </row>
    <row r="4672" customFormat="false" ht="15" hidden="false" customHeight="false" outlineLevel="0" collapsed="false">
      <c r="A4672" s="9" t="s">
        <v>1832</v>
      </c>
      <c r="B4672" s="9" t="s">
        <v>41</v>
      </c>
      <c r="C4672" s="9" t="n">
        <v>48</v>
      </c>
      <c r="D4672" s="10" t="n">
        <v>3.39</v>
      </c>
      <c r="E4672" s="10" t="n">
        <f aca="false">C4672*D4672</f>
        <v>162.72</v>
      </c>
    </row>
    <row r="4673" customFormat="false" ht="15" hidden="false" customHeight="false" outlineLevel="0" collapsed="false">
      <c r="A4673" s="9" t="s">
        <v>1832</v>
      </c>
      <c r="B4673" s="9" t="s">
        <v>613</v>
      </c>
      <c r="C4673" s="9" t="n">
        <v>16</v>
      </c>
      <c r="D4673" s="10" t="n">
        <v>10.95</v>
      </c>
      <c r="E4673" s="10" t="n">
        <f aca="false">C4673*D4673</f>
        <v>175.2</v>
      </c>
    </row>
    <row r="4674" customFormat="false" ht="15" hidden="false" customHeight="false" outlineLevel="0" collapsed="false">
      <c r="A4674" s="9" t="s">
        <v>1832</v>
      </c>
      <c r="B4674" s="9" t="s">
        <v>97</v>
      </c>
      <c r="C4674" s="9" t="n">
        <v>72</v>
      </c>
      <c r="D4674" s="10" t="n">
        <v>1.06</v>
      </c>
      <c r="E4674" s="10" t="n">
        <f aca="false">C4674*D4674</f>
        <v>76.32</v>
      </c>
    </row>
    <row r="4675" customFormat="false" ht="15" hidden="false" customHeight="false" outlineLevel="0" collapsed="false">
      <c r="A4675" s="9" t="s">
        <v>1832</v>
      </c>
      <c r="B4675" s="9" t="s">
        <v>863</v>
      </c>
      <c r="C4675" s="9" t="n">
        <v>10</v>
      </c>
      <c r="D4675" s="10" t="n">
        <v>6.75</v>
      </c>
      <c r="E4675" s="10" t="n">
        <f aca="false">C4675*D4675</f>
        <v>67.5</v>
      </c>
    </row>
    <row r="4676" customFormat="false" ht="15" hidden="false" customHeight="false" outlineLevel="0" collapsed="false">
      <c r="A4676" s="9" t="s">
        <v>1832</v>
      </c>
      <c r="B4676" s="9" t="s">
        <v>874</v>
      </c>
      <c r="C4676" s="9" t="n">
        <v>10</v>
      </c>
      <c r="D4676" s="10" t="n">
        <v>6.75</v>
      </c>
      <c r="E4676" s="10" t="n">
        <f aca="false">C4676*D4676</f>
        <v>67.5</v>
      </c>
    </row>
    <row r="4677" customFormat="false" ht="15" hidden="false" customHeight="false" outlineLevel="0" collapsed="false">
      <c r="A4677" s="9" t="s">
        <v>1832</v>
      </c>
      <c r="B4677" s="9" t="s">
        <v>167</v>
      </c>
      <c r="C4677" s="9" t="n">
        <v>4</v>
      </c>
      <c r="D4677" s="10" t="n">
        <v>5.95</v>
      </c>
      <c r="E4677" s="10" t="n">
        <f aca="false">C4677*D4677</f>
        <v>23.8</v>
      </c>
    </row>
    <row r="4678" customFormat="false" ht="15" hidden="false" customHeight="false" outlineLevel="0" collapsed="false">
      <c r="A4678" s="9" t="s">
        <v>1832</v>
      </c>
      <c r="B4678" s="9" t="s">
        <v>40</v>
      </c>
      <c r="C4678" s="9" t="n">
        <v>48</v>
      </c>
      <c r="D4678" s="10" t="n">
        <v>3.39</v>
      </c>
      <c r="E4678" s="10" t="n">
        <f aca="false">C4678*D4678</f>
        <v>162.72</v>
      </c>
    </row>
    <row r="4679" customFormat="false" ht="15" hidden="false" customHeight="false" outlineLevel="0" collapsed="false">
      <c r="A4679" s="9" t="s">
        <v>1833</v>
      </c>
      <c r="B4679" s="9" t="s">
        <v>1045</v>
      </c>
      <c r="C4679" s="9" t="n">
        <v>12</v>
      </c>
      <c r="D4679" s="10" t="n">
        <v>1.25</v>
      </c>
      <c r="E4679" s="10" t="n">
        <f aca="false">C4679*D4679</f>
        <v>15</v>
      </c>
    </row>
    <row r="4680" customFormat="false" ht="15" hidden="false" customHeight="false" outlineLevel="0" collapsed="false">
      <c r="A4680" s="9" t="s">
        <v>1833</v>
      </c>
      <c r="B4680" s="9" t="s">
        <v>252</v>
      </c>
      <c r="C4680" s="9" t="n">
        <v>24</v>
      </c>
      <c r="D4680" s="10" t="n">
        <v>2.1</v>
      </c>
      <c r="E4680" s="10" t="n">
        <f aca="false">C4680*D4680</f>
        <v>50.4</v>
      </c>
    </row>
    <row r="4681" customFormat="false" ht="15" hidden="false" customHeight="false" outlineLevel="0" collapsed="false">
      <c r="A4681" s="9" t="s">
        <v>1833</v>
      </c>
      <c r="B4681" s="9" t="s">
        <v>1468</v>
      </c>
      <c r="C4681" s="9" t="n">
        <v>24</v>
      </c>
      <c r="D4681" s="10" t="n">
        <v>2.1</v>
      </c>
      <c r="E4681" s="10" t="n">
        <f aca="false">C4681*D4681</f>
        <v>50.4</v>
      </c>
    </row>
    <row r="4682" customFormat="false" ht="15" hidden="false" customHeight="false" outlineLevel="0" collapsed="false">
      <c r="A4682" s="9" t="s">
        <v>1833</v>
      </c>
      <c r="B4682" s="9" t="s">
        <v>1448</v>
      </c>
      <c r="C4682" s="9" t="n">
        <v>12</v>
      </c>
      <c r="D4682" s="10" t="n">
        <v>1.25</v>
      </c>
      <c r="E4682" s="10" t="n">
        <f aca="false">C4682*D4682</f>
        <v>15</v>
      </c>
    </row>
    <row r="4683" customFormat="false" ht="15" hidden="false" customHeight="false" outlineLevel="0" collapsed="false">
      <c r="A4683" s="9" t="s">
        <v>1833</v>
      </c>
      <c r="B4683" s="9" t="s">
        <v>1834</v>
      </c>
      <c r="C4683" s="9" t="n">
        <v>12</v>
      </c>
      <c r="D4683" s="10" t="n">
        <v>1.25</v>
      </c>
      <c r="E4683" s="10" t="n">
        <f aca="false">C4683*D4683</f>
        <v>15</v>
      </c>
    </row>
    <row r="4684" customFormat="false" ht="15" hidden="false" customHeight="false" outlineLevel="0" collapsed="false">
      <c r="A4684" s="9" t="s">
        <v>1833</v>
      </c>
      <c r="B4684" s="9" t="s">
        <v>1835</v>
      </c>
      <c r="C4684" s="9" t="n">
        <v>12</v>
      </c>
      <c r="D4684" s="10" t="n">
        <v>1.25</v>
      </c>
      <c r="E4684" s="10" t="n">
        <f aca="false">C4684*D4684</f>
        <v>15</v>
      </c>
    </row>
    <row r="4685" customFormat="false" ht="15" hidden="false" customHeight="false" outlineLevel="0" collapsed="false">
      <c r="A4685" s="9" t="s">
        <v>1833</v>
      </c>
      <c r="B4685" s="9" t="s">
        <v>250</v>
      </c>
      <c r="C4685" s="9" t="n">
        <v>12</v>
      </c>
      <c r="D4685" s="10" t="n">
        <v>1.49</v>
      </c>
      <c r="E4685" s="10" t="n">
        <f aca="false">C4685*D4685</f>
        <v>17.88</v>
      </c>
    </row>
    <row r="4686" customFormat="false" ht="15" hidden="false" customHeight="false" outlineLevel="0" collapsed="false">
      <c r="A4686" s="9" t="s">
        <v>1833</v>
      </c>
      <c r="B4686" s="9" t="s">
        <v>800</v>
      </c>
      <c r="C4686" s="9" t="n">
        <v>12</v>
      </c>
      <c r="D4686" s="10" t="n">
        <v>1.25</v>
      </c>
      <c r="E4686" s="10" t="n">
        <f aca="false">C4686*D4686</f>
        <v>15</v>
      </c>
    </row>
    <row r="4687" customFormat="false" ht="15" hidden="false" customHeight="false" outlineLevel="0" collapsed="false">
      <c r="A4687" s="9" t="s">
        <v>1833</v>
      </c>
      <c r="B4687" s="9" t="s">
        <v>1775</v>
      </c>
      <c r="C4687" s="9" t="n">
        <v>12</v>
      </c>
      <c r="D4687" s="10" t="n">
        <v>0.75</v>
      </c>
      <c r="E4687" s="10" t="n">
        <f aca="false">C4687*D4687</f>
        <v>9</v>
      </c>
    </row>
    <row r="4688" customFormat="false" ht="15" hidden="false" customHeight="false" outlineLevel="0" collapsed="false">
      <c r="A4688" s="9" t="s">
        <v>1833</v>
      </c>
      <c r="B4688" s="9" t="s">
        <v>97</v>
      </c>
      <c r="C4688" s="9" t="n">
        <v>12</v>
      </c>
      <c r="D4688" s="10" t="n">
        <v>1.25</v>
      </c>
      <c r="E4688" s="10" t="n">
        <f aca="false">C4688*D4688</f>
        <v>15</v>
      </c>
    </row>
    <row r="4689" customFormat="false" ht="15" hidden="false" customHeight="false" outlineLevel="0" collapsed="false">
      <c r="A4689" s="9" t="s">
        <v>1833</v>
      </c>
      <c r="B4689" s="9" t="s">
        <v>1551</v>
      </c>
      <c r="C4689" s="9" t="n">
        <v>24</v>
      </c>
      <c r="D4689" s="10" t="n">
        <v>0.85</v>
      </c>
      <c r="E4689" s="10" t="n">
        <f aca="false">C4689*D4689</f>
        <v>20.4</v>
      </c>
    </row>
    <row r="4690" customFormat="false" ht="15" hidden="false" customHeight="false" outlineLevel="0" collapsed="false">
      <c r="A4690" s="9" t="s">
        <v>1833</v>
      </c>
      <c r="B4690" s="9" t="s">
        <v>817</v>
      </c>
      <c r="C4690" s="9" t="n">
        <v>12</v>
      </c>
      <c r="D4690" s="10" t="n">
        <v>1.65</v>
      </c>
      <c r="E4690" s="10" t="n">
        <f aca="false">C4690*D4690</f>
        <v>19.8</v>
      </c>
    </row>
    <row r="4691" customFormat="false" ht="15" hidden="false" customHeight="false" outlineLevel="0" collapsed="false">
      <c r="A4691" s="9" t="s">
        <v>1833</v>
      </c>
      <c r="B4691" s="9" t="s">
        <v>727</v>
      </c>
      <c r="C4691" s="9" t="n">
        <v>24</v>
      </c>
      <c r="D4691" s="10" t="n">
        <v>0.65</v>
      </c>
      <c r="E4691" s="10" t="n">
        <f aca="false">C4691*D4691</f>
        <v>15.6</v>
      </c>
    </row>
    <row r="4692" customFormat="false" ht="15" hidden="false" customHeight="false" outlineLevel="0" collapsed="false">
      <c r="A4692" s="9" t="s">
        <v>1833</v>
      </c>
      <c r="B4692" s="9" t="s">
        <v>725</v>
      </c>
      <c r="C4692" s="9" t="n">
        <v>24</v>
      </c>
      <c r="D4692" s="10" t="n">
        <v>0.65</v>
      </c>
      <c r="E4692" s="10" t="n">
        <f aca="false">C4692*D4692</f>
        <v>15.6</v>
      </c>
    </row>
    <row r="4693" customFormat="false" ht="15" hidden="false" customHeight="false" outlineLevel="0" collapsed="false">
      <c r="A4693" s="9" t="s">
        <v>1833</v>
      </c>
      <c r="B4693" s="9" t="s">
        <v>707</v>
      </c>
      <c r="C4693" s="9" t="n">
        <v>12</v>
      </c>
      <c r="D4693" s="10" t="n">
        <v>1.25</v>
      </c>
      <c r="E4693" s="10" t="n">
        <f aca="false">C4693*D4693</f>
        <v>15</v>
      </c>
    </row>
    <row r="4694" customFormat="false" ht="15" hidden="false" customHeight="false" outlineLevel="0" collapsed="false">
      <c r="A4694" s="9" t="s">
        <v>1833</v>
      </c>
      <c r="B4694" s="9" t="s">
        <v>1051</v>
      </c>
      <c r="C4694" s="9" t="n">
        <v>12</v>
      </c>
      <c r="D4694" s="10" t="n">
        <v>1.25</v>
      </c>
      <c r="E4694" s="10" t="n">
        <f aca="false">C4694*D4694</f>
        <v>15</v>
      </c>
    </row>
    <row r="4695" customFormat="false" ht="15" hidden="false" customHeight="false" outlineLevel="0" collapsed="false">
      <c r="A4695" s="9" t="s">
        <v>1833</v>
      </c>
      <c r="B4695" s="9" t="s">
        <v>69</v>
      </c>
      <c r="C4695" s="9" t="n">
        <v>72</v>
      </c>
      <c r="D4695" s="10" t="n">
        <v>0.65</v>
      </c>
      <c r="E4695" s="10" t="n">
        <f aca="false">C4695*D4695</f>
        <v>46.8</v>
      </c>
    </row>
    <row r="4696" customFormat="false" ht="15" hidden="false" customHeight="false" outlineLevel="0" collapsed="false">
      <c r="A4696" s="9" t="s">
        <v>1833</v>
      </c>
      <c r="B4696" s="9" t="s">
        <v>504</v>
      </c>
      <c r="C4696" s="9" t="n">
        <v>12</v>
      </c>
      <c r="D4696" s="10" t="n">
        <v>0.85</v>
      </c>
      <c r="E4696" s="10" t="n">
        <f aca="false">C4696*D4696</f>
        <v>10.2</v>
      </c>
    </row>
    <row r="4697" customFormat="false" ht="15" hidden="false" customHeight="false" outlineLevel="0" collapsed="false">
      <c r="A4697" s="9" t="s">
        <v>1833</v>
      </c>
      <c r="B4697" s="9" t="s">
        <v>1836</v>
      </c>
      <c r="C4697" s="9" t="n">
        <v>24</v>
      </c>
      <c r="D4697" s="10" t="n">
        <v>0.85</v>
      </c>
      <c r="E4697" s="10" t="n">
        <f aca="false">C4697*D4697</f>
        <v>20.4</v>
      </c>
    </row>
    <row r="4698" customFormat="false" ht="15" hidden="false" customHeight="false" outlineLevel="0" collapsed="false">
      <c r="A4698" s="9" t="s">
        <v>1833</v>
      </c>
      <c r="B4698" s="9" t="s">
        <v>816</v>
      </c>
      <c r="C4698" s="9" t="n">
        <v>24</v>
      </c>
      <c r="D4698" s="10" t="n">
        <v>0.42</v>
      </c>
      <c r="E4698" s="10" t="n">
        <f aca="false">C4698*D4698</f>
        <v>10.08</v>
      </c>
    </row>
    <row r="4699" customFormat="false" ht="15" hidden="false" customHeight="false" outlineLevel="0" collapsed="false">
      <c r="A4699" s="9" t="s">
        <v>1837</v>
      </c>
      <c r="B4699" s="9" t="s">
        <v>307</v>
      </c>
      <c r="C4699" s="9" t="n">
        <v>12</v>
      </c>
      <c r="D4699" s="10" t="n">
        <v>0.55</v>
      </c>
      <c r="E4699" s="10" t="n">
        <f aca="false">C4699*D4699</f>
        <v>6.6</v>
      </c>
    </row>
    <row r="4700" customFormat="false" ht="15" hidden="false" customHeight="false" outlineLevel="0" collapsed="false">
      <c r="A4700" s="9" t="s">
        <v>1837</v>
      </c>
      <c r="B4700" s="9" t="s">
        <v>329</v>
      </c>
      <c r="C4700" s="9" t="n">
        <v>12</v>
      </c>
      <c r="D4700" s="10" t="n">
        <v>0.55</v>
      </c>
      <c r="E4700" s="10" t="n">
        <f aca="false">C4700*D4700</f>
        <v>6.6</v>
      </c>
    </row>
    <row r="4701" customFormat="false" ht="15" hidden="false" customHeight="false" outlineLevel="0" collapsed="false">
      <c r="A4701" s="9" t="s">
        <v>1837</v>
      </c>
      <c r="B4701" s="9" t="s">
        <v>330</v>
      </c>
      <c r="C4701" s="9" t="n">
        <v>12</v>
      </c>
      <c r="D4701" s="10" t="n">
        <v>0.55</v>
      </c>
      <c r="E4701" s="10" t="n">
        <f aca="false">C4701*D4701</f>
        <v>6.6</v>
      </c>
    </row>
    <row r="4702" customFormat="false" ht="15" hidden="false" customHeight="false" outlineLevel="0" collapsed="false">
      <c r="A4702" s="9" t="s">
        <v>1837</v>
      </c>
      <c r="B4702" s="9" t="s">
        <v>1095</v>
      </c>
      <c r="C4702" s="9" t="n">
        <v>36</v>
      </c>
      <c r="D4702" s="10" t="n">
        <v>0.42</v>
      </c>
      <c r="E4702" s="10" t="n">
        <f aca="false">C4702*D4702</f>
        <v>15.12</v>
      </c>
    </row>
    <row r="4703" customFormat="false" ht="15" hidden="false" customHeight="false" outlineLevel="0" collapsed="false">
      <c r="A4703" s="9" t="s">
        <v>1837</v>
      </c>
      <c r="B4703" s="9" t="s">
        <v>1235</v>
      </c>
      <c r="C4703" s="9" t="n">
        <v>12</v>
      </c>
      <c r="D4703" s="10" t="n">
        <v>0.85</v>
      </c>
      <c r="E4703" s="10" t="n">
        <f aca="false">C4703*D4703</f>
        <v>10.2</v>
      </c>
    </row>
    <row r="4704" customFormat="false" ht="15" hidden="false" customHeight="false" outlineLevel="0" collapsed="false">
      <c r="A4704" s="9" t="s">
        <v>1838</v>
      </c>
      <c r="B4704" s="9" t="s">
        <v>41</v>
      </c>
      <c r="C4704" s="9" t="n">
        <v>4</v>
      </c>
      <c r="D4704" s="10" t="n">
        <v>3.75</v>
      </c>
      <c r="E4704" s="10" t="n">
        <f aca="false">C4704*D4704</f>
        <v>15</v>
      </c>
    </row>
    <row r="4705" customFormat="false" ht="15" hidden="false" customHeight="false" outlineLevel="0" collapsed="false">
      <c r="A4705" s="9" t="s">
        <v>1838</v>
      </c>
      <c r="B4705" s="9" t="s">
        <v>613</v>
      </c>
      <c r="C4705" s="9" t="n">
        <v>1</v>
      </c>
      <c r="D4705" s="10" t="n">
        <v>12.75</v>
      </c>
      <c r="E4705" s="10" t="n">
        <f aca="false">C4705*D4705</f>
        <v>12.75</v>
      </c>
    </row>
    <row r="4706" customFormat="false" ht="15" hidden="false" customHeight="false" outlineLevel="0" collapsed="false">
      <c r="A4706" s="9" t="s">
        <v>1838</v>
      </c>
      <c r="B4706" s="9" t="s">
        <v>1200</v>
      </c>
      <c r="C4706" s="9" t="n">
        <v>1</v>
      </c>
      <c r="D4706" s="10" t="n">
        <v>16.95</v>
      </c>
      <c r="E4706" s="10" t="n">
        <f aca="false">C4706*D4706</f>
        <v>16.95</v>
      </c>
    </row>
    <row r="4707" customFormat="false" ht="15" hidden="false" customHeight="false" outlineLevel="0" collapsed="false">
      <c r="A4707" s="9" t="s">
        <v>1838</v>
      </c>
      <c r="B4707" s="9" t="s">
        <v>104</v>
      </c>
      <c r="C4707" s="9" t="n">
        <v>6</v>
      </c>
      <c r="D4707" s="10" t="n">
        <v>2.95</v>
      </c>
      <c r="E4707" s="10" t="n">
        <f aca="false">C4707*D4707</f>
        <v>17.7</v>
      </c>
    </row>
    <row r="4708" customFormat="false" ht="15" hidden="false" customHeight="false" outlineLevel="0" collapsed="false">
      <c r="A4708" s="9" t="s">
        <v>1838</v>
      </c>
      <c r="B4708" s="9" t="s">
        <v>1564</v>
      </c>
      <c r="C4708" s="9" t="n">
        <v>12</v>
      </c>
      <c r="D4708" s="10" t="n">
        <v>1.25</v>
      </c>
      <c r="E4708" s="10" t="n">
        <f aca="false">C4708*D4708</f>
        <v>15</v>
      </c>
    </row>
    <row r="4709" customFormat="false" ht="15" hidden="false" customHeight="false" outlineLevel="0" collapsed="false">
      <c r="A4709" s="9" t="s">
        <v>1838</v>
      </c>
      <c r="B4709" s="9" t="s">
        <v>755</v>
      </c>
      <c r="C4709" s="9" t="n">
        <v>2</v>
      </c>
      <c r="D4709" s="10" t="n">
        <v>9.95</v>
      </c>
      <c r="E4709" s="10" t="n">
        <f aca="false">C4709*D4709</f>
        <v>19.9</v>
      </c>
    </row>
    <row r="4710" customFormat="false" ht="15" hidden="false" customHeight="false" outlineLevel="0" collapsed="false">
      <c r="A4710" s="9" t="s">
        <v>1838</v>
      </c>
      <c r="B4710" s="9" t="s">
        <v>560</v>
      </c>
      <c r="C4710" s="9" t="n">
        <v>2</v>
      </c>
      <c r="D4710" s="10" t="n">
        <v>5.95</v>
      </c>
      <c r="E4710" s="10" t="n">
        <f aca="false">C4710*D4710</f>
        <v>11.9</v>
      </c>
    </row>
    <row r="4711" customFormat="false" ht="15" hidden="false" customHeight="false" outlineLevel="0" collapsed="false">
      <c r="A4711" s="9" t="s">
        <v>1838</v>
      </c>
      <c r="B4711" s="9" t="s">
        <v>559</v>
      </c>
      <c r="C4711" s="9" t="n">
        <v>2</v>
      </c>
      <c r="D4711" s="10" t="n">
        <v>7.95</v>
      </c>
      <c r="E4711" s="10" t="n">
        <f aca="false">C4711*D4711</f>
        <v>15.9</v>
      </c>
    </row>
    <row r="4712" customFormat="false" ht="15" hidden="false" customHeight="false" outlineLevel="0" collapsed="false">
      <c r="A4712" s="9" t="s">
        <v>1838</v>
      </c>
      <c r="B4712" s="9" t="s">
        <v>416</v>
      </c>
      <c r="C4712" s="9" t="n">
        <v>8</v>
      </c>
      <c r="D4712" s="10" t="n">
        <v>3.75</v>
      </c>
      <c r="E4712" s="10" t="n">
        <f aca="false">C4712*D4712</f>
        <v>30</v>
      </c>
    </row>
    <row r="4713" customFormat="false" ht="15" hidden="false" customHeight="false" outlineLevel="0" collapsed="false">
      <c r="A4713" s="9" t="s">
        <v>1838</v>
      </c>
      <c r="B4713" s="9" t="s">
        <v>445</v>
      </c>
      <c r="C4713" s="9" t="n">
        <v>8</v>
      </c>
      <c r="D4713" s="10" t="n">
        <v>3.75</v>
      </c>
      <c r="E4713" s="10" t="n">
        <f aca="false">C4713*D4713</f>
        <v>30</v>
      </c>
    </row>
    <row r="4714" customFormat="false" ht="15" hidden="false" customHeight="false" outlineLevel="0" collapsed="false">
      <c r="A4714" s="9" t="s">
        <v>1838</v>
      </c>
      <c r="B4714" s="9" t="s">
        <v>451</v>
      </c>
      <c r="C4714" s="9" t="n">
        <v>12</v>
      </c>
      <c r="D4714" s="10" t="n">
        <v>3.75</v>
      </c>
      <c r="E4714" s="10" t="n">
        <f aca="false">C4714*D4714</f>
        <v>45</v>
      </c>
    </row>
    <row r="4715" customFormat="false" ht="15" hidden="false" customHeight="false" outlineLevel="0" collapsed="false">
      <c r="A4715" s="9" t="s">
        <v>1838</v>
      </c>
      <c r="B4715" s="9" t="s">
        <v>523</v>
      </c>
      <c r="C4715" s="9" t="n">
        <v>6</v>
      </c>
      <c r="D4715" s="10" t="n">
        <v>2.95</v>
      </c>
      <c r="E4715" s="10" t="n">
        <f aca="false">C4715*D4715</f>
        <v>17.7</v>
      </c>
    </row>
    <row r="4716" customFormat="false" ht="15" hidden="false" customHeight="false" outlineLevel="0" collapsed="false">
      <c r="A4716" s="9" t="s">
        <v>1839</v>
      </c>
      <c r="B4716" s="9" t="s">
        <v>1382</v>
      </c>
      <c r="C4716" s="9" t="n">
        <v>1824</v>
      </c>
      <c r="D4716" s="10" t="n">
        <v>0.55</v>
      </c>
      <c r="E4716" s="10" t="n">
        <f aca="false">C4716*D4716</f>
        <v>1003.2</v>
      </c>
    </row>
    <row r="4717" customFormat="false" ht="15" hidden="false" customHeight="false" outlineLevel="0" collapsed="false">
      <c r="A4717" s="9" t="s">
        <v>1840</v>
      </c>
      <c r="B4717" s="9" t="s">
        <v>881</v>
      </c>
      <c r="C4717" s="9" t="n">
        <v>204</v>
      </c>
      <c r="D4717" s="10" t="n">
        <v>1.49</v>
      </c>
      <c r="E4717" s="10" t="n">
        <f aca="false">C4717*D4717</f>
        <v>303.96</v>
      </c>
    </row>
    <row r="4718" customFormat="false" ht="15" hidden="false" customHeight="false" outlineLevel="0" collapsed="false">
      <c r="A4718" s="9" t="s">
        <v>1841</v>
      </c>
      <c r="B4718" s="9" t="s">
        <v>1842</v>
      </c>
      <c r="C4718" s="9" t="n">
        <v>69</v>
      </c>
      <c r="D4718" s="10" t="n">
        <v>7.65</v>
      </c>
      <c r="E4718" s="10" t="n">
        <f aca="false">C4718*D4718</f>
        <v>527.85</v>
      </c>
    </row>
    <row r="4719" customFormat="false" ht="15" hidden="false" customHeight="false" outlineLevel="0" collapsed="false">
      <c r="A4719" s="9" t="s">
        <v>1843</v>
      </c>
      <c r="B4719" s="9" t="s">
        <v>1180</v>
      </c>
      <c r="C4719" s="9" t="n">
        <v>2</v>
      </c>
      <c r="D4719" s="10" t="n">
        <v>1.45</v>
      </c>
      <c r="E4719" s="10" t="n">
        <f aca="false">C4719*D4719</f>
        <v>2.9</v>
      </c>
    </row>
    <row r="4720" customFormat="false" ht="15" hidden="false" customHeight="false" outlineLevel="0" collapsed="false">
      <c r="A4720" s="9" t="s">
        <v>1843</v>
      </c>
      <c r="B4720" s="9" t="s">
        <v>331</v>
      </c>
      <c r="C4720" s="9" t="n">
        <v>6</v>
      </c>
      <c r="D4720" s="10" t="n">
        <v>2.95</v>
      </c>
      <c r="E4720" s="10" t="n">
        <f aca="false">C4720*D4720</f>
        <v>17.7</v>
      </c>
    </row>
    <row r="4721" customFormat="false" ht="15" hidden="false" customHeight="false" outlineLevel="0" collapsed="false">
      <c r="A4721" s="9" t="s">
        <v>1843</v>
      </c>
      <c r="B4721" s="9" t="s">
        <v>1844</v>
      </c>
      <c r="C4721" s="9" t="n">
        <v>6</v>
      </c>
      <c r="D4721" s="10" t="n">
        <v>2.95</v>
      </c>
      <c r="E4721" s="10" t="n">
        <f aca="false">C4721*D4721</f>
        <v>17.7</v>
      </c>
    </row>
    <row r="4722" customFormat="false" ht="15" hidden="false" customHeight="false" outlineLevel="0" collapsed="false">
      <c r="A4722" s="9" t="s">
        <v>1843</v>
      </c>
      <c r="B4722" s="9" t="s">
        <v>1035</v>
      </c>
      <c r="C4722" s="9" t="n">
        <v>36</v>
      </c>
      <c r="D4722" s="10" t="n">
        <v>0.21</v>
      </c>
      <c r="E4722" s="10" t="n">
        <f aca="false">C4722*D4722</f>
        <v>7.56</v>
      </c>
    </row>
    <row r="4723" customFormat="false" ht="15" hidden="false" customHeight="false" outlineLevel="0" collapsed="false">
      <c r="A4723" s="9" t="s">
        <v>1843</v>
      </c>
      <c r="B4723" s="9" t="s">
        <v>952</v>
      </c>
      <c r="C4723" s="9" t="n">
        <v>48</v>
      </c>
      <c r="D4723" s="10" t="n">
        <v>0.42</v>
      </c>
      <c r="E4723" s="10" t="n">
        <f aca="false">C4723*D4723</f>
        <v>20.16</v>
      </c>
    </row>
    <row r="4724" customFormat="false" ht="15" hidden="false" customHeight="false" outlineLevel="0" collapsed="false">
      <c r="A4724" s="9" t="s">
        <v>1843</v>
      </c>
      <c r="B4724" s="9" t="s">
        <v>962</v>
      </c>
      <c r="C4724" s="9" t="n">
        <v>12</v>
      </c>
      <c r="D4724" s="10" t="n">
        <v>1.25</v>
      </c>
      <c r="E4724" s="10" t="n">
        <f aca="false">C4724*D4724</f>
        <v>15</v>
      </c>
    </row>
    <row r="4725" customFormat="false" ht="15" hidden="false" customHeight="false" outlineLevel="0" collapsed="false">
      <c r="A4725" s="9" t="s">
        <v>1843</v>
      </c>
      <c r="B4725" s="9" t="s">
        <v>88</v>
      </c>
      <c r="C4725" s="9" t="n">
        <v>6</v>
      </c>
      <c r="D4725" s="10" t="n">
        <v>2.95</v>
      </c>
      <c r="E4725" s="10" t="n">
        <f aca="false">C4725*D4725</f>
        <v>17.7</v>
      </c>
    </row>
    <row r="4726" customFormat="false" ht="15" hidden="false" customHeight="false" outlineLevel="0" collapsed="false">
      <c r="A4726" s="9" t="s">
        <v>1843</v>
      </c>
      <c r="B4726" s="9" t="s">
        <v>233</v>
      </c>
      <c r="C4726" s="9" t="n">
        <v>6</v>
      </c>
      <c r="D4726" s="10" t="n">
        <v>2.95</v>
      </c>
      <c r="E4726" s="10" t="n">
        <f aca="false">C4726*D4726</f>
        <v>17.7</v>
      </c>
    </row>
    <row r="4727" customFormat="false" ht="15" hidden="false" customHeight="false" outlineLevel="0" collapsed="false">
      <c r="A4727" s="9" t="s">
        <v>1843</v>
      </c>
      <c r="B4727" s="9" t="s">
        <v>1845</v>
      </c>
      <c r="C4727" s="9" t="n">
        <v>12</v>
      </c>
      <c r="D4727" s="10" t="n">
        <v>0.42</v>
      </c>
      <c r="E4727" s="10" t="n">
        <f aca="false">C4727*D4727</f>
        <v>5.04</v>
      </c>
    </row>
    <row r="4728" customFormat="false" ht="15" hidden="false" customHeight="false" outlineLevel="0" collapsed="false">
      <c r="A4728" s="9" t="s">
        <v>1843</v>
      </c>
      <c r="B4728" s="9" t="s">
        <v>964</v>
      </c>
      <c r="C4728" s="9" t="n">
        <v>6</v>
      </c>
      <c r="D4728" s="10" t="n">
        <v>2.1</v>
      </c>
      <c r="E4728" s="10" t="n">
        <f aca="false">C4728*D4728</f>
        <v>12.6</v>
      </c>
    </row>
    <row r="4729" customFormat="false" ht="15" hidden="false" customHeight="false" outlineLevel="0" collapsed="false">
      <c r="A4729" s="9" t="s">
        <v>1843</v>
      </c>
      <c r="B4729" s="9" t="s">
        <v>190</v>
      </c>
      <c r="C4729" s="9" t="n">
        <v>12</v>
      </c>
      <c r="D4729" s="10" t="n">
        <v>1.25</v>
      </c>
      <c r="E4729" s="10" t="n">
        <f aca="false">C4729*D4729</f>
        <v>15</v>
      </c>
    </row>
    <row r="4730" customFormat="false" ht="15" hidden="false" customHeight="false" outlineLevel="0" collapsed="false">
      <c r="A4730" s="9" t="s">
        <v>1843</v>
      </c>
      <c r="B4730" s="9" t="s">
        <v>1529</v>
      </c>
      <c r="C4730" s="9" t="n">
        <v>12</v>
      </c>
      <c r="D4730" s="10" t="n">
        <v>0.42</v>
      </c>
      <c r="E4730" s="10" t="n">
        <f aca="false">C4730*D4730</f>
        <v>5.04</v>
      </c>
    </row>
    <row r="4731" customFormat="false" ht="15" hidden="false" customHeight="false" outlineLevel="0" collapsed="false">
      <c r="A4731" s="9" t="s">
        <v>1843</v>
      </c>
      <c r="B4731" s="9" t="s">
        <v>1110</v>
      </c>
      <c r="C4731" s="9" t="n">
        <v>12</v>
      </c>
      <c r="D4731" s="10" t="n">
        <v>0.42</v>
      </c>
      <c r="E4731" s="10" t="n">
        <f aca="false">C4731*D4731</f>
        <v>5.04</v>
      </c>
    </row>
    <row r="4732" customFormat="false" ht="15" hidden="false" customHeight="false" outlineLevel="0" collapsed="false">
      <c r="A4732" s="9" t="s">
        <v>1843</v>
      </c>
      <c r="B4732" s="9" t="s">
        <v>1128</v>
      </c>
      <c r="C4732" s="9" t="n">
        <v>12</v>
      </c>
      <c r="D4732" s="10" t="n">
        <v>0.42</v>
      </c>
      <c r="E4732" s="10" t="n">
        <f aca="false">C4732*D4732</f>
        <v>5.04</v>
      </c>
    </row>
    <row r="4733" customFormat="false" ht="15" hidden="false" customHeight="false" outlineLevel="0" collapsed="false">
      <c r="A4733" s="9" t="s">
        <v>1843</v>
      </c>
      <c r="B4733" s="9" t="s">
        <v>1130</v>
      </c>
      <c r="C4733" s="9" t="n">
        <v>12</v>
      </c>
      <c r="D4733" s="10" t="n">
        <v>0.42</v>
      </c>
      <c r="E4733" s="10" t="n">
        <f aca="false">C4733*D4733</f>
        <v>5.04</v>
      </c>
    </row>
    <row r="4734" customFormat="false" ht="15" hidden="false" customHeight="false" outlineLevel="0" collapsed="false">
      <c r="A4734" s="9" t="s">
        <v>1843</v>
      </c>
      <c r="B4734" s="9" t="s">
        <v>232</v>
      </c>
      <c r="C4734" s="9" t="n">
        <v>24</v>
      </c>
      <c r="D4734" s="10" t="n">
        <v>0.12</v>
      </c>
      <c r="E4734" s="10" t="n">
        <f aca="false">C4734*D4734</f>
        <v>2.88</v>
      </c>
    </row>
    <row r="4735" customFormat="false" ht="15" hidden="false" customHeight="false" outlineLevel="0" collapsed="false">
      <c r="A4735" s="9" t="s">
        <v>1843</v>
      </c>
      <c r="B4735" s="9" t="s">
        <v>1308</v>
      </c>
      <c r="C4735" s="9" t="n">
        <v>6</v>
      </c>
      <c r="D4735" s="10" t="n">
        <v>2.95</v>
      </c>
      <c r="E4735" s="10" t="n">
        <f aca="false">C4735*D4735</f>
        <v>17.7</v>
      </c>
    </row>
    <row r="4736" customFormat="false" ht="15" hidden="false" customHeight="false" outlineLevel="0" collapsed="false">
      <c r="A4736" s="9" t="s">
        <v>1846</v>
      </c>
      <c r="B4736" s="9" t="s">
        <v>726</v>
      </c>
      <c r="C4736" s="9" t="n">
        <v>4</v>
      </c>
      <c r="D4736" s="10" t="n">
        <v>4.25</v>
      </c>
      <c r="E4736" s="10" t="n">
        <f aca="false">C4736*D4736</f>
        <v>17</v>
      </c>
    </row>
    <row r="4737" customFormat="false" ht="15" hidden="false" customHeight="false" outlineLevel="0" collapsed="false">
      <c r="A4737" s="9" t="s">
        <v>1846</v>
      </c>
      <c r="B4737" s="9" t="s">
        <v>363</v>
      </c>
      <c r="C4737" s="9" t="n">
        <v>12</v>
      </c>
      <c r="D4737" s="10" t="n">
        <v>2.95</v>
      </c>
      <c r="E4737" s="10" t="n">
        <f aca="false">C4737*D4737</f>
        <v>35.4</v>
      </c>
    </row>
    <row r="4738" customFormat="false" ht="15" hidden="false" customHeight="false" outlineLevel="0" collapsed="false">
      <c r="A4738" s="9" t="s">
        <v>1846</v>
      </c>
      <c r="B4738" s="9" t="s">
        <v>447</v>
      </c>
      <c r="C4738" s="9" t="n">
        <v>12</v>
      </c>
      <c r="D4738" s="10" t="n">
        <v>1.25</v>
      </c>
      <c r="E4738" s="10" t="n">
        <f aca="false">C4738*D4738</f>
        <v>15</v>
      </c>
    </row>
    <row r="4739" customFormat="false" ht="15" hidden="false" customHeight="false" outlineLevel="0" collapsed="false">
      <c r="A4739" s="9" t="s">
        <v>1846</v>
      </c>
      <c r="B4739" s="9" t="s">
        <v>732</v>
      </c>
      <c r="C4739" s="9" t="n">
        <v>2</v>
      </c>
      <c r="D4739" s="10" t="n">
        <v>8.5</v>
      </c>
      <c r="E4739" s="10" t="n">
        <f aca="false">C4739*D4739</f>
        <v>17</v>
      </c>
    </row>
    <row r="4740" customFormat="false" ht="15" hidden="false" customHeight="false" outlineLevel="0" collapsed="false">
      <c r="A4740" s="9" t="s">
        <v>1846</v>
      </c>
      <c r="B4740" s="9" t="s">
        <v>733</v>
      </c>
      <c r="C4740" s="9" t="n">
        <v>2</v>
      </c>
      <c r="D4740" s="10" t="n">
        <v>8.5</v>
      </c>
      <c r="E4740" s="10" t="n">
        <f aca="false">C4740*D4740</f>
        <v>17</v>
      </c>
    </row>
    <row r="4741" customFormat="false" ht="15" hidden="false" customHeight="false" outlineLevel="0" collapsed="false">
      <c r="A4741" s="9" t="s">
        <v>1846</v>
      </c>
      <c r="B4741" s="9" t="s">
        <v>388</v>
      </c>
      <c r="C4741" s="9" t="n">
        <v>24</v>
      </c>
      <c r="D4741" s="10" t="n">
        <v>2.1</v>
      </c>
      <c r="E4741" s="10" t="n">
        <f aca="false">C4741*D4741</f>
        <v>50.4</v>
      </c>
    </row>
    <row r="4742" customFormat="false" ht="15" hidden="false" customHeight="false" outlineLevel="0" collapsed="false">
      <c r="A4742" s="9" t="s">
        <v>1846</v>
      </c>
      <c r="B4742" s="9" t="s">
        <v>1847</v>
      </c>
      <c r="C4742" s="9" t="n">
        <v>12</v>
      </c>
      <c r="D4742" s="10" t="n">
        <v>0.85</v>
      </c>
      <c r="E4742" s="10" t="n">
        <f aca="false">C4742*D4742</f>
        <v>10.2</v>
      </c>
    </row>
    <row r="4743" customFormat="false" ht="15" hidden="false" customHeight="false" outlineLevel="0" collapsed="false">
      <c r="A4743" s="9" t="s">
        <v>1846</v>
      </c>
      <c r="B4743" s="9" t="s">
        <v>351</v>
      </c>
      <c r="C4743" s="9" t="n">
        <v>12</v>
      </c>
      <c r="D4743" s="10" t="n">
        <v>0.85</v>
      </c>
      <c r="E4743" s="10" t="n">
        <f aca="false">C4743*D4743</f>
        <v>10.2</v>
      </c>
    </row>
    <row r="4744" customFormat="false" ht="15" hidden="false" customHeight="false" outlineLevel="0" collapsed="false">
      <c r="A4744" s="9" t="s">
        <v>1846</v>
      </c>
      <c r="B4744" s="9" t="s">
        <v>115</v>
      </c>
      <c r="C4744" s="9" t="n">
        <v>24</v>
      </c>
      <c r="D4744" s="10" t="n">
        <v>0.55</v>
      </c>
      <c r="E4744" s="10" t="n">
        <f aca="false">C4744*D4744</f>
        <v>13.2</v>
      </c>
    </row>
    <row r="4745" customFormat="false" ht="15" hidden="false" customHeight="false" outlineLevel="0" collapsed="false">
      <c r="A4745" s="9" t="s">
        <v>1846</v>
      </c>
      <c r="B4745" s="9" t="s">
        <v>789</v>
      </c>
      <c r="C4745" s="9" t="n">
        <v>12</v>
      </c>
      <c r="D4745" s="10" t="n">
        <v>0.42</v>
      </c>
      <c r="E4745" s="10" t="n">
        <f aca="false">C4745*D4745</f>
        <v>5.04</v>
      </c>
    </row>
    <row r="4746" customFormat="false" ht="15" hidden="false" customHeight="false" outlineLevel="0" collapsed="false">
      <c r="A4746" s="9" t="s">
        <v>1846</v>
      </c>
      <c r="B4746" s="9" t="s">
        <v>175</v>
      </c>
      <c r="C4746" s="9" t="n">
        <v>3</v>
      </c>
      <c r="D4746" s="10" t="n">
        <v>5.95</v>
      </c>
      <c r="E4746" s="10" t="n">
        <f aca="false">C4746*D4746</f>
        <v>17.85</v>
      </c>
    </row>
    <row r="4747" customFormat="false" ht="15" hidden="false" customHeight="false" outlineLevel="0" collapsed="false">
      <c r="A4747" s="9" t="s">
        <v>1846</v>
      </c>
      <c r="B4747" s="9" t="s">
        <v>870</v>
      </c>
      <c r="C4747" s="9" t="n">
        <v>9</v>
      </c>
      <c r="D4747" s="10" t="n">
        <v>1.45</v>
      </c>
      <c r="E4747" s="10" t="n">
        <f aca="false">C4747*D4747</f>
        <v>13.05</v>
      </c>
    </row>
    <row r="4748" customFormat="false" ht="15" hidden="false" customHeight="false" outlineLevel="0" collapsed="false">
      <c r="A4748" s="9" t="s">
        <v>1846</v>
      </c>
      <c r="B4748" s="9" t="s">
        <v>1305</v>
      </c>
      <c r="C4748" s="9" t="n">
        <v>8</v>
      </c>
      <c r="D4748" s="10" t="n">
        <v>1.95</v>
      </c>
      <c r="E4748" s="10" t="n">
        <f aca="false">C4748*D4748</f>
        <v>15.6</v>
      </c>
    </row>
    <row r="4749" customFormat="false" ht="15" hidden="false" customHeight="false" outlineLevel="0" collapsed="false">
      <c r="A4749" s="9" t="s">
        <v>1846</v>
      </c>
      <c r="B4749" s="9" t="s">
        <v>347</v>
      </c>
      <c r="C4749" s="9" t="n">
        <v>24</v>
      </c>
      <c r="D4749" s="10" t="n">
        <v>0.55</v>
      </c>
      <c r="E4749" s="10" t="n">
        <f aca="false">C4749*D4749</f>
        <v>13.2</v>
      </c>
    </row>
    <row r="4750" customFormat="false" ht="15" hidden="false" customHeight="false" outlineLevel="0" collapsed="false">
      <c r="A4750" s="9" t="s">
        <v>1846</v>
      </c>
      <c r="B4750" s="9" t="s">
        <v>464</v>
      </c>
      <c r="C4750" s="9" t="n">
        <v>12</v>
      </c>
      <c r="D4750" s="10" t="n">
        <v>2.95</v>
      </c>
      <c r="E4750" s="10" t="n">
        <f aca="false">C4750*D4750</f>
        <v>35.4</v>
      </c>
    </row>
    <row r="4751" customFormat="false" ht="15" hidden="false" customHeight="false" outlineLevel="0" collapsed="false">
      <c r="A4751" s="9" t="s">
        <v>1846</v>
      </c>
      <c r="B4751" s="9" t="s">
        <v>256</v>
      </c>
      <c r="C4751" s="9" t="n">
        <v>12</v>
      </c>
      <c r="D4751" s="10" t="n">
        <v>0.42</v>
      </c>
      <c r="E4751" s="10" t="n">
        <f aca="false">C4751*D4751</f>
        <v>5.04</v>
      </c>
    </row>
    <row r="4752" customFormat="false" ht="15" hidden="false" customHeight="false" outlineLevel="0" collapsed="false">
      <c r="A4752" s="9" t="s">
        <v>1846</v>
      </c>
      <c r="B4752" s="9" t="s">
        <v>797</v>
      </c>
      <c r="C4752" s="9" t="n">
        <v>6</v>
      </c>
      <c r="D4752" s="10" t="n">
        <v>2.95</v>
      </c>
      <c r="E4752" s="10" t="n">
        <f aca="false">C4752*D4752</f>
        <v>17.7</v>
      </c>
    </row>
    <row r="4753" customFormat="false" ht="15" hidden="false" customHeight="false" outlineLevel="0" collapsed="false">
      <c r="A4753" s="9" t="s">
        <v>1848</v>
      </c>
      <c r="B4753" s="9" t="s">
        <v>75</v>
      </c>
      <c r="C4753" s="9" t="n">
        <v>1</v>
      </c>
      <c r="D4753" s="10" t="n">
        <v>1.95</v>
      </c>
      <c r="E4753" s="10" t="n">
        <f aca="false">C4753*D4753</f>
        <v>1.95</v>
      </c>
    </row>
    <row r="4754" customFormat="false" ht="15" hidden="false" customHeight="false" outlineLevel="0" collapsed="false">
      <c r="A4754" s="9" t="s">
        <v>1848</v>
      </c>
      <c r="B4754" s="9" t="s">
        <v>231</v>
      </c>
      <c r="C4754" s="9" t="n">
        <v>5</v>
      </c>
      <c r="D4754" s="10" t="n">
        <v>0.85</v>
      </c>
      <c r="E4754" s="10" t="n">
        <f aca="false">C4754*D4754</f>
        <v>4.25</v>
      </c>
    </row>
    <row r="4755" customFormat="false" ht="15" hidden="false" customHeight="false" outlineLevel="0" collapsed="false">
      <c r="A4755" s="9" t="s">
        <v>1848</v>
      </c>
      <c r="B4755" s="9" t="s">
        <v>797</v>
      </c>
      <c r="C4755" s="9" t="n">
        <v>4</v>
      </c>
      <c r="D4755" s="10" t="n">
        <v>2.95</v>
      </c>
      <c r="E4755" s="10" t="n">
        <f aca="false">C4755*D4755</f>
        <v>11.8</v>
      </c>
    </row>
    <row r="4756" customFormat="false" ht="15" hidden="false" customHeight="false" outlineLevel="0" collapsed="false">
      <c r="A4756" s="9" t="s">
        <v>1848</v>
      </c>
      <c r="B4756" s="9" t="s">
        <v>1502</v>
      </c>
      <c r="C4756" s="9" t="n">
        <v>1</v>
      </c>
      <c r="D4756" s="10" t="n">
        <v>4.95</v>
      </c>
      <c r="E4756" s="10" t="n">
        <f aca="false">C4756*D4756</f>
        <v>4.95</v>
      </c>
    </row>
    <row r="4757" customFormat="false" ht="15" hidden="false" customHeight="false" outlineLevel="0" collapsed="false">
      <c r="A4757" s="9" t="s">
        <v>1848</v>
      </c>
      <c r="B4757" s="9" t="s">
        <v>986</v>
      </c>
      <c r="C4757" s="9" t="n">
        <v>5</v>
      </c>
      <c r="D4757" s="10" t="n">
        <v>0.85</v>
      </c>
      <c r="E4757" s="10" t="n">
        <f aca="false">C4757*D4757</f>
        <v>4.25</v>
      </c>
    </row>
    <row r="4758" customFormat="false" ht="15" hidden="false" customHeight="false" outlineLevel="0" collapsed="false">
      <c r="A4758" s="9" t="s">
        <v>1848</v>
      </c>
      <c r="B4758" s="9" t="s">
        <v>1663</v>
      </c>
      <c r="C4758" s="9" t="n">
        <v>8</v>
      </c>
      <c r="D4758" s="10" t="n">
        <v>0.85</v>
      </c>
      <c r="E4758" s="10" t="n">
        <f aca="false">C4758*D4758</f>
        <v>6.8</v>
      </c>
    </row>
    <row r="4759" customFormat="false" ht="15" hidden="false" customHeight="false" outlineLevel="0" collapsed="false">
      <c r="A4759" s="9" t="s">
        <v>1848</v>
      </c>
      <c r="B4759" s="9" t="s">
        <v>1849</v>
      </c>
      <c r="C4759" s="9" t="n">
        <v>8</v>
      </c>
      <c r="D4759" s="10" t="n">
        <v>0.85</v>
      </c>
      <c r="E4759" s="10" t="n">
        <f aca="false">C4759*D4759</f>
        <v>6.8</v>
      </c>
    </row>
    <row r="4760" customFormat="false" ht="15" hidden="false" customHeight="false" outlineLevel="0" collapsed="false">
      <c r="A4760" s="9" t="s">
        <v>1848</v>
      </c>
      <c r="B4760" s="9" t="s">
        <v>222</v>
      </c>
      <c r="C4760" s="9" t="n">
        <v>6</v>
      </c>
      <c r="D4760" s="10" t="n">
        <v>0.65</v>
      </c>
      <c r="E4760" s="10" t="n">
        <f aca="false">C4760*D4760</f>
        <v>3.9</v>
      </c>
    </row>
    <row r="4761" customFormat="false" ht="15" hidden="false" customHeight="false" outlineLevel="0" collapsed="false">
      <c r="A4761" s="9" t="s">
        <v>1848</v>
      </c>
      <c r="B4761" s="9" t="s">
        <v>1462</v>
      </c>
      <c r="C4761" s="9" t="n">
        <v>2</v>
      </c>
      <c r="D4761" s="10" t="n">
        <v>4.95</v>
      </c>
      <c r="E4761" s="10" t="n">
        <f aca="false">C4761*D4761</f>
        <v>9.9</v>
      </c>
    </row>
    <row r="4762" customFormat="false" ht="15" hidden="false" customHeight="false" outlineLevel="0" collapsed="false">
      <c r="A4762" s="9" t="s">
        <v>1848</v>
      </c>
      <c r="B4762" s="9" t="s">
        <v>435</v>
      </c>
      <c r="C4762" s="9" t="n">
        <v>2</v>
      </c>
      <c r="D4762" s="10" t="n">
        <v>0.95</v>
      </c>
      <c r="E4762" s="10" t="n">
        <f aca="false">C4762*D4762</f>
        <v>1.9</v>
      </c>
    </row>
    <row r="4763" customFormat="false" ht="15" hidden="false" customHeight="false" outlineLevel="0" collapsed="false">
      <c r="A4763" s="9" t="s">
        <v>1848</v>
      </c>
      <c r="B4763" s="9" t="s">
        <v>145</v>
      </c>
      <c r="C4763" s="9" t="n">
        <v>6</v>
      </c>
      <c r="D4763" s="10" t="n">
        <v>2.95</v>
      </c>
      <c r="E4763" s="10" t="n">
        <f aca="false">C4763*D4763</f>
        <v>17.7</v>
      </c>
    </row>
    <row r="4764" customFormat="false" ht="15" hidden="false" customHeight="false" outlineLevel="0" collapsed="false">
      <c r="A4764" s="9" t="s">
        <v>1848</v>
      </c>
      <c r="B4764" s="9" t="s">
        <v>802</v>
      </c>
      <c r="C4764" s="9" t="n">
        <v>4</v>
      </c>
      <c r="D4764" s="10" t="n">
        <v>2.95</v>
      </c>
      <c r="E4764" s="10" t="n">
        <f aca="false">C4764*D4764</f>
        <v>11.8</v>
      </c>
    </row>
    <row r="4765" customFormat="false" ht="15" hidden="false" customHeight="false" outlineLevel="0" collapsed="false">
      <c r="A4765" s="9" t="s">
        <v>1848</v>
      </c>
      <c r="B4765" s="9" t="s">
        <v>1152</v>
      </c>
      <c r="C4765" s="9" t="n">
        <v>1</v>
      </c>
      <c r="D4765" s="10" t="n">
        <v>4.95</v>
      </c>
      <c r="E4765" s="10" t="n">
        <f aca="false">C4765*D4765</f>
        <v>4.95</v>
      </c>
    </row>
    <row r="4766" customFormat="false" ht="15" hidden="false" customHeight="false" outlineLevel="0" collapsed="false">
      <c r="A4766" s="9" t="s">
        <v>1848</v>
      </c>
      <c r="B4766" s="9" t="s">
        <v>868</v>
      </c>
      <c r="C4766" s="9" t="n">
        <v>1</v>
      </c>
      <c r="D4766" s="10" t="n">
        <v>1.65</v>
      </c>
      <c r="E4766" s="10" t="n">
        <f aca="false">C4766*D4766</f>
        <v>1.65</v>
      </c>
    </row>
    <row r="4767" customFormat="false" ht="15" hidden="false" customHeight="false" outlineLevel="0" collapsed="false">
      <c r="A4767" s="9" t="s">
        <v>1848</v>
      </c>
      <c r="B4767" s="9" t="s">
        <v>258</v>
      </c>
      <c r="C4767" s="9" t="n">
        <v>1</v>
      </c>
      <c r="D4767" s="10" t="n">
        <v>2.1</v>
      </c>
      <c r="E4767" s="10" t="n">
        <f aca="false">C4767*D4767</f>
        <v>2.1</v>
      </c>
    </row>
    <row r="4768" customFormat="false" ht="15" hidden="false" customHeight="false" outlineLevel="0" collapsed="false">
      <c r="A4768" s="9" t="s">
        <v>1848</v>
      </c>
      <c r="B4768" s="9" t="s">
        <v>120</v>
      </c>
      <c r="C4768" s="9" t="n">
        <v>6</v>
      </c>
      <c r="D4768" s="10" t="n">
        <v>0.85</v>
      </c>
      <c r="E4768" s="10" t="n">
        <f aca="false">C4768*D4768</f>
        <v>5.1</v>
      </c>
    </row>
    <row r="4769" customFormat="false" ht="15" hidden="false" customHeight="false" outlineLevel="0" collapsed="false">
      <c r="A4769" s="9" t="s">
        <v>1848</v>
      </c>
      <c r="B4769" s="9" t="s">
        <v>632</v>
      </c>
      <c r="C4769" s="9" t="n">
        <v>7</v>
      </c>
      <c r="D4769" s="10" t="n">
        <v>0.85</v>
      </c>
      <c r="E4769" s="10" t="n">
        <f aca="false">C4769*D4769</f>
        <v>5.95</v>
      </c>
    </row>
    <row r="4770" customFormat="false" ht="15" hidden="false" customHeight="false" outlineLevel="0" collapsed="false">
      <c r="A4770" s="9" t="s">
        <v>1848</v>
      </c>
      <c r="B4770" s="9" t="s">
        <v>462</v>
      </c>
      <c r="C4770" s="9" t="n">
        <v>1</v>
      </c>
      <c r="D4770" s="10" t="n">
        <v>1.95</v>
      </c>
      <c r="E4770" s="10" t="n">
        <f aca="false">C4770*D4770</f>
        <v>1.95</v>
      </c>
    </row>
    <row r="4771" customFormat="false" ht="15" hidden="false" customHeight="false" outlineLevel="0" collapsed="false">
      <c r="A4771" s="9" t="s">
        <v>1848</v>
      </c>
      <c r="B4771" s="9" t="s">
        <v>251</v>
      </c>
      <c r="C4771" s="9" t="n">
        <v>1</v>
      </c>
      <c r="D4771" s="10" t="n">
        <v>1.65</v>
      </c>
      <c r="E4771" s="10" t="n">
        <f aca="false">C4771*D4771</f>
        <v>1.65</v>
      </c>
    </row>
    <row r="4772" customFormat="false" ht="15" hidden="false" customHeight="false" outlineLevel="0" collapsed="false">
      <c r="A4772" s="9" t="s">
        <v>1848</v>
      </c>
      <c r="B4772" s="9" t="s">
        <v>989</v>
      </c>
      <c r="C4772" s="9" t="n">
        <v>1</v>
      </c>
      <c r="D4772" s="10" t="n">
        <v>9.95</v>
      </c>
      <c r="E4772" s="10" t="n">
        <f aca="false">C4772*D4772</f>
        <v>9.95</v>
      </c>
    </row>
    <row r="4773" customFormat="false" ht="15" hidden="false" customHeight="false" outlineLevel="0" collapsed="false">
      <c r="A4773" s="9" t="s">
        <v>1848</v>
      </c>
      <c r="B4773" s="9" t="s">
        <v>239</v>
      </c>
      <c r="C4773" s="9" t="n">
        <v>3</v>
      </c>
      <c r="D4773" s="10" t="n">
        <v>5.95</v>
      </c>
      <c r="E4773" s="10" t="n">
        <f aca="false">C4773*D4773</f>
        <v>17.85</v>
      </c>
    </row>
    <row r="4774" customFormat="false" ht="15" hidden="false" customHeight="false" outlineLevel="0" collapsed="false">
      <c r="A4774" s="9" t="s">
        <v>1848</v>
      </c>
      <c r="B4774" s="9" t="s">
        <v>229</v>
      </c>
      <c r="C4774" s="9" t="n">
        <v>3</v>
      </c>
      <c r="D4774" s="10" t="n">
        <v>0.85</v>
      </c>
      <c r="E4774" s="10" t="n">
        <f aca="false">C4774*D4774</f>
        <v>2.55</v>
      </c>
    </row>
    <row r="4775" customFormat="false" ht="15" hidden="false" customHeight="false" outlineLevel="0" collapsed="false">
      <c r="A4775" s="9" t="s">
        <v>1848</v>
      </c>
      <c r="B4775" s="9" t="s">
        <v>511</v>
      </c>
      <c r="C4775" s="9" t="n">
        <v>3</v>
      </c>
      <c r="D4775" s="10" t="n">
        <v>1.25</v>
      </c>
      <c r="E4775" s="10" t="n">
        <f aca="false">C4775*D4775</f>
        <v>3.75</v>
      </c>
    </row>
    <row r="4776" customFormat="false" ht="15" hidden="false" customHeight="false" outlineLevel="0" collapsed="false">
      <c r="A4776" s="9" t="s">
        <v>1850</v>
      </c>
      <c r="B4776" s="9" t="s">
        <v>527</v>
      </c>
      <c r="C4776" s="9" t="n">
        <v>4</v>
      </c>
      <c r="D4776" s="10" t="n">
        <v>3.75</v>
      </c>
      <c r="E4776" s="10" t="n">
        <f aca="false">C4776*D4776</f>
        <v>15</v>
      </c>
    </row>
    <row r="4777" customFormat="false" ht="15" hidden="false" customHeight="false" outlineLevel="0" collapsed="false">
      <c r="A4777" s="9" t="s">
        <v>1850</v>
      </c>
      <c r="B4777" s="9" t="s">
        <v>94</v>
      </c>
      <c r="C4777" s="9" t="n">
        <v>6</v>
      </c>
      <c r="D4777" s="10" t="n">
        <v>2.95</v>
      </c>
      <c r="E4777" s="10" t="n">
        <f aca="false">C4777*D4777</f>
        <v>17.7</v>
      </c>
    </row>
    <row r="4778" customFormat="false" ht="15" hidden="false" customHeight="false" outlineLevel="0" collapsed="false">
      <c r="A4778" s="9" t="s">
        <v>1850</v>
      </c>
      <c r="B4778" s="9" t="s">
        <v>220</v>
      </c>
      <c r="C4778" s="9" t="n">
        <v>3</v>
      </c>
      <c r="D4778" s="10" t="n">
        <v>5.95</v>
      </c>
      <c r="E4778" s="10" t="n">
        <f aca="false">C4778*D4778</f>
        <v>17.85</v>
      </c>
    </row>
    <row r="4779" customFormat="false" ht="15" hidden="false" customHeight="false" outlineLevel="0" collapsed="false">
      <c r="A4779" s="9" t="s">
        <v>1851</v>
      </c>
      <c r="B4779" s="9" t="s">
        <v>37</v>
      </c>
      <c r="C4779" s="9" t="n">
        <v>160</v>
      </c>
      <c r="D4779" s="10" t="n">
        <v>2.55</v>
      </c>
      <c r="E4779" s="10" t="n">
        <f aca="false">C4779*D4779</f>
        <v>408</v>
      </c>
    </row>
    <row r="4780" customFormat="false" ht="15" hidden="false" customHeight="false" outlineLevel="0" collapsed="false">
      <c r="A4780" s="9" t="s">
        <v>1852</v>
      </c>
      <c r="B4780" s="9" t="s">
        <v>1533</v>
      </c>
      <c r="C4780" s="9" t="n">
        <v>2880</v>
      </c>
      <c r="D4780" s="10" t="n">
        <v>0.18</v>
      </c>
      <c r="E4780" s="10" t="n">
        <f aca="false">C4780*D4780</f>
        <v>518.4</v>
      </c>
    </row>
    <row r="4781" customFormat="false" ht="15" hidden="false" customHeight="false" outlineLevel="0" collapsed="false">
      <c r="A4781" s="9" t="s">
        <v>1852</v>
      </c>
      <c r="B4781" s="9" t="s">
        <v>384</v>
      </c>
      <c r="C4781" s="9" t="n">
        <v>1400</v>
      </c>
      <c r="D4781" s="10" t="n">
        <v>1.06</v>
      </c>
      <c r="E4781" s="10" t="n">
        <f aca="false">C4781*D4781</f>
        <v>1484</v>
      </c>
    </row>
    <row r="4782" customFormat="false" ht="15" hidden="false" customHeight="false" outlineLevel="0" collapsed="false">
      <c r="A4782" s="9" t="s">
        <v>1853</v>
      </c>
      <c r="B4782" s="9" t="s">
        <v>891</v>
      </c>
      <c r="C4782" s="9" t="n">
        <v>100</v>
      </c>
      <c r="D4782" s="10" t="n">
        <v>1.65</v>
      </c>
      <c r="E4782" s="10" t="n">
        <f aca="false">C4782*D4782</f>
        <v>165</v>
      </c>
    </row>
    <row r="4783" customFormat="false" ht="15" hidden="false" customHeight="false" outlineLevel="0" collapsed="false">
      <c r="A4783" s="9" t="s">
        <v>1853</v>
      </c>
      <c r="B4783" s="9" t="s">
        <v>117</v>
      </c>
      <c r="C4783" s="9" t="n">
        <v>100</v>
      </c>
      <c r="D4783" s="10" t="n">
        <v>1.65</v>
      </c>
      <c r="E4783" s="10" t="n">
        <f aca="false">C4783*D4783</f>
        <v>165</v>
      </c>
    </row>
    <row r="4784" customFormat="false" ht="15" hidden="false" customHeight="false" outlineLevel="0" collapsed="false">
      <c r="A4784" s="9" t="s">
        <v>1853</v>
      </c>
      <c r="B4784" s="9" t="s">
        <v>1057</v>
      </c>
      <c r="C4784" s="9" t="n">
        <v>48</v>
      </c>
      <c r="D4784" s="10" t="n">
        <v>3.75</v>
      </c>
      <c r="E4784" s="10" t="n">
        <f aca="false">C4784*D4784</f>
        <v>180</v>
      </c>
    </row>
    <row r="4785" customFormat="false" ht="15" hidden="false" customHeight="false" outlineLevel="0" collapsed="false">
      <c r="A4785" s="9" t="s">
        <v>1853</v>
      </c>
      <c r="B4785" s="9" t="s">
        <v>192</v>
      </c>
      <c r="C4785" s="9" t="n">
        <v>12</v>
      </c>
      <c r="D4785" s="10" t="n">
        <v>4.95</v>
      </c>
      <c r="E4785" s="10" t="n">
        <f aca="false">C4785*D4785</f>
        <v>59.4</v>
      </c>
    </row>
    <row r="4786" customFormat="false" ht="15" hidden="false" customHeight="false" outlineLevel="0" collapsed="false">
      <c r="A4786" s="9" t="s">
        <v>1854</v>
      </c>
      <c r="B4786" s="9" t="s">
        <v>1855</v>
      </c>
      <c r="C4786" s="9" t="n">
        <v>24</v>
      </c>
      <c r="D4786" s="10" t="n">
        <v>1.25</v>
      </c>
      <c r="E4786" s="10" t="n">
        <f aca="false">C4786*D4786</f>
        <v>30</v>
      </c>
    </row>
    <row r="4787" customFormat="false" ht="15" hidden="false" customHeight="false" outlineLevel="0" collapsed="false">
      <c r="A4787" s="9" t="s">
        <v>1854</v>
      </c>
      <c r="B4787" s="9" t="s">
        <v>1856</v>
      </c>
      <c r="C4787" s="9" t="n">
        <v>12</v>
      </c>
      <c r="D4787" s="10" t="n">
        <v>1.25</v>
      </c>
      <c r="E4787" s="10" t="n">
        <f aca="false">C4787*D4787</f>
        <v>15</v>
      </c>
    </row>
    <row r="4788" customFormat="false" ht="15" hidden="false" customHeight="false" outlineLevel="0" collapsed="false">
      <c r="A4788" s="9" t="s">
        <v>1854</v>
      </c>
      <c r="B4788" s="9" t="s">
        <v>1281</v>
      </c>
      <c r="C4788" s="9" t="n">
        <v>4</v>
      </c>
      <c r="D4788" s="10" t="n">
        <v>3.25</v>
      </c>
      <c r="E4788" s="10" t="n">
        <f aca="false">C4788*D4788</f>
        <v>13</v>
      </c>
    </row>
    <row r="4789" customFormat="false" ht="15" hidden="false" customHeight="false" outlineLevel="0" collapsed="false">
      <c r="A4789" s="9" t="s">
        <v>1854</v>
      </c>
      <c r="B4789" s="9" t="s">
        <v>104</v>
      </c>
      <c r="C4789" s="9" t="n">
        <v>6</v>
      </c>
      <c r="D4789" s="10" t="n">
        <v>2.95</v>
      </c>
      <c r="E4789" s="10" t="n">
        <f aca="false">C4789*D4789</f>
        <v>17.7</v>
      </c>
    </row>
    <row r="4790" customFormat="false" ht="15" hidden="false" customHeight="false" outlineLevel="0" collapsed="false">
      <c r="A4790" s="9" t="s">
        <v>1854</v>
      </c>
      <c r="B4790" s="9" t="s">
        <v>1857</v>
      </c>
      <c r="C4790" s="9" t="n">
        <v>2</v>
      </c>
      <c r="D4790" s="10" t="n">
        <v>9.95</v>
      </c>
      <c r="E4790" s="10" t="n">
        <f aca="false">C4790*D4790</f>
        <v>19.9</v>
      </c>
    </row>
    <row r="4791" customFormat="false" ht="15" hidden="false" customHeight="false" outlineLevel="0" collapsed="false">
      <c r="A4791" s="9" t="s">
        <v>1854</v>
      </c>
      <c r="B4791" s="9" t="s">
        <v>1301</v>
      </c>
      <c r="C4791" s="9" t="n">
        <v>6</v>
      </c>
      <c r="D4791" s="10" t="n">
        <v>2.95</v>
      </c>
      <c r="E4791" s="10" t="n">
        <f aca="false">C4791*D4791</f>
        <v>17.7</v>
      </c>
    </row>
    <row r="4792" customFormat="false" ht="15" hidden="false" customHeight="false" outlineLevel="0" collapsed="false">
      <c r="A4792" s="9" t="s">
        <v>1854</v>
      </c>
      <c r="B4792" s="9" t="s">
        <v>39</v>
      </c>
      <c r="C4792" s="9" t="n">
        <v>8</v>
      </c>
      <c r="D4792" s="10" t="n">
        <v>3.25</v>
      </c>
      <c r="E4792" s="10" t="n">
        <f aca="false">C4792*D4792</f>
        <v>26</v>
      </c>
    </row>
    <row r="4793" customFormat="false" ht="15" hidden="false" customHeight="false" outlineLevel="0" collapsed="false">
      <c r="A4793" s="9" t="s">
        <v>1854</v>
      </c>
      <c r="B4793" s="9" t="s">
        <v>1858</v>
      </c>
      <c r="C4793" s="9" t="n">
        <v>2</v>
      </c>
      <c r="D4793" s="10" t="n">
        <v>12.75</v>
      </c>
      <c r="E4793" s="10" t="n">
        <f aca="false">C4793*D4793</f>
        <v>25.5</v>
      </c>
    </row>
    <row r="4794" customFormat="false" ht="15" hidden="false" customHeight="false" outlineLevel="0" collapsed="false">
      <c r="A4794" s="9" t="s">
        <v>1859</v>
      </c>
      <c r="B4794" s="9" t="s">
        <v>602</v>
      </c>
      <c r="C4794" s="9" t="n">
        <v>12</v>
      </c>
      <c r="D4794" s="10" t="n">
        <v>0.85</v>
      </c>
      <c r="E4794" s="10" t="n">
        <f aca="false">C4794*D4794</f>
        <v>10.2</v>
      </c>
    </row>
    <row r="4795" customFormat="false" ht="15" hidden="false" customHeight="false" outlineLevel="0" collapsed="false">
      <c r="A4795" s="9" t="s">
        <v>1859</v>
      </c>
      <c r="B4795" s="9" t="s">
        <v>1217</v>
      </c>
      <c r="C4795" s="9" t="n">
        <v>12</v>
      </c>
      <c r="D4795" s="10" t="n">
        <v>0.85</v>
      </c>
      <c r="E4795" s="10" t="n">
        <f aca="false">C4795*D4795</f>
        <v>10.2</v>
      </c>
    </row>
    <row r="4796" customFormat="false" ht="15" hidden="false" customHeight="false" outlineLevel="0" collapsed="false">
      <c r="A4796" s="9" t="s">
        <v>1859</v>
      </c>
      <c r="B4796" s="9" t="s">
        <v>1249</v>
      </c>
      <c r="C4796" s="9" t="n">
        <v>12</v>
      </c>
      <c r="D4796" s="10" t="n">
        <v>0.85</v>
      </c>
      <c r="E4796" s="10" t="n">
        <f aca="false">C4796*D4796</f>
        <v>10.2</v>
      </c>
    </row>
    <row r="4797" customFormat="false" ht="15" hidden="false" customHeight="false" outlineLevel="0" collapsed="false">
      <c r="A4797" s="9" t="s">
        <v>1859</v>
      </c>
      <c r="B4797" s="9" t="s">
        <v>502</v>
      </c>
      <c r="C4797" s="9" t="n">
        <v>12</v>
      </c>
      <c r="D4797" s="10" t="n">
        <v>0.85</v>
      </c>
      <c r="E4797" s="10" t="n">
        <f aca="false">C4797*D4797</f>
        <v>10.2</v>
      </c>
    </row>
    <row r="4798" customFormat="false" ht="15" hidden="false" customHeight="false" outlineLevel="0" collapsed="false">
      <c r="A4798" s="9" t="s">
        <v>1859</v>
      </c>
      <c r="B4798" s="9" t="s">
        <v>501</v>
      </c>
      <c r="C4798" s="9" t="n">
        <v>12</v>
      </c>
      <c r="D4798" s="10" t="n">
        <v>0.85</v>
      </c>
      <c r="E4798" s="10" t="n">
        <f aca="false">C4798*D4798</f>
        <v>10.2</v>
      </c>
    </row>
    <row r="4799" customFormat="false" ht="15" hidden="false" customHeight="false" outlineLevel="0" collapsed="false">
      <c r="A4799" s="9" t="s">
        <v>1859</v>
      </c>
      <c r="B4799" s="9" t="s">
        <v>951</v>
      </c>
      <c r="C4799" s="9" t="n">
        <v>12</v>
      </c>
      <c r="D4799" s="10" t="n">
        <v>0.85</v>
      </c>
      <c r="E4799" s="10" t="n">
        <f aca="false">C4799*D4799</f>
        <v>10.2</v>
      </c>
    </row>
    <row r="4800" customFormat="false" ht="15" hidden="false" customHeight="false" outlineLevel="0" collapsed="false">
      <c r="A4800" s="9" t="s">
        <v>1859</v>
      </c>
      <c r="B4800" s="9" t="s">
        <v>981</v>
      </c>
      <c r="C4800" s="9" t="n">
        <v>2</v>
      </c>
      <c r="D4800" s="10" t="n">
        <v>6.75</v>
      </c>
      <c r="E4800" s="10" t="n">
        <f aca="false">C4800*D4800</f>
        <v>13.5</v>
      </c>
    </row>
    <row r="4801" customFormat="false" ht="15" hidden="false" customHeight="false" outlineLevel="0" collapsed="false">
      <c r="A4801" s="9" t="s">
        <v>1859</v>
      </c>
      <c r="B4801" s="9" t="s">
        <v>233</v>
      </c>
      <c r="C4801" s="9" t="n">
        <v>6</v>
      </c>
      <c r="D4801" s="10" t="n">
        <v>2.95</v>
      </c>
      <c r="E4801" s="10" t="n">
        <f aca="false">C4801*D4801</f>
        <v>17.7</v>
      </c>
    </row>
    <row r="4802" customFormat="false" ht="15" hidden="false" customHeight="false" outlineLevel="0" collapsed="false">
      <c r="A4802" s="9" t="s">
        <v>1859</v>
      </c>
      <c r="B4802" s="9" t="s">
        <v>1119</v>
      </c>
      <c r="C4802" s="9" t="n">
        <v>12</v>
      </c>
      <c r="D4802" s="10" t="n">
        <v>1.45</v>
      </c>
      <c r="E4802" s="10" t="n">
        <f aca="false">C4802*D4802</f>
        <v>17.4</v>
      </c>
    </row>
    <row r="4803" customFormat="false" ht="15" hidden="false" customHeight="false" outlineLevel="0" collapsed="false">
      <c r="A4803" s="9" t="s">
        <v>1859</v>
      </c>
      <c r="B4803" s="9" t="s">
        <v>982</v>
      </c>
      <c r="C4803" s="9" t="n">
        <v>2</v>
      </c>
      <c r="D4803" s="10" t="n">
        <v>6.75</v>
      </c>
      <c r="E4803" s="10" t="n">
        <f aca="false">C4803*D4803</f>
        <v>13.5</v>
      </c>
    </row>
    <row r="4804" customFormat="false" ht="15" hidden="false" customHeight="false" outlineLevel="0" collapsed="false">
      <c r="A4804" s="9" t="s">
        <v>1859</v>
      </c>
      <c r="B4804" s="9" t="s">
        <v>1512</v>
      </c>
      <c r="C4804" s="9" t="n">
        <v>2</v>
      </c>
      <c r="D4804" s="10" t="n">
        <v>6.75</v>
      </c>
      <c r="E4804" s="10" t="n">
        <f aca="false">C4804*D4804</f>
        <v>13.5</v>
      </c>
    </row>
    <row r="4805" customFormat="false" ht="15" hidden="false" customHeight="false" outlineLevel="0" collapsed="false">
      <c r="A4805" s="9" t="s">
        <v>1859</v>
      </c>
      <c r="B4805" s="9" t="s">
        <v>627</v>
      </c>
      <c r="C4805" s="9" t="n">
        <v>2</v>
      </c>
      <c r="D4805" s="10" t="n">
        <v>8.5</v>
      </c>
      <c r="E4805" s="10" t="n">
        <f aca="false">C4805*D4805</f>
        <v>17</v>
      </c>
    </row>
    <row r="4806" customFormat="false" ht="15" hidden="false" customHeight="false" outlineLevel="0" collapsed="false">
      <c r="A4806" s="9" t="s">
        <v>1859</v>
      </c>
      <c r="B4806" s="9" t="s">
        <v>1860</v>
      </c>
      <c r="C4806" s="9" t="n">
        <v>8</v>
      </c>
      <c r="D4806" s="10" t="n">
        <v>1.65</v>
      </c>
      <c r="E4806" s="10" t="n">
        <f aca="false">C4806*D4806</f>
        <v>13.2</v>
      </c>
    </row>
    <row r="4807" customFormat="false" ht="15" hidden="false" customHeight="false" outlineLevel="0" collapsed="false">
      <c r="A4807" s="9" t="s">
        <v>1859</v>
      </c>
      <c r="B4807" s="9" t="s">
        <v>835</v>
      </c>
      <c r="C4807" s="9" t="n">
        <v>3</v>
      </c>
      <c r="D4807" s="10" t="n">
        <v>5.95</v>
      </c>
      <c r="E4807" s="10" t="n">
        <f aca="false">C4807*D4807</f>
        <v>17.85</v>
      </c>
    </row>
    <row r="4808" customFormat="false" ht="15" hidden="false" customHeight="false" outlineLevel="0" collapsed="false">
      <c r="A4808" s="9" t="s">
        <v>1859</v>
      </c>
      <c r="B4808" s="9" t="s">
        <v>457</v>
      </c>
      <c r="C4808" s="9" t="n">
        <v>6</v>
      </c>
      <c r="D4808" s="10" t="n">
        <v>2.1</v>
      </c>
      <c r="E4808" s="10" t="n">
        <f aca="false">C4808*D4808</f>
        <v>12.6</v>
      </c>
    </row>
    <row r="4809" customFormat="false" ht="15" hidden="false" customHeight="false" outlineLevel="0" collapsed="false">
      <c r="A4809" s="9" t="s">
        <v>1859</v>
      </c>
      <c r="B4809" s="9" t="s">
        <v>216</v>
      </c>
      <c r="C4809" s="9" t="n">
        <v>3</v>
      </c>
      <c r="D4809" s="10" t="n">
        <v>5.95</v>
      </c>
      <c r="E4809" s="10" t="n">
        <f aca="false">C4809*D4809</f>
        <v>17.85</v>
      </c>
    </row>
    <row r="4810" customFormat="false" ht="15" hidden="false" customHeight="false" outlineLevel="0" collapsed="false">
      <c r="A4810" s="9" t="s">
        <v>1859</v>
      </c>
      <c r="B4810" s="9" t="s">
        <v>226</v>
      </c>
      <c r="C4810" s="9" t="n">
        <v>12</v>
      </c>
      <c r="D4810" s="10" t="n">
        <v>0.85</v>
      </c>
      <c r="E4810" s="10" t="n">
        <f aca="false">C4810*D4810</f>
        <v>10.2</v>
      </c>
    </row>
    <row r="4811" customFormat="false" ht="15" hidden="false" customHeight="false" outlineLevel="0" collapsed="false">
      <c r="A4811" s="9" t="s">
        <v>1859</v>
      </c>
      <c r="B4811" s="9" t="s">
        <v>305</v>
      </c>
      <c r="C4811" s="9" t="n">
        <v>2</v>
      </c>
      <c r="D4811" s="10" t="n">
        <v>7.95</v>
      </c>
      <c r="E4811" s="10" t="n">
        <f aca="false">C4811*D4811</f>
        <v>15.9</v>
      </c>
    </row>
    <row r="4812" customFormat="false" ht="15" hidden="false" customHeight="false" outlineLevel="0" collapsed="false">
      <c r="A4812" s="9" t="s">
        <v>1859</v>
      </c>
      <c r="B4812" s="9" t="s">
        <v>1760</v>
      </c>
      <c r="C4812" s="9" t="n">
        <v>4</v>
      </c>
      <c r="D4812" s="10" t="n">
        <v>3.75</v>
      </c>
      <c r="E4812" s="10" t="n">
        <f aca="false">C4812*D4812</f>
        <v>15</v>
      </c>
    </row>
    <row r="4813" customFormat="false" ht="15" hidden="false" customHeight="false" outlineLevel="0" collapsed="false">
      <c r="A4813" s="9" t="s">
        <v>1859</v>
      </c>
      <c r="B4813" s="9" t="s">
        <v>444</v>
      </c>
      <c r="C4813" s="9" t="n">
        <v>6</v>
      </c>
      <c r="D4813" s="10" t="n">
        <v>2.1</v>
      </c>
      <c r="E4813" s="10" t="n">
        <f aca="false">C4813*D4813</f>
        <v>12.6</v>
      </c>
    </row>
    <row r="4814" customFormat="false" ht="15" hidden="false" customHeight="false" outlineLevel="0" collapsed="false">
      <c r="A4814" s="9" t="s">
        <v>1859</v>
      </c>
      <c r="B4814" s="9" t="s">
        <v>182</v>
      </c>
      <c r="C4814" s="9" t="n">
        <v>12</v>
      </c>
      <c r="D4814" s="10" t="n">
        <v>1.65</v>
      </c>
      <c r="E4814" s="10" t="n">
        <f aca="false">C4814*D4814</f>
        <v>19.8</v>
      </c>
    </row>
    <row r="4815" customFormat="false" ht="15" hidden="false" customHeight="false" outlineLevel="0" collapsed="false">
      <c r="A4815" s="9" t="s">
        <v>1859</v>
      </c>
      <c r="B4815" s="9" t="s">
        <v>414</v>
      </c>
      <c r="C4815" s="9" t="n">
        <v>4</v>
      </c>
      <c r="D4815" s="10" t="n">
        <v>6.75</v>
      </c>
      <c r="E4815" s="10" t="n">
        <f aca="false">C4815*D4815</f>
        <v>27</v>
      </c>
    </row>
    <row r="4816" customFormat="false" ht="15" hidden="false" customHeight="false" outlineLevel="0" collapsed="false">
      <c r="A4816" s="9" t="s">
        <v>1859</v>
      </c>
      <c r="B4816" s="9" t="s">
        <v>392</v>
      </c>
      <c r="C4816" s="9" t="n">
        <v>12</v>
      </c>
      <c r="D4816" s="10" t="n">
        <v>1.65</v>
      </c>
      <c r="E4816" s="10" t="n">
        <f aca="false">C4816*D4816</f>
        <v>19.8</v>
      </c>
    </row>
    <row r="4817" customFormat="false" ht="15" hidden="false" customHeight="false" outlineLevel="0" collapsed="false">
      <c r="A4817" s="9" t="s">
        <v>1859</v>
      </c>
      <c r="B4817" s="9" t="s">
        <v>200</v>
      </c>
      <c r="C4817" s="9" t="n">
        <v>12</v>
      </c>
      <c r="D4817" s="10" t="n">
        <v>1.45</v>
      </c>
      <c r="E4817" s="10" t="n">
        <f aca="false">C4817*D4817</f>
        <v>17.4</v>
      </c>
    </row>
    <row r="4818" customFormat="false" ht="15" hidden="false" customHeight="false" outlineLevel="0" collapsed="false">
      <c r="A4818" s="9" t="s">
        <v>1859</v>
      </c>
      <c r="B4818" s="9" t="s">
        <v>306</v>
      </c>
      <c r="C4818" s="9" t="n">
        <v>6</v>
      </c>
      <c r="D4818" s="10" t="n">
        <v>2.95</v>
      </c>
      <c r="E4818" s="10" t="n">
        <f aca="false">C4818*D4818</f>
        <v>17.7</v>
      </c>
    </row>
    <row r="4819" customFormat="false" ht="15" hidden="false" customHeight="false" outlineLevel="0" collapsed="false">
      <c r="A4819" s="9" t="s">
        <v>1859</v>
      </c>
      <c r="B4819" s="9" t="s">
        <v>496</v>
      </c>
      <c r="C4819" s="9" t="n">
        <v>6</v>
      </c>
      <c r="D4819" s="10" t="n">
        <v>2.95</v>
      </c>
      <c r="E4819" s="10" t="n">
        <f aca="false">C4819*D4819</f>
        <v>17.7</v>
      </c>
    </row>
    <row r="4820" customFormat="false" ht="15" hidden="false" customHeight="false" outlineLevel="0" collapsed="false">
      <c r="A4820" s="9" t="s">
        <v>1859</v>
      </c>
      <c r="B4820" s="9" t="s">
        <v>766</v>
      </c>
      <c r="C4820" s="9" t="n">
        <v>4</v>
      </c>
      <c r="D4820" s="10" t="n">
        <v>4.25</v>
      </c>
      <c r="E4820" s="10" t="n">
        <f aca="false">C4820*D4820</f>
        <v>17</v>
      </c>
    </row>
    <row r="4821" customFormat="false" ht="15" hidden="false" customHeight="false" outlineLevel="0" collapsed="false">
      <c r="A4821" s="9" t="s">
        <v>1859</v>
      </c>
      <c r="B4821" s="9" t="s">
        <v>38</v>
      </c>
      <c r="C4821" s="9" t="n">
        <v>4</v>
      </c>
      <c r="D4821" s="10" t="n">
        <v>3.75</v>
      </c>
      <c r="E4821" s="10" t="n">
        <f aca="false">C4821*D4821</f>
        <v>15</v>
      </c>
    </row>
    <row r="4822" customFormat="false" ht="15" hidden="false" customHeight="false" outlineLevel="0" collapsed="false">
      <c r="A4822" s="9" t="s">
        <v>1859</v>
      </c>
      <c r="B4822" s="9" t="s">
        <v>37</v>
      </c>
      <c r="C4822" s="9" t="n">
        <v>6</v>
      </c>
      <c r="D4822" s="10" t="n">
        <v>2.95</v>
      </c>
      <c r="E4822" s="10" t="n">
        <f aca="false">C4822*D4822</f>
        <v>17.7</v>
      </c>
    </row>
    <row r="4823" customFormat="false" ht="15" hidden="false" customHeight="false" outlineLevel="0" collapsed="false">
      <c r="A4823" s="9" t="s">
        <v>1861</v>
      </c>
      <c r="B4823" s="9" t="s">
        <v>660</v>
      </c>
      <c r="C4823" s="9" t="n">
        <v>12</v>
      </c>
      <c r="D4823" s="10" t="n">
        <v>2.95</v>
      </c>
      <c r="E4823" s="10" t="n">
        <f aca="false">C4823*D4823</f>
        <v>35.4</v>
      </c>
    </row>
    <row r="4824" customFormat="false" ht="15" hidden="false" customHeight="false" outlineLevel="0" collapsed="false">
      <c r="A4824" s="9" t="s">
        <v>1862</v>
      </c>
      <c r="B4824" s="9" t="s">
        <v>1863</v>
      </c>
      <c r="C4824" s="9" t="n">
        <v>1</v>
      </c>
      <c r="D4824" s="10" t="n">
        <v>295</v>
      </c>
      <c r="E4824" s="10" t="n">
        <f aca="false">C4824*D4824</f>
        <v>295</v>
      </c>
    </row>
    <row r="4825" customFormat="false" ht="15" hidden="false" customHeight="false" outlineLevel="0" collapsed="false">
      <c r="A4825" s="9" t="s">
        <v>1864</v>
      </c>
      <c r="B4825" s="9" t="s">
        <v>535</v>
      </c>
      <c r="C4825" s="9" t="n">
        <v>1</v>
      </c>
      <c r="D4825" s="10" t="n">
        <v>1.25</v>
      </c>
      <c r="E4825" s="10" t="n">
        <f aca="false">C4825*D4825</f>
        <v>1.25</v>
      </c>
    </row>
    <row r="4826" customFormat="false" ht="15" hidden="false" customHeight="false" outlineLevel="0" collapsed="false">
      <c r="A4826" s="9" t="s">
        <v>1864</v>
      </c>
      <c r="B4826" s="9" t="s">
        <v>535</v>
      </c>
      <c r="C4826" s="9" t="n">
        <v>2</v>
      </c>
      <c r="D4826" s="10" t="n">
        <v>1.25</v>
      </c>
      <c r="E4826" s="10" t="n">
        <f aca="false">C4826*D4826</f>
        <v>2.5</v>
      </c>
    </row>
    <row r="4827" customFormat="false" ht="15" hidden="false" customHeight="false" outlineLevel="0" collapsed="false">
      <c r="A4827" s="9" t="s">
        <v>1864</v>
      </c>
      <c r="B4827" s="9" t="s">
        <v>1865</v>
      </c>
      <c r="C4827" s="9" t="n">
        <v>1</v>
      </c>
      <c r="D4827" s="10" t="n">
        <v>2.1</v>
      </c>
      <c r="E4827" s="10" t="n">
        <f aca="false">C4827*D4827</f>
        <v>2.1</v>
      </c>
    </row>
    <row r="4828" customFormat="false" ht="15" hidden="false" customHeight="false" outlineLevel="0" collapsed="false">
      <c r="A4828" s="9" t="s">
        <v>1864</v>
      </c>
      <c r="B4828" s="9" t="s">
        <v>708</v>
      </c>
      <c r="C4828" s="9" t="n">
        <v>1</v>
      </c>
      <c r="D4828" s="10" t="n">
        <v>2.95</v>
      </c>
      <c r="E4828" s="10" t="n">
        <f aca="false">C4828*D4828</f>
        <v>2.95</v>
      </c>
    </row>
    <row r="4829" customFormat="false" ht="15" hidden="false" customHeight="false" outlineLevel="0" collapsed="false">
      <c r="A4829" s="9" t="s">
        <v>1864</v>
      </c>
      <c r="B4829" s="9" t="s">
        <v>78</v>
      </c>
      <c r="C4829" s="9" t="n">
        <v>1</v>
      </c>
      <c r="D4829" s="10" t="n">
        <v>2.95</v>
      </c>
      <c r="E4829" s="10" t="n">
        <f aca="false">C4829*D4829</f>
        <v>2.95</v>
      </c>
    </row>
    <row r="4830" customFormat="false" ht="15" hidden="false" customHeight="false" outlineLevel="0" collapsed="false">
      <c r="A4830" s="9" t="s">
        <v>1864</v>
      </c>
      <c r="B4830" s="9" t="s">
        <v>1866</v>
      </c>
      <c r="C4830" s="9" t="n">
        <v>25</v>
      </c>
      <c r="D4830" s="10" t="n">
        <v>0.42</v>
      </c>
      <c r="E4830" s="10" t="n">
        <f aca="false">C4830*D4830</f>
        <v>10.5</v>
      </c>
    </row>
    <row r="4831" customFormat="false" ht="15" hidden="false" customHeight="false" outlineLevel="0" collapsed="false">
      <c r="A4831" s="9" t="s">
        <v>1864</v>
      </c>
      <c r="B4831" s="9" t="s">
        <v>1313</v>
      </c>
      <c r="C4831" s="9" t="n">
        <v>2</v>
      </c>
      <c r="D4831" s="10" t="n">
        <v>5.95</v>
      </c>
      <c r="E4831" s="10" t="n">
        <f aca="false">C4831*D4831</f>
        <v>11.9</v>
      </c>
    </row>
    <row r="4832" customFormat="false" ht="15" hidden="false" customHeight="false" outlineLevel="0" collapsed="false">
      <c r="A4832" s="9" t="s">
        <v>1864</v>
      </c>
      <c r="B4832" s="9" t="s">
        <v>214</v>
      </c>
      <c r="C4832" s="9" t="n">
        <v>1</v>
      </c>
      <c r="D4832" s="10" t="n">
        <v>8.5</v>
      </c>
      <c r="E4832" s="10" t="n">
        <f aca="false">C4832*D4832</f>
        <v>8.5</v>
      </c>
    </row>
    <row r="4833" customFormat="false" ht="15" hidden="false" customHeight="false" outlineLevel="0" collapsed="false">
      <c r="A4833" s="9" t="s">
        <v>1864</v>
      </c>
      <c r="B4833" s="9" t="s">
        <v>1322</v>
      </c>
      <c r="C4833" s="9" t="n">
        <v>1</v>
      </c>
      <c r="D4833" s="10" t="n">
        <v>4.95</v>
      </c>
      <c r="E4833" s="10" t="n">
        <f aca="false">C4833*D4833</f>
        <v>4.95</v>
      </c>
    </row>
    <row r="4834" customFormat="false" ht="15" hidden="false" customHeight="false" outlineLevel="0" collapsed="false">
      <c r="A4834" s="9" t="s">
        <v>1864</v>
      </c>
      <c r="B4834" s="9" t="s">
        <v>1715</v>
      </c>
      <c r="C4834" s="9" t="n">
        <v>25</v>
      </c>
      <c r="D4834" s="10" t="n">
        <v>0.42</v>
      </c>
      <c r="E4834" s="10" t="n">
        <f aca="false">C4834*D4834</f>
        <v>10.5</v>
      </c>
    </row>
    <row r="4835" customFormat="false" ht="15" hidden="false" customHeight="false" outlineLevel="0" collapsed="false">
      <c r="A4835" s="9" t="s">
        <v>1864</v>
      </c>
      <c r="B4835" s="9" t="s">
        <v>1867</v>
      </c>
      <c r="C4835" s="9" t="n">
        <v>1</v>
      </c>
      <c r="D4835" s="10" t="n">
        <v>2.55</v>
      </c>
      <c r="E4835" s="10" t="n">
        <f aca="false">C4835*D4835</f>
        <v>2.55</v>
      </c>
    </row>
    <row r="4836" customFormat="false" ht="15" hidden="false" customHeight="false" outlineLevel="0" collapsed="false">
      <c r="A4836" s="9" t="s">
        <v>1864</v>
      </c>
      <c r="B4836" s="9" t="s">
        <v>304</v>
      </c>
      <c r="C4836" s="9" t="n">
        <v>1</v>
      </c>
      <c r="D4836" s="10" t="n">
        <v>10.65</v>
      </c>
      <c r="E4836" s="10" t="n">
        <f aca="false">C4836*D4836</f>
        <v>10.65</v>
      </c>
    </row>
    <row r="4837" customFormat="false" ht="15" hidden="false" customHeight="false" outlineLevel="0" collapsed="false">
      <c r="A4837" s="9" t="s">
        <v>1864</v>
      </c>
      <c r="B4837" s="9" t="s">
        <v>1761</v>
      </c>
      <c r="C4837" s="9" t="n">
        <v>1</v>
      </c>
      <c r="D4837" s="10" t="n">
        <v>2.1</v>
      </c>
      <c r="E4837" s="10" t="n">
        <f aca="false">C4837*D4837</f>
        <v>2.1</v>
      </c>
    </row>
    <row r="4838" customFormat="false" ht="15" hidden="false" customHeight="false" outlineLevel="0" collapsed="false">
      <c r="A4838" s="9" t="s">
        <v>1864</v>
      </c>
      <c r="B4838" s="9" t="s">
        <v>947</v>
      </c>
      <c r="C4838" s="9" t="n">
        <v>6</v>
      </c>
      <c r="D4838" s="10" t="n">
        <v>1.25</v>
      </c>
      <c r="E4838" s="10" t="n">
        <f aca="false">C4838*D4838</f>
        <v>7.5</v>
      </c>
    </row>
    <row r="4839" customFormat="false" ht="15" hidden="false" customHeight="false" outlineLevel="0" collapsed="false">
      <c r="A4839" s="9" t="s">
        <v>1864</v>
      </c>
      <c r="B4839" s="9" t="s">
        <v>248</v>
      </c>
      <c r="C4839" s="9" t="n">
        <v>1</v>
      </c>
      <c r="D4839" s="10" t="n">
        <v>9.95</v>
      </c>
      <c r="E4839" s="10" t="n">
        <f aca="false">C4839*D4839</f>
        <v>9.95</v>
      </c>
    </row>
    <row r="4840" customFormat="false" ht="15" hidden="false" customHeight="false" outlineLevel="0" collapsed="false">
      <c r="A4840" s="9" t="s">
        <v>1864</v>
      </c>
      <c r="B4840" s="9" t="s">
        <v>988</v>
      </c>
      <c r="C4840" s="9" t="n">
        <v>2</v>
      </c>
      <c r="D4840" s="10" t="n">
        <v>3.75</v>
      </c>
      <c r="E4840" s="10" t="n">
        <f aca="false">C4840*D4840</f>
        <v>7.5</v>
      </c>
    </row>
    <row r="4841" customFormat="false" ht="15" hidden="false" customHeight="false" outlineLevel="0" collapsed="false">
      <c r="A4841" s="9" t="s">
        <v>1864</v>
      </c>
      <c r="B4841" s="9" t="s">
        <v>275</v>
      </c>
      <c r="C4841" s="9" t="n">
        <v>20</v>
      </c>
      <c r="D4841" s="10" t="n">
        <v>1.25</v>
      </c>
      <c r="E4841" s="10" t="n">
        <f aca="false">C4841*D4841</f>
        <v>25</v>
      </c>
    </row>
    <row r="4842" customFormat="false" ht="15" hidden="false" customHeight="false" outlineLevel="0" collapsed="false">
      <c r="A4842" s="9" t="s">
        <v>1864</v>
      </c>
      <c r="B4842" s="9" t="s">
        <v>1868</v>
      </c>
      <c r="C4842" s="9" t="n">
        <v>2</v>
      </c>
      <c r="D4842" s="10" t="n">
        <v>9.95</v>
      </c>
      <c r="E4842" s="10" t="n">
        <f aca="false">C4842*D4842</f>
        <v>19.9</v>
      </c>
    </row>
    <row r="4843" customFormat="false" ht="15" hidden="false" customHeight="false" outlineLevel="0" collapsed="false">
      <c r="A4843" s="9" t="s">
        <v>1864</v>
      </c>
      <c r="B4843" s="9" t="s">
        <v>949</v>
      </c>
      <c r="C4843" s="9" t="n">
        <v>2</v>
      </c>
      <c r="D4843" s="10" t="n">
        <v>9.95</v>
      </c>
      <c r="E4843" s="10" t="n">
        <f aca="false">C4843*D4843</f>
        <v>19.9</v>
      </c>
    </row>
    <row r="4844" customFormat="false" ht="15" hidden="false" customHeight="false" outlineLevel="0" collapsed="false">
      <c r="A4844" s="9" t="s">
        <v>1864</v>
      </c>
      <c r="B4844" s="9" t="s">
        <v>1869</v>
      </c>
      <c r="C4844" s="9" t="n">
        <v>2</v>
      </c>
      <c r="D4844" s="10" t="n">
        <v>9.95</v>
      </c>
      <c r="E4844" s="10" t="n">
        <f aca="false">C4844*D4844</f>
        <v>19.9</v>
      </c>
    </row>
    <row r="4845" customFormat="false" ht="15" hidden="false" customHeight="false" outlineLevel="0" collapsed="false">
      <c r="A4845" s="9" t="s">
        <v>1864</v>
      </c>
      <c r="B4845" s="9" t="s">
        <v>987</v>
      </c>
      <c r="C4845" s="9" t="n">
        <v>20</v>
      </c>
      <c r="D4845" s="10" t="n">
        <v>1.25</v>
      </c>
      <c r="E4845" s="10" t="n">
        <f aca="false">C4845*D4845</f>
        <v>25</v>
      </c>
    </row>
    <row r="4846" customFormat="false" ht="15" hidden="false" customHeight="false" outlineLevel="0" collapsed="false">
      <c r="A4846" s="9" t="s">
        <v>1864</v>
      </c>
      <c r="B4846" s="9" t="s">
        <v>1870</v>
      </c>
      <c r="C4846" s="9" t="n">
        <v>2</v>
      </c>
      <c r="D4846" s="10" t="n">
        <v>2.55</v>
      </c>
      <c r="E4846" s="10" t="n">
        <f aca="false">C4846*D4846</f>
        <v>5.1</v>
      </c>
    </row>
    <row r="4847" customFormat="false" ht="15" hidden="false" customHeight="false" outlineLevel="0" collapsed="false">
      <c r="A4847" s="9" t="s">
        <v>1864</v>
      </c>
      <c r="B4847" s="9" t="s">
        <v>826</v>
      </c>
      <c r="C4847" s="9" t="n">
        <v>2</v>
      </c>
      <c r="D4847" s="10" t="n">
        <v>10.95</v>
      </c>
      <c r="E4847" s="10" t="n">
        <f aca="false">C4847*D4847</f>
        <v>21.9</v>
      </c>
    </row>
    <row r="4848" customFormat="false" ht="15" hidden="false" customHeight="false" outlineLevel="0" collapsed="false">
      <c r="A4848" s="9" t="s">
        <v>1864</v>
      </c>
      <c r="B4848" s="9" t="s">
        <v>231</v>
      </c>
      <c r="C4848" s="9" t="n">
        <v>2</v>
      </c>
      <c r="D4848" s="10" t="n">
        <v>0.85</v>
      </c>
      <c r="E4848" s="10" t="n">
        <f aca="false">C4848*D4848</f>
        <v>1.7</v>
      </c>
    </row>
    <row r="4849" customFormat="false" ht="15" hidden="false" customHeight="false" outlineLevel="0" collapsed="false">
      <c r="A4849" s="9" t="s">
        <v>1864</v>
      </c>
      <c r="B4849" s="9" t="s">
        <v>45</v>
      </c>
      <c r="C4849" s="9" t="n">
        <v>4</v>
      </c>
      <c r="D4849" s="10" t="n">
        <v>2.1</v>
      </c>
      <c r="E4849" s="10" t="n">
        <f aca="false">C4849*D4849</f>
        <v>8.4</v>
      </c>
    </row>
    <row r="4850" customFormat="false" ht="15" hidden="false" customHeight="false" outlineLevel="0" collapsed="false">
      <c r="A4850" s="9" t="s">
        <v>1864</v>
      </c>
      <c r="B4850" s="9" t="s">
        <v>1780</v>
      </c>
      <c r="C4850" s="9" t="n">
        <v>3</v>
      </c>
      <c r="D4850" s="10" t="n">
        <v>4.95</v>
      </c>
      <c r="E4850" s="10" t="n">
        <f aca="false">C4850*D4850</f>
        <v>14.85</v>
      </c>
    </row>
    <row r="4851" customFormat="false" ht="15" hidden="false" customHeight="false" outlineLevel="0" collapsed="false">
      <c r="A4851" s="9" t="s">
        <v>1864</v>
      </c>
      <c r="B4851" s="9" t="s">
        <v>230</v>
      </c>
      <c r="C4851" s="9" t="n">
        <v>2</v>
      </c>
      <c r="D4851" s="10" t="n">
        <v>1.65</v>
      </c>
      <c r="E4851" s="10" t="n">
        <f aca="false">C4851*D4851</f>
        <v>3.3</v>
      </c>
    </row>
    <row r="4852" customFormat="false" ht="15" hidden="false" customHeight="false" outlineLevel="0" collapsed="false">
      <c r="A4852" s="9" t="s">
        <v>1871</v>
      </c>
      <c r="B4852" s="9" t="s">
        <v>255</v>
      </c>
      <c r="C4852" s="9" t="n">
        <v>1</v>
      </c>
      <c r="D4852" s="10" t="n">
        <v>2.1</v>
      </c>
      <c r="E4852" s="10" t="n">
        <f aca="false">C4852*D4852</f>
        <v>2.1</v>
      </c>
    </row>
    <row r="4853" customFormat="false" ht="15" hidden="false" customHeight="false" outlineLevel="0" collapsed="false">
      <c r="A4853" s="9" t="s">
        <v>1871</v>
      </c>
      <c r="B4853" s="9" t="s">
        <v>1787</v>
      </c>
      <c r="C4853" s="9" t="n">
        <v>25</v>
      </c>
      <c r="D4853" s="10" t="n">
        <v>0.42</v>
      </c>
      <c r="E4853" s="10" t="n">
        <f aca="false">C4853*D4853</f>
        <v>10.5</v>
      </c>
    </row>
    <row r="4854" customFormat="false" ht="15" hidden="false" customHeight="false" outlineLevel="0" collapsed="false">
      <c r="A4854" s="9" t="s">
        <v>1871</v>
      </c>
      <c r="B4854" s="9" t="s">
        <v>37</v>
      </c>
      <c r="C4854" s="9" t="n">
        <v>2</v>
      </c>
      <c r="D4854" s="10" t="n">
        <v>2.95</v>
      </c>
      <c r="E4854" s="10" t="n">
        <f aca="false">C4854*D4854</f>
        <v>5.9</v>
      </c>
    </row>
    <row r="4855" customFormat="false" ht="15" hidden="false" customHeight="false" outlineLevel="0" collapsed="false">
      <c r="A4855" s="9" t="s">
        <v>1871</v>
      </c>
      <c r="B4855" s="9" t="s">
        <v>735</v>
      </c>
      <c r="C4855" s="9" t="n">
        <v>8</v>
      </c>
      <c r="D4855" s="10" t="n">
        <v>2.95</v>
      </c>
      <c r="E4855" s="10" t="n">
        <f aca="false">C4855*D4855</f>
        <v>23.6</v>
      </c>
    </row>
    <row r="4856" customFormat="false" ht="15" hidden="false" customHeight="false" outlineLevel="0" collapsed="false">
      <c r="A4856" s="9" t="s">
        <v>1871</v>
      </c>
      <c r="B4856" s="9" t="s">
        <v>1773</v>
      </c>
      <c r="C4856" s="9" t="n">
        <v>25</v>
      </c>
      <c r="D4856" s="10" t="n">
        <v>0.42</v>
      </c>
      <c r="E4856" s="10" t="n">
        <f aca="false">C4856*D4856</f>
        <v>10.5</v>
      </c>
    </row>
    <row r="4857" customFormat="false" ht="15" hidden="false" customHeight="false" outlineLevel="0" collapsed="false">
      <c r="A4857" s="9" t="s">
        <v>1871</v>
      </c>
      <c r="B4857" s="9" t="s">
        <v>293</v>
      </c>
      <c r="C4857" s="9" t="n">
        <v>2</v>
      </c>
      <c r="D4857" s="10" t="n">
        <v>2.95</v>
      </c>
      <c r="E4857" s="10" t="n">
        <f aca="false">C4857*D4857</f>
        <v>5.9</v>
      </c>
    </row>
    <row r="4858" customFormat="false" ht="15" hidden="false" customHeight="false" outlineLevel="0" collapsed="false">
      <c r="A4858" s="9" t="s">
        <v>1871</v>
      </c>
      <c r="B4858" s="9" t="s">
        <v>1872</v>
      </c>
      <c r="C4858" s="9" t="n">
        <v>1</v>
      </c>
      <c r="D4858" s="10" t="n">
        <v>1.65</v>
      </c>
      <c r="E4858" s="10" t="n">
        <f aca="false">C4858*D4858</f>
        <v>1.65</v>
      </c>
    </row>
    <row r="4859" customFormat="false" ht="15" hidden="false" customHeight="false" outlineLevel="0" collapsed="false">
      <c r="A4859" s="9" t="s">
        <v>1871</v>
      </c>
      <c r="B4859" s="9" t="s">
        <v>1704</v>
      </c>
      <c r="C4859" s="9" t="n">
        <v>5</v>
      </c>
      <c r="D4859" s="10" t="n">
        <v>0.85</v>
      </c>
      <c r="E4859" s="10" t="n">
        <f aca="false">C4859*D4859</f>
        <v>4.25</v>
      </c>
    </row>
    <row r="4860" customFormat="false" ht="15" hidden="false" customHeight="false" outlineLevel="0" collapsed="false">
      <c r="A4860" s="9" t="s">
        <v>1871</v>
      </c>
      <c r="B4860" s="9" t="s">
        <v>190</v>
      </c>
      <c r="C4860" s="9" t="n">
        <v>6</v>
      </c>
      <c r="D4860" s="10" t="n">
        <v>1.25</v>
      </c>
      <c r="E4860" s="10" t="n">
        <f aca="false">C4860*D4860</f>
        <v>7.5</v>
      </c>
    </row>
    <row r="4861" customFormat="false" ht="15" hidden="false" customHeight="false" outlineLevel="0" collapsed="false">
      <c r="A4861" s="9" t="s">
        <v>1871</v>
      </c>
      <c r="B4861" s="9" t="s">
        <v>46</v>
      </c>
      <c r="C4861" s="9" t="n">
        <v>4</v>
      </c>
      <c r="D4861" s="10" t="n">
        <v>2.1</v>
      </c>
      <c r="E4861" s="10" t="n">
        <f aca="false">C4861*D4861</f>
        <v>8.4</v>
      </c>
    </row>
    <row r="4862" customFormat="false" ht="15" hidden="false" customHeight="false" outlineLevel="0" collapsed="false">
      <c r="A4862" s="9" t="s">
        <v>1871</v>
      </c>
      <c r="B4862" s="9" t="s">
        <v>185</v>
      </c>
      <c r="C4862" s="9" t="n">
        <v>3</v>
      </c>
      <c r="D4862" s="10" t="n">
        <v>2.95</v>
      </c>
      <c r="E4862" s="10" t="n">
        <f aca="false">C4862*D4862</f>
        <v>8.85</v>
      </c>
    </row>
    <row r="4863" customFormat="false" ht="15" hidden="false" customHeight="false" outlineLevel="0" collapsed="false">
      <c r="A4863" s="9" t="s">
        <v>1871</v>
      </c>
      <c r="B4863" s="9" t="s">
        <v>45</v>
      </c>
      <c r="C4863" s="9" t="n">
        <v>4</v>
      </c>
      <c r="D4863" s="10" t="n">
        <v>2.1</v>
      </c>
      <c r="E4863" s="10" t="n">
        <f aca="false">C4863*D4863</f>
        <v>8.4</v>
      </c>
    </row>
    <row r="4864" customFormat="false" ht="15" hidden="false" customHeight="false" outlineLevel="0" collapsed="false">
      <c r="A4864" s="9" t="s">
        <v>1871</v>
      </c>
      <c r="B4864" s="9" t="s">
        <v>444</v>
      </c>
      <c r="C4864" s="9" t="n">
        <v>2</v>
      </c>
      <c r="D4864" s="10" t="n">
        <v>2.1</v>
      </c>
      <c r="E4864" s="10" t="n">
        <f aca="false">C4864*D4864</f>
        <v>4.2</v>
      </c>
    </row>
    <row r="4865" customFormat="false" ht="15" hidden="false" customHeight="false" outlineLevel="0" collapsed="false">
      <c r="A4865" s="9" t="s">
        <v>1871</v>
      </c>
      <c r="B4865" s="9" t="s">
        <v>1049</v>
      </c>
      <c r="C4865" s="9" t="n">
        <v>5</v>
      </c>
      <c r="D4865" s="10" t="n">
        <v>0.85</v>
      </c>
      <c r="E4865" s="10" t="n">
        <f aca="false">C4865*D4865</f>
        <v>4.25</v>
      </c>
    </row>
    <row r="4866" customFormat="false" ht="15" hidden="false" customHeight="false" outlineLevel="0" collapsed="false">
      <c r="A4866" s="9" t="s">
        <v>1871</v>
      </c>
      <c r="B4866" s="9" t="s">
        <v>707</v>
      </c>
      <c r="C4866" s="9" t="n">
        <v>6</v>
      </c>
      <c r="D4866" s="10" t="n">
        <v>1.25</v>
      </c>
      <c r="E4866" s="10" t="n">
        <f aca="false">C4866*D4866</f>
        <v>7.5</v>
      </c>
    </row>
    <row r="4867" customFormat="false" ht="15" hidden="false" customHeight="false" outlineLevel="0" collapsed="false">
      <c r="A4867" s="9" t="s">
        <v>1871</v>
      </c>
      <c r="B4867" s="9" t="s">
        <v>105</v>
      </c>
      <c r="C4867" s="9" t="n">
        <v>4</v>
      </c>
      <c r="D4867" s="10" t="n">
        <v>3.95</v>
      </c>
      <c r="E4867" s="10" t="n">
        <f aca="false">C4867*D4867</f>
        <v>15.8</v>
      </c>
    </row>
    <row r="4868" customFormat="false" ht="15" hidden="false" customHeight="false" outlineLevel="0" collapsed="false">
      <c r="A4868" s="9" t="s">
        <v>1871</v>
      </c>
      <c r="B4868" s="9" t="s">
        <v>93</v>
      </c>
      <c r="C4868" s="9" t="n">
        <v>4</v>
      </c>
      <c r="D4868" s="10" t="n">
        <v>5.95</v>
      </c>
      <c r="E4868" s="10" t="n">
        <f aca="false">C4868*D4868</f>
        <v>23.8</v>
      </c>
    </row>
    <row r="4869" customFormat="false" ht="15" hidden="false" customHeight="false" outlineLevel="0" collapsed="false">
      <c r="A4869" s="9" t="s">
        <v>1871</v>
      </c>
      <c r="B4869" s="9" t="s">
        <v>91</v>
      </c>
      <c r="C4869" s="9" t="n">
        <v>6</v>
      </c>
      <c r="D4869" s="10" t="n">
        <v>2.55</v>
      </c>
      <c r="E4869" s="10" t="n">
        <f aca="false">C4869*D4869</f>
        <v>15.3</v>
      </c>
    </row>
    <row r="4870" customFormat="false" ht="15" hidden="false" customHeight="false" outlineLevel="0" collapsed="false">
      <c r="A4870" s="9" t="s">
        <v>1871</v>
      </c>
      <c r="B4870" s="9" t="s">
        <v>53</v>
      </c>
      <c r="C4870" s="9" t="n">
        <v>3</v>
      </c>
      <c r="D4870" s="10" t="n">
        <v>5.95</v>
      </c>
      <c r="E4870" s="10" t="n">
        <f aca="false">C4870*D4870</f>
        <v>17.85</v>
      </c>
    </row>
    <row r="4871" customFormat="false" ht="15" hidden="false" customHeight="false" outlineLevel="0" collapsed="false">
      <c r="A4871" s="9" t="s">
        <v>1871</v>
      </c>
      <c r="B4871" s="9" t="s">
        <v>50</v>
      </c>
      <c r="C4871" s="9" t="n">
        <v>3</v>
      </c>
      <c r="D4871" s="10" t="n">
        <v>5.95</v>
      </c>
      <c r="E4871" s="10" t="n">
        <f aca="false">C4871*D4871</f>
        <v>17.85</v>
      </c>
    </row>
    <row r="4872" customFormat="false" ht="15" hidden="false" customHeight="false" outlineLevel="0" collapsed="false">
      <c r="A4872" s="9" t="s">
        <v>1871</v>
      </c>
      <c r="B4872" s="9" t="s">
        <v>92</v>
      </c>
      <c r="C4872" s="9" t="n">
        <v>2</v>
      </c>
      <c r="D4872" s="10" t="n">
        <v>7.95</v>
      </c>
      <c r="E4872" s="10" t="n">
        <f aca="false">C4872*D4872</f>
        <v>15.9</v>
      </c>
    </row>
    <row r="4873" customFormat="false" ht="15" hidden="false" customHeight="false" outlineLevel="0" collapsed="false">
      <c r="A4873" s="9" t="s">
        <v>1871</v>
      </c>
      <c r="B4873" s="9" t="s">
        <v>871</v>
      </c>
      <c r="C4873" s="9" t="n">
        <v>2</v>
      </c>
      <c r="D4873" s="10" t="n">
        <v>8.5</v>
      </c>
      <c r="E4873" s="10" t="n">
        <f aca="false">C4873*D4873</f>
        <v>17</v>
      </c>
    </row>
    <row r="4874" customFormat="false" ht="15" hidden="false" customHeight="false" outlineLevel="0" collapsed="false">
      <c r="A4874" s="9" t="s">
        <v>1871</v>
      </c>
      <c r="B4874" s="9" t="s">
        <v>1873</v>
      </c>
      <c r="C4874" s="9" t="n">
        <v>25</v>
      </c>
      <c r="D4874" s="10" t="n">
        <v>0.42</v>
      </c>
      <c r="E4874" s="10" t="n">
        <f aca="false">C4874*D4874</f>
        <v>10.5</v>
      </c>
    </row>
    <row r="4875" customFormat="false" ht="15" hidden="false" customHeight="false" outlineLevel="0" collapsed="false">
      <c r="A4875" s="9" t="s">
        <v>1871</v>
      </c>
      <c r="B4875" s="9" t="s">
        <v>270</v>
      </c>
      <c r="C4875" s="9" t="n">
        <v>7</v>
      </c>
      <c r="D4875" s="10" t="n">
        <v>4.95</v>
      </c>
      <c r="E4875" s="10" t="n">
        <f aca="false">C4875*D4875</f>
        <v>34.65</v>
      </c>
    </row>
    <row r="4876" customFormat="false" ht="15" hidden="false" customHeight="false" outlineLevel="0" collapsed="false">
      <c r="A4876" s="9" t="s">
        <v>1871</v>
      </c>
      <c r="B4876" s="9" t="s">
        <v>279</v>
      </c>
      <c r="C4876" s="9" t="n">
        <v>12</v>
      </c>
      <c r="D4876" s="10" t="n">
        <v>0.29</v>
      </c>
      <c r="E4876" s="10" t="n">
        <f aca="false">C4876*D4876</f>
        <v>3.48</v>
      </c>
    </row>
    <row r="4877" customFormat="false" ht="15" hidden="false" customHeight="false" outlineLevel="0" collapsed="false">
      <c r="A4877" s="9" t="s">
        <v>1871</v>
      </c>
      <c r="B4877" s="9" t="s">
        <v>673</v>
      </c>
      <c r="C4877" s="9" t="n">
        <v>3</v>
      </c>
      <c r="D4877" s="10" t="n">
        <v>3.75</v>
      </c>
      <c r="E4877" s="10" t="n">
        <f aca="false">C4877*D4877</f>
        <v>11.25</v>
      </c>
    </row>
    <row r="4878" customFormat="false" ht="15" hidden="false" customHeight="false" outlineLevel="0" collapsed="false">
      <c r="A4878" s="9" t="s">
        <v>1871</v>
      </c>
      <c r="B4878" s="9" t="s">
        <v>94</v>
      </c>
      <c r="C4878" s="9" t="n">
        <v>4</v>
      </c>
      <c r="D4878" s="10" t="n">
        <v>2.95</v>
      </c>
      <c r="E4878" s="10" t="n">
        <f aca="false">C4878*D4878</f>
        <v>11.8</v>
      </c>
    </row>
    <row r="4879" customFormat="false" ht="15" hidden="false" customHeight="false" outlineLevel="0" collapsed="false">
      <c r="A4879" s="9" t="s">
        <v>1874</v>
      </c>
      <c r="B4879" s="9" t="s">
        <v>1875</v>
      </c>
      <c r="C4879" s="9" t="n">
        <v>48</v>
      </c>
      <c r="D4879" s="10" t="n">
        <v>0.19</v>
      </c>
      <c r="E4879" s="10" t="n">
        <f aca="false">C4879*D4879</f>
        <v>9.12</v>
      </c>
    </row>
    <row r="4880" customFormat="false" ht="15" hidden="false" customHeight="false" outlineLevel="0" collapsed="false">
      <c r="A4880" s="9" t="s">
        <v>1874</v>
      </c>
      <c r="B4880" s="9" t="s">
        <v>1631</v>
      </c>
      <c r="C4880" s="9" t="n">
        <v>24</v>
      </c>
      <c r="D4880" s="10" t="n">
        <v>0.42</v>
      </c>
      <c r="E4880" s="10" t="n">
        <f aca="false">C4880*D4880</f>
        <v>10.08</v>
      </c>
    </row>
    <row r="4881" customFormat="false" ht="15" hidden="false" customHeight="false" outlineLevel="0" collapsed="false">
      <c r="A4881" s="9" t="s">
        <v>1874</v>
      </c>
      <c r="B4881" s="9" t="s">
        <v>1775</v>
      </c>
      <c r="C4881" s="9" t="n">
        <v>24</v>
      </c>
      <c r="D4881" s="10" t="n">
        <v>0.75</v>
      </c>
      <c r="E4881" s="10" t="n">
        <f aca="false">C4881*D4881</f>
        <v>18</v>
      </c>
    </row>
    <row r="4882" customFormat="false" ht="15" hidden="false" customHeight="false" outlineLevel="0" collapsed="false">
      <c r="A4882" s="9" t="s">
        <v>1876</v>
      </c>
      <c r="B4882" s="9" t="s">
        <v>531</v>
      </c>
      <c r="C4882" s="9" t="n">
        <v>144</v>
      </c>
      <c r="D4882" s="10" t="n">
        <v>1.06</v>
      </c>
      <c r="E4882" s="10" t="n">
        <f aca="false">C4882*D4882</f>
        <v>152.64</v>
      </c>
    </row>
    <row r="4883" customFormat="false" ht="15" hidden="false" customHeight="false" outlineLevel="0" collapsed="false">
      <c r="A4883" s="9" t="s">
        <v>1876</v>
      </c>
      <c r="B4883" s="9" t="s">
        <v>59</v>
      </c>
      <c r="C4883" s="9" t="n">
        <v>96</v>
      </c>
      <c r="D4883" s="10" t="n">
        <v>1.69</v>
      </c>
      <c r="E4883" s="10" t="n">
        <f aca="false">C4883*D4883</f>
        <v>162.24</v>
      </c>
    </row>
    <row r="4884" customFormat="false" ht="15" hidden="false" customHeight="false" outlineLevel="0" collapsed="false">
      <c r="A4884" s="9" t="s">
        <v>1876</v>
      </c>
      <c r="B4884" s="9" t="s">
        <v>1267</v>
      </c>
      <c r="C4884" s="9" t="n">
        <v>48</v>
      </c>
      <c r="D4884" s="10" t="n">
        <v>0.42</v>
      </c>
      <c r="E4884" s="10" t="n">
        <f aca="false">C4884*D4884</f>
        <v>20.16</v>
      </c>
    </row>
    <row r="4885" customFormat="false" ht="15" hidden="false" customHeight="false" outlineLevel="0" collapsed="false">
      <c r="A4885" s="9" t="s">
        <v>1876</v>
      </c>
      <c r="B4885" s="9" t="s">
        <v>1877</v>
      </c>
      <c r="C4885" s="9" t="n">
        <v>48</v>
      </c>
      <c r="D4885" s="10" t="n">
        <v>0.42</v>
      </c>
      <c r="E4885" s="10" t="n">
        <f aca="false">C4885*D4885</f>
        <v>20.16</v>
      </c>
    </row>
    <row r="4886" customFormat="false" ht="15" hidden="false" customHeight="false" outlineLevel="0" collapsed="false">
      <c r="A4886" s="9" t="s">
        <v>1876</v>
      </c>
      <c r="B4886" s="9" t="s">
        <v>1012</v>
      </c>
      <c r="C4886" s="9" t="n">
        <v>36</v>
      </c>
      <c r="D4886" s="10" t="n">
        <v>0.42</v>
      </c>
      <c r="E4886" s="10" t="n">
        <f aca="false">C4886*D4886</f>
        <v>15.12</v>
      </c>
    </row>
    <row r="4887" customFormat="false" ht="15" hidden="false" customHeight="false" outlineLevel="0" collapsed="false">
      <c r="A4887" s="9" t="s">
        <v>1876</v>
      </c>
      <c r="B4887" s="9" t="s">
        <v>1560</v>
      </c>
      <c r="C4887" s="9" t="n">
        <v>24</v>
      </c>
      <c r="D4887" s="10" t="n">
        <v>0.42</v>
      </c>
      <c r="E4887" s="10" t="n">
        <f aca="false">C4887*D4887</f>
        <v>10.08</v>
      </c>
    </row>
    <row r="4888" customFormat="false" ht="15" hidden="false" customHeight="false" outlineLevel="0" collapsed="false">
      <c r="A4888" s="9" t="s">
        <v>1876</v>
      </c>
      <c r="B4888" s="9" t="s">
        <v>256</v>
      </c>
      <c r="C4888" s="9" t="n">
        <v>24</v>
      </c>
      <c r="D4888" s="10" t="n">
        <v>0.42</v>
      </c>
      <c r="E4888" s="10" t="n">
        <f aca="false">C4888*D4888</f>
        <v>10.08</v>
      </c>
    </row>
    <row r="4889" customFormat="false" ht="15" hidden="false" customHeight="false" outlineLevel="0" collapsed="false">
      <c r="A4889" s="9" t="s">
        <v>1876</v>
      </c>
      <c r="B4889" s="9" t="s">
        <v>789</v>
      </c>
      <c r="C4889" s="9" t="n">
        <v>36</v>
      </c>
      <c r="D4889" s="10" t="n">
        <v>0.42</v>
      </c>
      <c r="E4889" s="10" t="n">
        <f aca="false">C4889*D4889</f>
        <v>15.12</v>
      </c>
    </row>
    <row r="4890" customFormat="false" ht="15" hidden="false" customHeight="false" outlineLevel="0" collapsed="false">
      <c r="A4890" s="9" t="s">
        <v>1876</v>
      </c>
      <c r="B4890" s="9" t="s">
        <v>1280</v>
      </c>
      <c r="C4890" s="9" t="n">
        <v>36</v>
      </c>
      <c r="D4890" s="10" t="n">
        <v>0.42</v>
      </c>
      <c r="E4890" s="10" t="n">
        <f aca="false">C4890*D4890</f>
        <v>15.12</v>
      </c>
    </row>
    <row r="4891" customFormat="false" ht="15" hidden="false" customHeight="false" outlineLevel="0" collapsed="false">
      <c r="A4891" s="9" t="s">
        <v>1876</v>
      </c>
      <c r="B4891" s="9" t="s">
        <v>1561</v>
      </c>
      <c r="C4891" s="9" t="n">
        <v>12</v>
      </c>
      <c r="D4891" s="10" t="n">
        <v>0.42</v>
      </c>
      <c r="E4891" s="10" t="n">
        <f aca="false">C4891*D4891</f>
        <v>5.04</v>
      </c>
    </row>
    <row r="4892" customFormat="false" ht="15" hidden="false" customHeight="false" outlineLevel="0" collapsed="false">
      <c r="A4892" s="9" t="s">
        <v>1876</v>
      </c>
      <c r="B4892" s="9" t="s">
        <v>1786</v>
      </c>
      <c r="C4892" s="9" t="n">
        <v>12</v>
      </c>
      <c r="D4892" s="10" t="n">
        <v>0.42</v>
      </c>
      <c r="E4892" s="10" t="n">
        <f aca="false">C4892*D4892</f>
        <v>5.04</v>
      </c>
    </row>
    <row r="4893" customFormat="false" ht="15" hidden="false" customHeight="false" outlineLevel="0" collapsed="false">
      <c r="A4893" s="9" t="s">
        <v>1876</v>
      </c>
      <c r="B4893" s="9" t="s">
        <v>468</v>
      </c>
      <c r="C4893" s="9" t="n">
        <v>24</v>
      </c>
      <c r="D4893" s="10" t="n">
        <v>0.42</v>
      </c>
      <c r="E4893" s="10" t="n">
        <f aca="false">C4893*D4893</f>
        <v>10.08</v>
      </c>
    </row>
    <row r="4894" customFormat="false" ht="15" hidden="false" customHeight="false" outlineLevel="0" collapsed="false">
      <c r="A4894" s="9" t="s">
        <v>1876</v>
      </c>
      <c r="B4894" s="9" t="s">
        <v>863</v>
      </c>
      <c r="C4894" s="9" t="n">
        <v>10</v>
      </c>
      <c r="D4894" s="10" t="n">
        <v>6.75</v>
      </c>
      <c r="E4894" s="10" t="n">
        <f aca="false">C4894*D4894</f>
        <v>67.5</v>
      </c>
    </row>
    <row r="4895" customFormat="false" ht="15" hidden="false" customHeight="false" outlineLevel="0" collapsed="false">
      <c r="A4895" s="9" t="s">
        <v>1876</v>
      </c>
      <c r="B4895" s="9" t="s">
        <v>390</v>
      </c>
      <c r="C4895" s="9" t="n">
        <v>5</v>
      </c>
      <c r="D4895" s="10" t="n">
        <v>7.95</v>
      </c>
      <c r="E4895" s="10" t="n">
        <f aca="false">C4895*D4895</f>
        <v>39.75</v>
      </c>
    </row>
    <row r="4896" customFormat="false" ht="15" hidden="false" customHeight="false" outlineLevel="0" collapsed="false">
      <c r="A4896" s="9" t="s">
        <v>1876</v>
      </c>
      <c r="B4896" s="9" t="s">
        <v>1533</v>
      </c>
      <c r="C4896" s="9" t="n">
        <v>288</v>
      </c>
      <c r="D4896" s="10" t="n">
        <v>0.21</v>
      </c>
      <c r="E4896" s="10" t="n">
        <f aca="false">C4896*D4896</f>
        <v>60.48</v>
      </c>
    </row>
    <row r="4897" customFormat="false" ht="15" hidden="false" customHeight="false" outlineLevel="0" collapsed="false">
      <c r="A4897" s="9" t="s">
        <v>1876</v>
      </c>
      <c r="B4897" s="9" t="s">
        <v>1526</v>
      </c>
      <c r="C4897" s="9" t="n">
        <v>36</v>
      </c>
      <c r="D4897" s="10" t="n">
        <v>0.42</v>
      </c>
      <c r="E4897" s="10" t="n">
        <f aca="false">C4897*D4897</f>
        <v>15.12</v>
      </c>
    </row>
    <row r="4898" customFormat="false" ht="15" hidden="false" customHeight="false" outlineLevel="0" collapsed="false">
      <c r="A4898" s="9" t="s">
        <v>1878</v>
      </c>
      <c r="B4898" s="9" t="s">
        <v>116</v>
      </c>
      <c r="C4898" s="9" t="n">
        <v>24</v>
      </c>
      <c r="D4898" s="10" t="n">
        <v>0.55</v>
      </c>
      <c r="E4898" s="10" t="n">
        <f aca="false">C4898*D4898</f>
        <v>13.2</v>
      </c>
    </row>
    <row r="4899" customFormat="false" ht="15" hidden="false" customHeight="false" outlineLevel="0" collapsed="false">
      <c r="A4899" s="9" t="s">
        <v>1878</v>
      </c>
      <c r="B4899" s="9" t="s">
        <v>113</v>
      </c>
      <c r="C4899" s="9" t="n">
        <v>24</v>
      </c>
      <c r="D4899" s="10" t="n">
        <v>0.55</v>
      </c>
      <c r="E4899" s="10" t="n">
        <f aca="false">C4899*D4899</f>
        <v>13.2</v>
      </c>
    </row>
    <row r="4900" customFormat="false" ht="15" hidden="false" customHeight="false" outlineLevel="0" collapsed="false">
      <c r="A4900" s="9" t="s">
        <v>1878</v>
      </c>
      <c r="B4900" s="9" t="s">
        <v>114</v>
      </c>
      <c r="C4900" s="9" t="n">
        <v>24</v>
      </c>
      <c r="D4900" s="10" t="n">
        <v>0.55</v>
      </c>
      <c r="E4900" s="10" t="n">
        <f aca="false">C4900*D4900</f>
        <v>13.2</v>
      </c>
    </row>
    <row r="4901" customFormat="false" ht="15" hidden="false" customHeight="false" outlineLevel="0" collapsed="false">
      <c r="A4901" s="9" t="s">
        <v>1878</v>
      </c>
      <c r="B4901" s="9" t="s">
        <v>1654</v>
      </c>
      <c r="C4901" s="9" t="n">
        <v>2</v>
      </c>
      <c r="D4901" s="10" t="n">
        <v>8.5</v>
      </c>
      <c r="E4901" s="10" t="n">
        <f aca="false">C4901*D4901</f>
        <v>17</v>
      </c>
    </row>
    <row r="4902" customFormat="false" ht="15" hidden="false" customHeight="false" outlineLevel="0" collapsed="false">
      <c r="A4902" s="9" t="s">
        <v>1878</v>
      </c>
      <c r="B4902" s="9" t="s">
        <v>449</v>
      </c>
      <c r="C4902" s="9" t="n">
        <v>12</v>
      </c>
      <c r="D4902" s="10" t="n">
        <v>1.65</v>
      </c>
      <c r="E4902" s="10" t="n">
        <f aca="false">C4902*D4902</f>
        <v>19.8</v>
      </c>
    </row>
    <row r="4903" customFormat="false" ht="15" hidden="false" customHeight="false" outlineLevel="0" collapsed="false">
      <c r="A4903" s="9" t="s">
        <v>1878</v>
      </c>
      <c r="B4903" s="9" t="s">
        <v>235</v>
      </c>
      <c r="C4903" s="9" t="n">
        <v>12</v>
      </c>
      <c r="D4903" s="10" t="n">
        <v>0.85</v>
      </c>
      <c r="E4903" s="10" t="n">
        <f aca="false">C4903*D4903</f>
        <v>10.2</v>
      </c>
    </row>
    <row r="4904" customFormat="false" ht="15" hidden="false" customHeight="false" outlineLevel="0" collapsed="false">
      <c r="A4904" s="9" t="s">
        <v>1878</v>
      </c>
      <c r="B4904" s="9" t="s">
        <v>712</v>
      </c>
      <c r="C4904" s="9" t="n">
        <v>1</v>
      </c>
      <c r="D4904" s="10" t="n">
        <v>9.95</v>
      </c>
      <c r="E4904" s="10" t="n">
        <f aca="false">C4904*D4904</f>
        <v>9.95</v>
      </c>
    </row>
    <row r="4905" customFormat="false" ht="15" hidden="false" customHeight="false" outlineLevel="0" collapsed="false">
      <c r="A4905" s="9" t="s">
        <v>1878</v>
      </c>
      <c r="B4905" s="9" t="s">
        <v>236</v>
      </c>
      <c r="C4905" s="9" t="n">
        <v>12</v>
      </c>
      <c r="D4905" s="10" t="n">
        <v>0.85</v>
      </c>
      <c r="E4905" s="10" t="n">
        <f aca="false">C4905*D4905</f>
        <v>10.2</v>
      </c>
    </row>
    <row r="4906" customFormat="false" ht="15" hidden="false" customHeight="false" outlineLevel="0" collapsed="false">
      <c r="A4906" s="9" t="s">
        <v>1878</v>
      </c>
      <c r="B4906" s="9" t="s">
        <v>128</v>
      </c>
      <c r="C4906" s="9" t="n">
        <v>12</v>
      </c>
      <c r="D4906" s="10" t="n">
        <v>1.45</v>
      </c>
      <c r="E4906" s="10" t="n">
        <f aca="false">C4906*D4906</f>
        <v>17.4</v>
      </c>
    </row>
    <row r="4907" customFormat="false" ht="15" hidden="false" customHeight="false" outlineLevel="0" collapsed="false">
      <c r="A4907" s="9" t="s">
        <v>1878</v>
      </c>
      <c r="B4907" s="9" t="s">
        <v>487</v>
      </c>
      <c r="C4907" s="9" t="n">
        <v>24</v>
      </c>
      <c r="D4907" s="10" t="n">
        <v>0.55</v>
      </c>
      <c r="E4907" s="10" t="n">
        <f aca="false">C4907*D4907</f>
        <v>13.2</v>
      </c>
    </row>
    <row r="4908" customFormat="false" ht="15" hidden="false" customHeight="false" outlineLevel="0" collapsed="false">
      <c r="A4908" s="9" t="s">
        <v>1879</v>
      </c>
      <c r="B4908" s="9" t="s">
        <v>449</v>
      </c>
      <c r="C4908" s="9" t="n">
        <v>12</v>
      </c>
      <c r="D4908" s="10" t="n">
        <v>1.65</v>
      </c>
      <c r="E4908" s="10" t="n">
        <f aca="false">C4908*D4908</f>
        <v>19.8</v>
      </c>
    </row>
    <row r="4909" customFormat="false" ht="15" hidden="false" customHeight="false" outlineLevel="0" collapsed="false">
      <c r="A4909" s="9" t="s">
        <v>1879</v>
      </c>
      <c r="B4909" s="9" t="s">
        <v>1608</v>
      </c>
      <c r="C4909" s="9" t="n">
        <v>4</v>
      </c>
      <c r="D4909" s="10" t="n">
        <v>3.75</v>
      </c>
      <c r="E4909" s="10" t="n">
        <f aca="false">C4909*D4909</f>
        <v>15</v>
      </c>
    </row>
    <row r="4910" customFormat="false" ht="15" hidden="false" customHeight="false" outlineLevel="0" collapsed="false">
      <c r="A4910" s="9" t="s">
        <v>1879</v>
      </c>
      <c r="B4910" s="9" t="s">
        <v>1076</v>
      </c>
      <c r="C4910" s="9" t="n">
        <v>10</v>
      </c>
      <c r="D4910" s="10" t="n">
        <v>0.85</v>
      </c>
      <c r="E4910" s="10" t="n">
        <f aca="false">C4910*D4910</f>
        <v>8.5</v>
      </c>
    </row>
    <row r="4911" customFormat="false" ht="15" hidden="false" customHeight="false" outlineLevel="0" collapsed="false">
      <c r="A4911" s="9" t="s">
        <v>1879</v>
      </c>
      <c r="B4911" s="9" t="s">
        <v>868</v>
      </c>
      <c r="C4911" s="9" t="n">
        <v>8</v>
      </c>
      <c r="D4911" s="10" t="n">
        <v>1.65</v>
      </c>
      <c r="E4911" s="10" t="n">
        <f aca="false">C4911*D4911</f>
        <v>13.2</v>
      </c>
    </row>
    <row r="4912" customFormat="false" ht="15" hidden="false" customHeight="false" outlineLevel="0" collapsed="false">
      <c r="A4912" s="9" t="s">
        <v>1879</v>
      </c>
      <c r="B4912" s="9" t="s">
        <v>440</v>
      </c>
      <c r="C4912" s="9" t="n">
        <v>12</v>
      </c>
      <c r="D4912" s="10" t="n">
        <v>1.65</v>
      </c>
      <c r="E4912" s="10" t="n">
        <f aca="false">C4912*D4912</f>
        <v>19.8</v>
      </c>
    </row>
    <row r="4913" customFormat="false" ht="15" hidden="false" customHeight="false" outlineLevel="0" collapsed="false">
      <c r="A4913" s="9" t="s">
        <v>1879</v>
      </c>
      <c r="B4913" s="9" t="s">
        <v>849</v>
      </c>
      <c r="C4913" s="9" t="n">
        <v>12</v>
      </c>
      <c r="D4913" s="10" t="n">
        <v>1.95</v>
      </c>
      <c r="E4913" s="10" t="n">
        <f aca="false">C4913*D4913</f>
        <v>23.4</v>
      </c>
    </row>
    <row r="4914" customFormat="false" ht="15" hidden="false" customHeight="false" outlineLevel="0" collapsed="false">
      <c r="A4914" s="9" t="s">
        <v>1879</v>
      </c>
      <c r="B4914" s="9" t="s">
        <v>913</v>
      </c>
      <c r="C4914" s="9" t="n">
        <v>2</v>
      </c>
      <c r="D4914" s="10" t="n">
        <v>5.45</v>
      </c>
      <c r="E4914" s="10" t="n">
        <f aca="false">C4914*D4914</f>
        <v>10.9</v>
      </c>
    </row>
    <row r="4915" customFormat="false" ht="15" hidden="false" customHeight="false" outlineLevel="0" collapsed="false">
      <c r="A4915" s="9" t="s">
        <v>1879</v>
      </c>
      <c r="B4915" s="9" t="s">
        <v>1585</v>
      </c>
      <c r="C4915" s="9" t="n">
        <v>4</v>
      </c>
      <c r="D4915" s="10" t="n">
        <v>4.25</v>
      </c>
      <c r="E4915" s="10" t="n">
        <f aca="false">C4915*D4915</f>
        <v>17</v>
      </c>
    </row>
    <row r="4916" customFormat="false" ht="15" hidden="false" customHeight="false" outlineLevel="0" collapsed="false">
      <c r="A4916" s="9" t="s">
        <v>1879</v>
      </c>
      <c r="B4916" s="9" t="s">
        <v>1019</v>
      </c>
      <c r="C4916" s="9" t="n">
        <v>10</v>
      </c>
      <c r="D4916" s="10" t="n">
        <v>0.85</v>
      </c>
      <c r="E4916" s="10" t="n">
        <f aca="false">C4916*D4916</f>
        <v>8.5</v>
      </c>
    </row>
    <row r="4917" customFormat="false" ht="15" hidden="false" customHeight="false" outlineLevel="0" collapsed="false">
      <c r="A4917" s="9" t="s">
        <v>1879</v>
      </c>
      <c r="B4917" s="9" t="s">
        <v>357</v>
      </c>
      <c r="C4917" s="9" t="n">
        <v>12</v>
      </c>
      <c r="D4917" s="10" t="n">
        <v>1.25</v>
      </c>
      <c r="E4917" s="10" t="n">
        <f aca="false">C4917*D4917</f>
        <v>15</v>
      </c>
    </row>
    <row r="4918" customFormat="false" ht="15" hidden="false" customHeight="false" outlineLevel="0" collapsed="false">
      <c r="A4918" s="9" t="s">
        <v>1879</v>
      </c>
      <c r="B4918" s="9" t="s">
        <v>503</v>
      </c>
      <c r="C4918" s="9" t="n">
        <v>12</v>
      </c>
      <c r="D4918" s="10" t="n">
        <v>1.25</v>
      </c>
      <c r="E4918" s="10" t="n">
        <f aca="false">C4918*D4918</f>
        <v>15</v>
      </c>
    </row>
    <row r="4919" customFormat="false" ht="15" hidden="false" customHeight="false" outlineLevel="0" collapsed="false">
      <c r="A4919" s="9" t="s">
        <v>1879</v>
      </c>
      <c r="B4919" s="9" t="s">
        <v>200</v>
      </c>
      <c r="C4919" s="9" t="n">
        <v>12</v>
      </c>
      <c r="D4919" s="10" t="n">
        <v>1.45</v>
      </c>
      <c r="E4919" s="10" t="n">
        <f aca="false">C4919*D4919</f>
        <v>17.4</v>
      </c>
    </row>
    <row r="4920" customFormat="false" ht="15" hidden="false" customHeight="false" outlineLevel="0" collapsed="false">
      <c r="A4920" s="9" t="s">
        <v>1879</v>
      </c>
      <c r="B4920" s="9" t="s">
        <v>153</v>
      </c>
      <c r="C4920" s="9" t="n">
        <v>12</v>
      </c>
      <c r="D4920" s="10" t="n">
        <v>1.25</v>
      </c>
      <c r="E4920" s="10" t="n">
        <f aca="false">C4920*D4920</f>
        <v>15</v>
      </c>
    </row>
    <row r="4921" customFormat="false" ht="15" hidden="false" customHeight="false" outlineLevel="0" collapsed="false">
      <c r="A4921" s="9" t="s">
        <v>1879</v>
      </c>
      <c r="B4921" s="9" t="s">
        <v>179</v>
      </c>
      <c r="C4921" s="9" t="n">
        <v>12</v>
      </c>
      <c r="D4921" s="10" t="n">
        <v>1.65</v>
      </c>
      <c r="E4921" s="10" t="n">
        <f aca="false">C4921*D4921</f>
        <v>19.8</v>
      </c>
    </row>
    <row r="4922" customFormat="false" ht="15" hidden="false" customHeight="false" outlineLevel="0" collapsed="false">
      <c r="A4922" s="9" t="s">
        <v>1879</v>
      </c>
      <c r="B4922" s="9" t="s">
        <v>185</v>
      </c>
      <c r="C4922" s="9" t="n">
        <v>6</v>
      </c>
      <c r="D4922" s="10" t="n">
        <v>2.95</v>
      </c>
      <c r="E4922" s="10" t="n">
        <f aca="false">C4922*D4922</f>
        <v>17.7</v>
      </c>
    </row>
    <row r="4923" customFormat="false" ht="15" hidden="false" customHeight="false" outlineLevel="0" collapsed="false">
      <c r="A4923" s="9" t="s">
        <v>1879</v>
      </c>
      <c r="B4923" s="9" t="s">
        <v>1581</v>
      </c>
      <c r="C4923" s="9" t="n">
        <v>4</v>
      </c>
      <c r="D4923" s="10" t="n">
        <v>6.75</v>
      </c>
      <c r="E4923" s="10" t="n">
        <f aca="false">C4923*D4923</f>
        <v>27</v>
      </c>
    </row>
    <row r="4924" customFormat="false" ht="15" hidden="false" customHeight="false" outlineLevel="0" collapsed="false">
      <c r="A4924" s="9" t="s">
        <v>1879</v>
      </c>
      <c r="B4924" s="9" t="s">
        <v>871</v>
      </c>
      <c r="C4924" s="9" t="n">
        <v>2</v>
      </c>
      <c r="D4924" s="10" t="n">
        <v>8.5</v>
      </c>
      <c r="E4924" s="10" t="n">
        <f aca="false">C4924*D4924</f>
        <v>17</v>
      </c>
    </row>
    <row r="4925" customFormat="false" ht="15" hidden="false" customHeight="false" outlineLevel="0" collapsed="false">
      <c r="A4925" s="9" t="s">
        <v>1879</v>
      </c>
      <c r="B4925" s="9" t="s">
        <v>59</v>
      </c>
      <c r="C4925" s="9" t="n">
        <v>8</v>
      </c>
      <c r="D4925" s="10" t="n">
        <v>1.69</v>
      </c>
      <c r="E4925" s="10" t="n">
        <f aca="false">C4925*D4925</f>
        <v>13.52</v>
      </c>
    </row>
    <row r="4926" customFormat="false" ht="15" hidden="false" customHeight="false" outlineLevel="0" collapsed="false">
      <c r="A4926" s="9" t="s">
        <v>1879</v>
      </c>
      <c r="B4926" s="9" t="s">
        <v>1061</v>
      </c>
      <c r="C4926" s="9" t="n">
        <v>2</v>
      </c>
      <c r="D4926" s="10" t="n">
        <v>8.5</v>
      </c>
      <c r="E4926" s="10" t="n">
        <f aca="false">C4926*D4926</f>
        <v>17</v>
      </c>
    </row>
    <row r="4927" customFormat="false" ht="15" hidden="false" customHeight="false" outlineLevel="0" collapsed="false">
      <c r="A4927" s="9" t="s">
        <v>1879</v>
      </c>
      <c r="B4927" s="9" t="s">
        <v>592</v>
      </c>
      <c r="C4927" s="9" t="n">
        <v>6</v>
      </c>
      <c r="D4927" s="10" t="n">
        <v>3.25</v>
      </c>
      <c r="E4927" s="10" t="n">
        <f aca="false">C4927*D4927</f>
        <v>19.5</v>
      </c>
    </row>
    <row r="4928" customFormat="false" ht="15" hidden="false" customHeight="false" outlineLevel="0" collapsed="false">
      <c r="A4928" s="9" t="s">
        <v>1879</v>
      </c>
      <c r="B4928" s="9" t="s">
        <v>335</v>
      </c>
      <c r="C4928" s="9" t="n">
        <v>4</v>
      </c>
      <c r="D4928" s="10" t="n">
        <v>9.95</v>
      </c>
      <c r="E4928" s="10" t="n">
        <f aca="false">C4928*D4928</f>
        <v>39.8</v>
      </c>
    </row>
    <row r="4929" customFormat="false" ht="15" hidden="false" customHeight="false" outlineLevel="0" collapsed="false">
      <c r="A4929" s="9" t="s">
        <v>1879</v>
      </c>
      <c r="B4929" s="9" t="s">
        <v>312</v>
      </c>
      <c r="C4929" s="9" t="n">
        <v>8</v>
      </c>
      <c r="D4929" s="10" t="n">
        <v>2.95</v>
      </c>
      <c r="E4929" s="10" t="n">
        <f aca="false">C4929*D4929</f>
        <v>23.6</v>
      </c>
    </row>
    <row r="4930" customFormat="false" ht="15" hidden="false" customHeight="false" outlineLevel="0" collapsed="false">
      <c r="A4930" s="9" t="s">
        <v>1880</v>
      </c>
      <c r="B4930" s="9" t="s">
        <v>476</v>
      </c>
      <c r="C4930" s="9" t="n">
        <v>12</v>
      </c>
      <c r="D4930" s="10" t="n">
        <v>1.65</v>
      </c>
      <c r="E4930" s="10" t="n">
        <f aca="false">C4930*D4930</f>
        <v>19.8</v>
      </c>
    </row>
    <row r="4931" customFormat="false" ht="15" hidden="false" customHeight="false" outlineLevel="0" collapsed="false">
      <c r="A4931" s="9" t="s">
        <v>1880</v>
      </c>
      <c r="B4931" s="9" t="s">
        <v>757</v>
      </c>
      <c r="C4931" s="9" t="n">
        <v>6</v>
      </c>
      <c r="D4931" s="10" t="n">
        <v>2.55</v>
      </c>
      <c r="E4931" s="10" t="n">
        <f aca="false">C4931*D4931</f>
        <v>15.3</v>
      </c>
    </row>
    <row r="4932" customFormat="false" ht="15" hidden="false" customHeight="false" outlineLevel="0" collapsed="false">
      <c r="A4932" s="9" t="s">
        <v>1880</v>
      </c>
      <c r="B4932" s="9" t="s">
        <v>821</v>
      </c>
      <c r="C4932" s="9" t="n">
        <v>48</v>
      </c>
      <c r="D4932" s="10" t="n">
        <v>0.29</v>
      </c>
      <c r="E4932" s="10" t="n">
        <f aca="false">C4932*D4932</f>
        <v>13.92</v>
      </c>
    </row>
    <row r="4933" customFormat="false" ht="15" hidden="false" customHeight="false" outlineLevel="0" collapsed="false">
      <c r="A4933" s="9" t="s">
        <v>1880</v>
      </c>
      <c r="B4933" s="9" t="s">
        <v>1314</v>
      </c>
      <c r="C4933" s="9" t="n">
        <v>6</v>
      </c>
      <c r="D4933" s="10" t="n">
        <v>5.45</v>
      </c>
      <c r="E4933" s="10" t="n">
        <f aca="false">C4933*D4933</f>
        <v>32.7</v>
      </c>
    </row>
    <row r="4934" customFormat="false" ht="15" hidden="false" customHeight="false" outlineLevel="0" collapsed="false">
      <c r="A4934" s="9" t="s">
        <v>1880</v>
      </c>
      <c r="B4934" s="9" t="s">
        <v>1315</v>
      </c>
      <c r="C4934" s="9" t="n">
        <v>6</v>
      </c>
      <c r="D4934" s="10" t="n">
        <v>5.45</v>
      </c>
      <c r="E4934" s="10" t="n">
        <f aca="false">C4934*D4934</f>
        <v>32.7</v>
      </c>
    </row>
    <row r="4935" customFormat="false" ht="15" hidden="false" customHeight="false" outlineLevel="0" collapsed="false">
      <c r="A4935" s="9" t="s">
        <v>1880</v>
      </c>
      <c r="B4935" s="9" t="s">
        <v>124</v>
      </c>
      <c r="C4935" s="9" t="n">
        <v>10</v>
      </c>
      <c r="D4935" s="10" t="n">
        <v>2.95</v>
      </c>
      <c r="E4935" s="10" t="n">
        <f aca="false">C4935*D4935</f>
        <v>29.5</v>
      </c>
    </row>
    <row r="4936" customFormat="false" ht="15" hidden="false" customHeight="false" outlineLevel="0" collapsed="false">
      <c r="A4936" s="9" t="s">
        <v>1880</v>
      </c>
      <c r="B4936" s="9" t="s">
        <v>1502</v>
      </c>
      <c r="C4936" s="9" t="n">
        <v>6</v>
      </c>
      <c r="D4936" s="10" t="n">
        <v>4.95</v>
      </c>
      <c r="E4936" s="10" t="n">
        <f aca="false">C4936*D4936</f>
        <v>29.7</v>
      </c>
    </row>
    <row r="4937" customFormat="false" ht="15" hidden="false" customHeight="false" outlineLevel="0" collapsed="false">
      <c r="A4937" s="9" t="s">
        <v>1880</v>
      </c>
      <c r="B4937" s="9" t="s">
        <v>52</v>
      </c>
      <c r="C4937" s="9" t="n">
        <v>6</v>
      </c>
      <c r="D4937" s="10" t="n">
        <v>4.95</v>
      </c>
      <c r="E4937" s="10" t="n">
        <f aca="false">C4937*D4937</f>
        <v>29.7</v>
      </c>
    </row>
    <row r="4938" customFormat="false" ht="15" hidden="false" customHeight="false" outlineLevel="0" collapsed="false">
      <c r="A4938" s="9" t="s">
        <v>1880</v>
      </c>
      <c r="B4938" s="9" t="s">
        <v>616</v>
      </c>
      <c r="C4938" s="9" t="n">
        <v>16</v>
      </c>
      <c r="D4938" s="10" t="n">
        <v>1.25</v>
      </c>
      <c r="E4938" s="10" t="n">
        <f aca="false">C4938*D4938</f>
        <v>20</v>
      </c>
    </row>
    <row r="4939" customFormat="false" ht="15" hidden="false" customHeight="false" outlineLevel="0" collapsed="false">
      <c r="A4939" s="9" t="s">
        <v>1880</v>
      </c>
      <c r="B4939" s="9" t="s">
        <v>297</v>
      </c>
      <c r="C4939" s="9" t="n">
        <v>10</v>
      </c>
      <c r="D4939" s="10" t="n">
        <v>1.65</v>
      </c>
      <c r="E4939" s="10" t="n">
        <f aca="false">C4939*D4939</f>
        <v>16.5</v>
      </c>
    </row>
    <row r="4940" customFormat="false" ht="15" hidden="false" customHeight="false" outlineLevel="0" collapsed="false">
      <c r="A4940" s="9" t="s">
        <v>1880</v>
      </c>
      <c r="B4940" s="9" t="s">
        <v>239</v>
      </c>
      <c r="C4940" s="9" t="n">
        <v>4</v>
      </c>
      <c r="D4940" s="10" t="n">
        <v>5.95</v>
      </c>
      <c r="E4940" s="10" t="n">
        <f aca="false">C4940*D4940</f>
        <v>23.8</v>
      </c>
    </row>
    <row r="4941" customFormat="false" ht="15" hidden="false" customHeight="false" outlineLevel="0" collapsed="false">
      <c r="A4941" s="9" t="s">
        <v>1881</v>
      </c>
      <c r="B4941" s="9" t="s">
        <v>796</v>
      </c>
      <c r="C4941" s="9" t="n">
        <v>12</v>
      </c>
      <c r="D4941" s="10" t="n">
        <v>1.25</v>
      </c>
      <c r="E4941" s="10" t="n">
        <f aca="false">C4941*D4941</f>
        <v>15</v>
      </c>
    </row>
    <row r="4942" customFormat="false" ht="15" hidden="false" customHeight="false" outlineLevel="0" collapsed="false">
      <c r="A4942" s="9" t="s">
        <v>1881</v>
      </c>
      <c r="B4942" s="9" t="s">
        <v>1303</v>
      </c>
      <c r="C4942" s="9" t="n">
        <v>2</v>
      </c>
      <c r="D4942" s="10" t="n">
        <v>9.95</v>
      </c>
      <c r="E4942" s="10" t="n">
        <f aca="false">C4942*D4942</f>
        <v>19.9</v>
      </c>
    </row>
    <row r="4943" customFormat="false" ht="15" hidden="false" customHeight="false" outlineLevel="0" collapsed="false">
      <c r="A4943" s="9" t="s">
        <v>1882</v>
      </c>
      <c r="B4943" s="9" t="s">
        <v>239</v>
      </c>
      <c r="C4943" s="9" t="n">
        <v>32</v>
      </c>
      <c r="D4943" s="10" t="n">
        <v>4.95</v>
      </c>
      <c r="E4943" s="10" t="n">
        <f aca="false">C4943*D4943</f>
        <v>158.4</v>
      </c>
    </row>
    <row r="4944" customFormat="false" ht="15" hidden="false" customHeight="false" outlineLevel="0" collapsed="false">
      <c r="A4944" s="9" t="s">
        <v>1882</v>
      </c>
      <c r="B4944" s="9" t="s">
        <v>1608</v>
      </c>
      <c r="C4944" s="9" t="n">
        <v>4</v>
      </c>
      <c r="D4944" s="10" t="n">
        <v>3.75</v>
      </c>
      <c r="E4944" s="10" t="n">
        <f aca="false">C4944*D4944</f>
        <v>15</v>
      </c>
    </row>
    <row r="4945" customFormat="false" ht="15" hidden="false" customHeight="false" outlineLevel="0" collapsed="false">
      <c r="A4945" s="9" t="s">
        <v>1882</v>
      </c>
      <c r="B4945" s="9" t="s">
        <v>1299</v>
      </c>
      <c r="C4945" s="9" t="n">
        <v>2</v>
      </c>
      <c r="D4945" s="10" t="n">
        <v>7.95</v>
      </c>
      <c r="E4945" s="10" t="n">
        <f aca="false">C4945*D4945</f>
        <v>15.9</v>
      </c>
    </row>
    <row r="4946" customFormat="false" ht="15" hidden="false" customHeight="false" outlineLevel="0" collapsed="false">
      <c r="A4946" s="9" t="s">
        <v>1883</v>
      </c>
      <c r="B4946" s="9" t="s">
        <v>40</v>
      </c>
      <c r="C4946" s="9" t="n">
        <v>1</v>
      </c>
      <c r="D4946" s="10" t="n">
        <v>3.75</v>
      </c>
      <c r="E4946" s="10" t="n">
        <f aca="false">C4946*D4946</f>
        <v>3.75</v>
      </c>
    </row>
    <row r="4947" customFormat="false" ht="15" hidden="false" customHeight="false" outlineLevel="0" collapsed="false">
      <c r="A4947" s="9" t="s">
        <v>1883</v>
      </c>
      <c r="B4947" s="9" t="s">
        <v>450</v>
      </c>
      <c r="C4947" s="9" t="n">
        <v>1</v>
      </c>
      <c r="D4947" s="10" t="n">
        <v>4.95</v>
      </c>
      <c r="E4947" s="10" t="n">
        <f aca="false">C4947*D4947</f>
        <v>4.95</v>
      </c>
    </row>
    <row r="4948" customFormat="false" ht="15" hidden="false" customHeight="false" outlineLevel="0" collapsed="false">
      <c r="A4948" s="9" t="s">
        <v>1883</v>
      </c>
      <c r="B4948" s="9" t="s">
        <v>119</v>
      </c>
      <c r="C4948" s="9" t="n">
        <v>1</v>
      </c>
      <c r="D4948" s="10" t="n">
        <v>1.65</v>
      </c>
      <c r="E4948" s="10" t="n">
        <f aca="false">C4948*D4948</f>
        <v>1.65</v>
      </c>
    </row>
    <row r="4949" customFormat="false" ht="15" hidden="false" customHeight="false" outlineLevel="0" collapsed="false">
      <c r="A4949" s="9" t="s">
        <v>1883</v>
      </c>
      <c r="B4949" s="9" t="s">
        <v>463</v>
      </c>
      <c r="C4949" s="9" t="n">
        <v>1</v>
      </c>
      <c r="D4949" s="10" t="n">
        <v>2.95</v>
      </c>
      <c r="E4949" s="10" t="n">
        <f aca="false">C4949*D4949</f>
        <v>2.95</v>
      </c>
    </row>
    <row r="4950" customFormat="false" ht="15" hidden="false" customHeight="false" outlineLevel="0" collapsed="false">
      <c r="A4950" s="9" t="s">
        <v>1883</v>
      </c>
      <c r="B4950" s="9" t="s">
        <v>1290</v>
      </c>
      <c r="C4950" s="9" t="n">
        <v>3</v>
      </c>
      <c r="D4950" s="10" t="n">
        <v>1.25</v>
      </c>
      <c r="E4950" s="10" t="n">
        <f aca="false">C4950*D4950</f>
        <v>3.75</v>
      </c>
    </row>
    <row r="4951" customFormat="false" ht="15" hidden="false" customHeight="false" outlineLevel="0" collapsed="false">
      <c r="A4951" s="9" t="s">
        <v>1883</v>
      </c>
      <c r="B4951" s="9" t="s">
        <v>617</v>
      </c>
      <c r="C4951" s="9" t="n">
        <v>4</v>
      </c>
      <c r="D4951" s="10" t="n">
        <v>1.25</v>
      </c>
      <c r="E4951" s="10" t="n">
        <f aca="false">C4951*D4951</f>
        <v>5</v>
      </c>
    </row>
    <row r="4952" customFormat="false" ht="15" hidden="false" customHeight="false" outlineLevel="0" collapsed="false">
      <c r="A4952" s="9" t="s">
        <v>1883</v>
      </c>
      <c r="B4952" s="9" t="s">
        <v>434</v>
      </c>
      <c r="C4952" s="9" t="n">
        <v>2</v>
      </c>
      <c r="D4952" s="10" t="n">
        <v>2.95</v>
      </c>
      <c r="E4952" s="10" t="n">
        <f aca="false">C4952*D4952</f>
        <v>5.9</v>
      </c>
    </row>
    <row r="4953" customFormat="false" ht="15" hidden="false" customHeight="false" outlineLevel="0" collapsed="false">
      <c r="A4953" s="9" t="s">
        <v>1883</v>
      </c>
      <c r="B4953" s="9" t="s">
        <v>220</v>
      </c>
      <c r="C4953" s="9" t="n">
        <v>1</v>
      </c>
      <c r="D4953" s="10" t="n">
        <v>5.95</v>
      </c>
      <c r="E4953" s="10" t="n">
        <f aca="false">C4953*D4953</f>
        <v>5.95</v>
      </c>
    </row>
    <row r="4954" customFormat="false" ht="15" hidden="false" customHeight="false" outlineLevel="0" collapsed="false">
      <c r="A4954" s="9" t="s">
        <v>1883</v>
      </c>
      <c r="B4954" s="9" t="s">
        <v>1884</v>
      </c>
      <c r="C4954" s="9" t="n">
        <v>1</v>
      </c>
      <c r="D4954" s="10" t="n">
        <v>2.1</v>
      </c>
      <c r="E4954" s="10" t="n">
        <f aca="false">C4954*D4954</f>
        <v>2.1</v>
      </c>
    </row>
    <row r="4955" customFormat="false" ht="15" hidden="false" customHeight="false" outlineLevel="0" collapsed="false">
      <c r="A4955" s="9" t="s">
        <v>1883</v>
      </c>
      <c r="B4955" s="9" t="s">
        <v>755</v>
      </c>
      <c r="C4955" s="9" t="n">
        <v>1</v>
      </c>
      <c r="D4955" s="10" t="n">
        <v>9.95</v>
      </c>
      <c r="E4955" s="10" t="n">
        <f aca="false">C4955*D4955</f>
        <v>9.95</v>
      </c>
    </row>
    <row r="4956" customFormat="false" ht="15" hidden="false" customHeight="false" outlineLevel="0" collapsed="false">
      <c r="A4956" s="9" t="s">
        <v>1883</v>
      </c>
      <c r="B4956" s="9" t="s">
        <v>269</v>
      </c>
      <c r="C4956" s="9" t="n">
        <v>2</v>
      </c>
      <c r="D4956" s="10" t="n">
        <v>3.75</v>
      </c>
      <c r="E4956" s="10" t="n">
        <f aca="false">C4956*D4956</f>
        <v>7.5</v>
      </c>
    </row>
    <row r="4957" customFormat="false" ht="15" hidden="false" customHeight="false" outlineLevel="0" collapsed="false">
      <c r="A4957" s="9" t="s">
        <v>1883</v>
      </c>
      <c r="B4957" s="9" t="s">
        <v>269</v>
      </c>
      <c r="C4957" s="9" t="n">
        <v>1</v>
      </c>
      <c r="D4957" s="10" t="n">
        <v>3.75</v>
      </c>
      <c r="E4957" s="10" t="n">
        <f aca="false">C4957*D4957</f>
        <v>3.75</v>
      </c>
    </row>
    <row r="4958" customFormat="false" ht="15" hidden="false" customHeight="false" outlineLevel="0" collapsed="false">
      <c r="A4958" s="9" t="s">
        <v>1883</v>
      </c>
      <c r="B4958" s="9" t="s">
        <v>1807</v>
      </c>
      <c r="C4958" s="9" t="n">
        <v>1</v>
      </c>
      <c r="D4958" s="10" t="n">
        <v>8.5</v>
      </c>
      <c r="E4958" s="10" t="n">
        <f aca="false">C4958*D4958</f>
        <v>8.5</v>
      </c>
    </row>
    <row r="4959" customFormat="false" ht="15" hidden="false" customHeight="false" outlineLevel="0" collapsed="false">
      <c r="A4959" s="9" t="s">
        <v>1883</v>
      </c>
      <c r="B4959" s="9" t="s">
        <v>244</v>
      </c>
      <c r="C4959" s="9" t="n">
        <v>2</v>
      </c>
      <c r="D4959" s="10" t="n">
        <v>3.75</v>
      </c>
      <c r="E4959" s="10" t="n">
        <f aca="false">C4959*D4959</f>
        <v>7.5</v>
      </c>
    </row>
    <row r="4960" customFormat="false" ht="15" hidden="false" customHeight="false" outlineLevel="0" collapsed="false">
      <c r="A4960" s="9" t="s">
        <v>1883</v>
      </c>
      <c r="B4960" s="9" t="s">
        <v>1885</v>
      </c>
      <c r="C4960" s="9" t="n">
        <v>1</v>
      </c>
      <c r="D4960" s="10" t="n">
        <v>1.25</v>
      </c>
      <c r="E4960" s="10" t="n">
        <f aca="false">C4960*D4960</f>
        <v>1.25</v>
      </c>
    </row>
    <row r="4961" customFormat="false" ht="15" hidden="false" customHeight="false" outlineLevel="0" collapsed="false">
      <c r="A4961" s="9" t="s">
        <v>1883</v>
      </c>
      <c r="B4961" s="9" t="s">
        <v>1062</v>
      </c>
      <c r="C4961" s="9" t="n">
        <v>1</v>
      </c>
      <c r="D4961" s="10" t="n">
        <v>2.95</v>
      </c>
      <c r="E4961" s="10" t="n">
        <f aca="false">C4961*D4961</f>
        <v>2.95</v>
      </c>
    </row>
    <row r="4962" customFormat="false" ht="15" hidden="false" customHeight="false" outlineLevel="0" collapsed="false">
      <c r="A4962" s="9" t="s">
        <v>1883</v>
      </c>
      <c r="B4962" s="9" t="s">
        <v>342</v>
      </c>
      <c r="C4962" s="9" t="n">
        <v>1</v>
      </c>
      <c r="D4962" s="10" t="n">
        <v>1.65</v>
      </c>
      <c r="E4962" s="10" t="n">
        <f aca="false">C4962*D4962</f>
        <v>1.65</v>
      </c>
    </row>
    <row r="4963" customFormat="false" ht="15" hidden="false" customHeight="false" outlineLevel="0" collapsed="false">
      <c r="A4963" s="9" t="s">
        <v>1883</v>
      </c>
      <c r="B4963" s="9" t="s">
        <v>122</v>
      </c>
      <c r="C4963" s="9" t="n">
        <v>1</v>
      </c>
      <c r="D4963" s="10" t="n">
        <v>3.75</v>
      </c>
      <c r="E4963" s="10" t="n">
        <f aca="false">C4963*D4963</f>
        <v>3.75</v>
      </c>
    </row>
    <row r="4964" customFormat="false" ht="15" hidden="false" customHeight="false" outlineLevel="0" collapsed="false">
      <c r="A4964" s="9" t="s">
        <v>1883</v>
      </c>
      <c r="B4964" s="9" t="s">
        <v>298</v>
      </c>
      <c r="C4964" s="9" t="n">
        <v>1</v>
      </c>
      <c r="D4964" s="10" t="n">
        <v>1.65</v>
      </c>
      <c r="E4964" s="10" t="n">
        <f aca="false">C4964*D4964</f>
        <v>1.65</v>
      </c>
    </row>
    <row r="4965" customFormat="false" ht="15" hidden="false" customHeight="false" outlineLevel="0" collapsed="false">
      <c r="A4965" s="9" t="s">
        <v>1883</v>
      </c>
      <c r="B4965" s="9" t="s">
        <v>1886</v>
      </c>
      <c r="C4965" s="9" t="n">
        <v>1</v>
      </c>
      <c r="D4965" s="10" t="n">
        <v>2.95</v>
      </c>
      <c r="E4965" s="10" t="n">
        <f aca="false">C4965*D4965</f>
        <v>2.95</v>
      </c>
    </row>
    <row r="4966" customFormat="false" ht="15" hidden="false" customHeight="false" outlineLevel="0" collapsed="false">
      <c r="A4966" s="9" t="s">
        <v>1883</v>
      </c>
      <c r="B4966" s="9" t="s">
        <v>1887</v>
      </c>
      <c r="C4966" s="9" t="n">
        <v>1</v>
      </c>
      <c r="D4966" s="10" t="n">
        <v>6.95</v>
      </c>
      <c r="E4966" s="10" t="n">
        <f aca="false">C4966*D4966</f>
        <v>6.95</v>
      </c>
    </row>
    <row r="4967" customFormat="false" ht="15" hidden="false" customHeight="false" outlineLevel="0" collapsed="false">
      <c r="A4967" s="9" t="s">
        <v>1883</v>
      </c>
      <c r="B4967" s="9" t="s">
        <v>402</v>
      </c>
      <c r="C4967" s="9" t="n">
        <v>6</v>
      </c>
      <c r="D4967" s="10" t="n">
        <v>0.65</v>
      </c>
      <c r="E4967" s="10" t="n">
        <f aca="false">C4967*D4967</f>
        <v>3.9</v>
      </c>
    </row>
    <row r="4968" customFormat="false" ht="15" hidden="false" customHeight="false" outlineLevel="0" collapsed="false">
      <c r="A4968" s="9" t="s">
        <v>1883</v>
      </c>
      <c r="B4968" s="9" t="s">
        <v>754</v>
      </c>
      <c r="C4968" s="9" t="n">
        <v>1</v>
      </c>
      <c r="D4968" s="10" t="n">
        <v>9.95</v>
      </c>
      <c r="E4968" s="10" t="n">
        <f aca="false">C4968*D4968</f>
        <v>9.95</v>
      </c>
    </row>
    <row r="4969" customFormat="false" ht="15" hidden="false" customHeight="false" outlineLevel="0" collapsed="false">
      <c r="A4969" s="9" t="s">
        <v>1883</v>
      </c>
      <c r="B4969" s="9" t="s">
        <v>242</v>
      </c>
      <c r="C4969" s="9" t="n">
        <v>1</v>
      </c>
      <c r="D4969" s="10" t="n">
        <v>1.25</v>
      </c>
      <c r="E4969" s="10" t="n">
        <f aca="false">C4969*D4969</f>
        <v>1.25</v>
      </c>
    </row>
    <row r="4970" customFormat="false" ht="15" hidden="false" customHeight="false" outlineLevel="0" collapsed="false">
      <c r="A4970" s="9" t="s">
        <v>1883</v>
      </c>
      <c r="B4970" s="9" t="s">
        <v>980</v>
      </c>
      <c r="C4970" s="9" t="n">
        <v>1</v>
      </c>
      <c r="D4970" s="10" t="n">
        <v>4.25</v>
      </c>
      <c r="E4970" s="10" t="n">
        <f aca="false">C4970*D4970</f>
        <v>4.25</v>
      </c>
    </row>
    <row r="4971" customFormat="false" ht="15" hidden="false" customHeight="false" outlineLevel="0" collapsed="false">
      <c r="A4971" s="9" t="s">
        <v>1883</v>
      </c>
      <c r="B4971" s="9" t="s">
        <v>786</v>
      </c>
      <c r="C4971" s="9" t="n">
        <v>1</v>
      </c>
      <c r="D4971" s="10" t="n">
        <v>2.95</v>
      </c>
      <c r="E4971" s="10" t="n">
        <f aca="false">C4971*D4971</f>
        <v>2.95</v>
      </c>
    </row>
    <row r="4972" customFormat="false" ht="15" hidden="false" customHeight="false" outlineLevel="0" collapsed="false">
      <c r="A4972" s="9" t="s">
        <v>1883</v>
      </c>
      <c r="B4972" s="9" t="s">
        <v>1406</v>
      </c>
      <c r="C4972" s="9" t="n">
        <v>1</v>
      </c>
      <c r="D4972" s="10" t="n">
        <v>3.75</v>
      </c>
      <c r="E4972" s="10" t="n">
        <f aca="false">C4972*D4972</f>
        <v>3.75</v>
      </c>
    </row>
    <row r="4973" customFormat="false" ht="15" hidden="false" customHeight="false" outlineLevel="0" collapsed="false">
      <c r="A4973" s="9" t="s">
        <v>1883</v>
      </c>
      <c r="B4973" s="9" t="s">
        <v>1093</v>
      </c>
      <c r="C4973" s="9" t="n">
        <v>1</v>
      </c>
      <c r="D4973" s="10" t="n">
        <v>3.75</v>
      </c>
      <c r="E4973" s="10" t="n">
        <f aca="false">C4973*D4973</f>
        <v>3.75</v>
      </c>
    </row>
    <row r="4974" customFormat="false" ht="15" hidden="false" customHeight="false" outlineLevel="0" collapsed="false">
      <c r="A4974" s="9" t="s">
        <v>1883</v>
      </c>
      <c r="B4974" s="9" t="s">
        <v>135</v>
      </c>
      <c r="C4974" s="9" t="n">
        <v>4</v>
      </c>
      <c r="D4974" s="10" t="n">
        <v>0.85</v>
      </c>
      <c r="E4974" s="10" t="n">
        <f aca="false">C4974*D4974</f>
        <v>3.4</v>
      </c>
    </row>
    <row r="4975" customFormat="false" ht="15" hidden="false" customHeight="false" outlineLevel="0" collapsed="false">
      <c r="A4975" s="9" t="s">
        <v>1888</v>
      </c>
      <c r="B4975" s="9" t="s">
        <v>1612</v>
      </c>
      <c r="C4975" s="9" t="n">
        <v>1</v>
      </c>
      <c r="D4975" s="10" t="n">
        <v>0.85</v>
      </c>
      <c r="E4975" s="10" t="n">
        <f aca="false">C4975*D4975</f>
        <v>0.85</v>
      </c>
    </row>
    <row r="4976" customFormat="false" ht="15" hidden="false" customHeight="false" outlineLevel="0" collapsed="false">
      <c r="A4976" s="9" t="s">
        <v>1888</v>
      </c>
      <c r="B4976" s="9" t="s">
        <v>1051</v>
      </c>
      <c r="C4976" s="9" t="n">
        <v>1</v>
      </c>
      <c r="D4976" s="10" t="n">
        <v>1.25</v>
      </c>
      <c r="E4976" s="10" t="n">
        <f aca="false">C4976*D4976</f>
        <v>1.25</v>
      </c>
    </row>
    <row r="4977" customFormat="false" ht="15" hidden="false" customHeight="false" outlineLevel="0" collapsed="false">
      <c r="A4977" s="9" t="s">
        <v>1888</v>
      </c>
      <c r="B4977" s="9" t="s">
        <v>434</v>
      </c>
      <c r="C4977" s="9" t="n">
        <v>1</v>
      </c>
      <c r="D4977" s="10" t="n">
        <v>2.95</v>
      </c>
      <c r="E4977" s="10" t="n">
        <f aca="false">C4977*D4977</f>
        <v>2.95</v>
      </c>
    </row>
    <row r="4978" customFormat="false" ht="15" hidden="false" customHeight="false" outlineLevel="0" collapsed="false">
      <c r="A4978" s="9" t="s">
        <v>1888</v>
      </c>
      <c r="B4978" s="9" t="s">
        <v>725</v>
      </c>
      <c r="C4978" s="9" t="n">
        <v>1</v>
      </c>
      <c r="D4978" s="10" t="n">
        <v>0.65</v>
      </c>
      <c r="E4978" s="10" t="n">
        <f aca="false">C4978*D4978</f>
        <v>0.65</v>
      </c>
    </row>
    <row r="4979" customFormat="false" ht="15" hidden="false" customHeight="false" outlineLevel="0" collapsed="false">
      <c r="A4979" s="9" t="s">
        <v>1888</v>
      </c>
      <c r="B4979" s="9" t="s">
        <v>383</v>
      </c>
      <c r="C4979" s="9" t="n">
        <v>1</v>
      </c>
      <c r="D4979" s="10" t="n">
        <v>0.85</v>
      </c>
      <c r="E4979" s="10" t="n">
        <f aca="false">C4979*D4979</f>
        <v>0.85</v>
      </c>
    </row>
    <row r="4980" customFormat="false" ht="15" hidden="false" customHeight="false" outlineLevel="0" collapsed="false">
      <c r="A4980" s="9" t="s">
        <v>1888</v>
      </c>
      <c r="B4980" s="9" t="s">
        <v>659</v>
      </c>
      <c r="C4980" s="9" t="n">
        <v>1</v>
      </c>
      <c r="D4980" s="10" t="n">
        <v>9.95</v>
      </c>
      <c r="E4980" s="10" t="n">
        <f aca="false">C4980*D4980</f>
        <v>9.95</v>
      </c>
    </row>
    <row r="4981" customFormat="false" ht="15" hidden="false" customHeight="false" outlineLevel="0" collapsed="false">
      <c r="A4981" s="9" t="s">
        <v>1888</v>
      </c>
      <c r="B4981" s="9" t="s">
        <v>1760</v>
      </c>
      <c r="C4981" s="9" t="n">
        <v>1</v>
      </c>
      <c r="D4981" s="10" t="n">
        <v>3.75</v>
      </c>
      <c r="E4981" s="10" t="n">
        <f aca="false">C4981*D4981</f>
        <v>3.75</v>
      </c>
    </row>
    <row r="4982" customFormat="false" ht="15" hidden="false" customHeight="false" outlineLevel="0" collapsed="false">
      <c r="A4982" s="9" t="s">
        <v>1888</v>
      </c>
      <c r="B4982" s="9" t="s">
        <v>1156</v>
      </c>
      <c r="C4982" s="9" t="n">
        <v>1</v>
      </c>
      <c r="D4982" s="10" t="n">
        <v>14.95</v>
      </c>
      <c r="E4982" s="10" t="n">
        <f aca="false">C4982*D4982</f>
        <v>14.95</v>
      </c>
    </row>
    <row r="4983" customFormat="false" ht="15" hidden="false" customHeight="false" outlineLevel="0" collapsed="false">
      <c r="A4983" s="9" t="s">
        <v>1888</v>
      </c>
      <c r="B4983" s="9" t="s">
        <v>753</v>
      </c>
      <c r="C4983" s="9" t="n">
        <v>1</v>
      </c>
      <c r="D4983" s="10" t="n">
        <v>9.95</v>
      </c>
      <c r="E4983" s="10" t="n">
        <f aca="false">C4983*D4983</f>
        <v>9.95</v>
      </c>
    </row>
    <row r="4984" customFormat="false" ht="15" hidden="false" customHeight="false" outlineLevel="0" collapsed="false">
      <c r="A4984" s="9" t="s">
        <v>1888</v>
      </c>
      <c r="B4984" s="9" t="s">
        <v>1416</v>
      </c>
      <c r="C4984" s="9" t="n">
        <v>2</v>
      </c>
      <c r="D4984" s="10" t="n">
        <v>3.25</v>
      </c>
      <c r="E4984" s="10" t="n">
        <f aca="false">C4984*D4984</f>
        <v>6.5</v>
      </c>
    </row>
    <row r="4985" customFormat="false" ht="15" hidden="false" customHeight="false" outlineLevel="0" collapsed="false">
      <c r="A4985" s="9" t="s">
        <v>1888</v>
      </c>
      <c r="B4985" s="9" t="s">
        <v>828</v>
      </c>
      <c r="C4985" s="9" t="n">
        <v>1</v>
      </c>
      <c r="D4985" s="10" t="n">
        <v>16.95</v>
      </c>
      <c r="E4985" s="10" t="n">
        <f aca="false">C4985*D4985</f>
        <v>16.95</v>
      </c>
    </row>
    <row r="4986" customFormat="false" ht="15" hidden="false" customHeight="false" outlineLevel="0" collapsed="false">
      <c r="A4986" s="9" t="s">
        <v>1888</v>
      </c>
      <c r="B4986" s="9" t="s">
        <v>505</v>
      </c>
      <c r="C4986" s="9" t="n">
        <v>1</v>
      </c>
      <c r="D4986" s="10" t="n">
        <v>2.1</v>
      </c>
      <c r="E4986" s="10" t="n">
        <f aca="false">C4986*D4986</f>
        <v>2.1</v>
      </c>
    </row>
    <row r="4987" customFormat="false" ht="15" hidden="false" customHeight="false" outlineLevel="0" collapsed="false">
      <c r="A4987" s="9" t="s">
        <v>1888</v>
      </c>
      <c r="B4987" s="9" t="s">
        <v>707</v>
      </c>
      <c r="C4987" s="9" t="n">
        <v>1</v>
      </c>
      <c r="D4987" s="10" t="n">
        <v>1.25</v>
      </c>
      <c r="E4987" s="10" t="n">
        <f aca="false">C4987*D4987</f>
        <v>1.25</v>
      </c>
    </row>
    <row r="4988" customFormat="false" ht="15" hidden="false" customHeight="false" outlineLevel="0" collapsed="false">
      <c r="A4988" s="9" t="s">
        <v>1888</v>
      </c>
      <c r="B4988" s="9" t="s">
        <v>94</v>
      </c>
      <c r="C4988" s="9" t="n">
        <v>2</v>
      </c>
      <c r="D4988" s="10" t="n">
        <v>2.95</v>
      </c>
      <c r="E4988" s="10" t="n">
        <f aca="false">C4988*D4988</f>
        <v>5.9</v>
      </c>
    </row>
    <row r="4989" customFormat="false" ht="15" hidden="false" customHeight="false" outlineLevel="0" collapsed="false">
      <c r="A4989" s="9" t="s">
        <v>1888</v>
      </c>
      <c r="B4989" s="9" t="s">
        <v>1692</v>
      </c>
      <c r="C4989" s="9" t="n">
        <v>1</v>
      </c>
      <c r="D4989" s="10" t="n">
        <v>4.95</v>
      </c>
      <c r="E4989" s="10" t="n">
        <f aca="false">C4989*D4989</f>
        <v>4.95</v>
      </c>
    </row>
    <row r="4990" customFormat="false" ht="15" hidden="false" customHeight="false" outlineLevel="0" collapsed="false">
      <c r="A4990" s="9" t="s">
        <v>1888</v>
      </c>
      <c r="B4990" s="9" t="s">
        <v>465</v>
      </c>
      <c r="C4990" s="9" t="n">
        <v>1</v>
      </c>
      <c r="D4990" s="10" t="n">
        <v>4.25</v>
      </c>
      <c r="E4990" s="10" t="n">
        <f aca="false">C4990*D4990</f>
        <v>4.25</v>
      </c>
    </row>
    <row r="4991" customFormat="false" ht="15" hidden="false" customHeight="false" outlineLevel="0" collapsed="false">
      <c r="A4991" s="9" t="s">
        <v>1888</v>
      </c>
      <c r="B4991" s="9" t="s">
        <v>337</v>
      </c>
      <c r="C4991" s="9" t="n">
        <v>3</v>
      </c>
      <c r="D4991" s="10" t="n">
        <v>4.65</v>
      </c>
      <c r="E4991" s="10" t="n">
        <f aca="false">C4991*D4991</f>
        <v>13.95</v>
      </c>
    </row>
    <row r="4992" customFormat="false" ht="15" hidden="false" customHeight="false" outlineLevel="0" collapsed="false">
      <c r="A4992" s="9" t="s">
        <v>1888</v>
      </c>
      <c r="B4992" s="9" t="s">
        <v>55</v>
      </c>
      <c r="C4992" s="9" t="n">
        <v>1</v>
      </c>
      <c r="D4992" s="10" t="n">
        <v>3.75</v>
      </c>
      <c r="E4992" s="10" t="n">
        <f aca="false">C4992*D4992</f>
        <v>3.75</v>
      </c>
    </row>
    <row r="4993" customFormat="false" ht="15" hidden="false" customHeight="false" outlineLevel="0" collapsed="false">
      <c r="A4993" s="9" t="s">
        <v>1888</v>
      </c>
      <c r="B4993" s="9" t="s">
        <v>435</v>
      </c>
      <c r="C4993" s="9" t="n">
        <v>1</v>
      </c>
      <c r="D4993" s="10" t="n">
        <v>0.95</v>
      </c>
      <c r="E4993" s="10" t="n">
        <f aca="false">C4993*D4993</f>
        <v>0.95</v>
      </c>
    </row>
    <row r="4994" customFormat="false" ht="15" hidden="false" customHeight="false" outlineLevel="0" collapsed="false">
      <c r="A4994" s="9" t="s">
        <v>1888</v>
      </c>
      <c r="B4994" s="9" t="s">
        <v>312</v>
      </c>
      <c r="C4994" s="9" t="n">
        <v>2</v>
      </c>
      <c r="D4994" s="10" t="n">
        <v>2.95</v>
      </c>
      <c r="E4994" s="10" t="n">
        <f aca="false">C4994*D4994</f>
        <v>5.9</v>
      </c>
    </row>
    <row r="4995" customFormat="false" ht="15" hidden="false" customHeight="false" outlineLevel="0" collapsed="false">
      <c r="A4995" s="9" t="s">
        <v>1888</v>
      </c>
      <c r="B4995" s="9" t="s">
        <v>239</v>
      </c>
      <c r="C4995" s="9" t="n">
        <v>1</v>
      </c>
      <c r="D4995" s="10" t="n">
        <v>5.95</v>
      </c>
      <c r="E4995" s="10" t="n">
        <f aca="false">C4995*D4995</f>
        <v>5.95</v>
      </c>
    </row>
    <row r="4996" customFormat="false" ht="15" hidden="false" customHeight="false" outlineLevel="0" collapsed="false">
      <c r="A4996" s="9" t="s">
        <v>1888</v>
      </c>
      <c r="B4996" s="9" t="s">
        <v>1612</v>
      </c>
      <c r="C4996" s="9" t="n">
        <v>4</v>
      </c>
      <c r="D4996" s="10" t="n">
        <v>0.85</v>
      </c>
      <c r="E4996" s="10" t="n">
        <f aca="false">C4996*D4996</f>
        <v>3.4</v>
      </c>
    </row>
    <row r="4997" customFormat="false" ht="15" hidden="false" customHeight="false" outlineLevel="0" collapsed="false">
      <c r="A4997" s="9" t="s">
        <v>1888</v>
      </c>
      <c r="B4997" s="9" t="s">
        <v>1050</v>
      </c>
      <c r="C4997" s="9" t="n">
        <v>6</v>
      </c>
      <c r="D4997" s="10" t="n">
        <v>0.65</v>
      </c>
      <c r="E4997" s="10" t="n">
        <f aca="false">C4997*D4997</f>
        <v>3.9</v>
      </c>
    </row>
    <row r="4998" customFormat="false" ht="15" hidden="false" customHeight="false" outlineLevel="0" collapsed="false">
      <c r="A4998" s="9" t="s">
        <v>1888</v>
      </c>
      <c r="B4998" s="9" t="s">
        <v>248</v>
      </c>
      <c r="C4998" s="9" t="n">
        <v>1</v>
      </c>
      <c r="D4998" s="10" t="n">
        <v>9.95</v>
      </c>
      <c r="E4998" s="10" t="n">
        <f aca="false">C4998*D4998</f>
        <v>9.95</v>
      </c>
    </row>
    <row r="4999" customFormat="false" ht="15" hidden="false" customHeight="false" outlineLevel="0" collapsed="false">
      <c r="A4999" s="9" t="s">
        <v>1888</v>
      </c>
      <c r="B4999" s="9" t="s">
        <v>457</v>
      </c>
      <c r="C4999" s="9" t="n">
        <v>1</v>
      </c>
      <c r="D4999" s="10" t="n">
        <v>2.1</v>
      </c>
      <c r="E4999" s="10" t="n">
        <f aca="false">C4999*D4999</f>
        <v>2.1</v>
      </c>
    </row>
    <row r="5000" customFormat="false" ht="15" hidden="false" customHeight="false" outlineLevel="0" collapsed="false">
      <c r="A5000" s="9" t="s">
        <v>1888</v>
      </c>
      <c r="B5000" s="9" t="s">
        <v>521</v>
      </c>
      <c r="C5000" s="9" t="n">
        <v>3</v>
      </c>
      <c r="D5000" s="10" t="n">
        <v>1.25</v>
      </c>
      <c r="E5000" s="10" t="n">
        <f aca="false">C5000*D5000</f>
        <v>3.75</v>
      </c>
    </row>
    <row r="5001" customFormat="false" ht="15" hidden="false" customHeight="false" outlineLevel="0" collapsed="false">
      <c r="A5001" s="9" t="s">
        <v>1888</v>
      </c>
      <c r="B5001" s="9" t="s">
        <v>277</v>
      </c>
      <c r="C5001" s="9" t="n">
        <v>1</v>
      </c>
      <c r="D5001" s="10" t="n">
        <v>6.75</v>
      </c>
      <c r="E5001" s="10" t="n">
        <f aca="false">C5001*D5001</f>
        <v>6.75</v>
      </c>
    </row>
    <row r="5002" customFormat="false" ht="15" hidden="false" customHeight="false" outlineLevel="0" collapsed="false">
      <c r="A5002" s="9" t="s">
        <v>1888</v>
      </c>
      <c r="B5002" s="9" t="s">
        <v>452</v>
      </c>
      <c r="C5002" s="9" t="n">
        <v>1</v>
      </c>
      <c r="D5002" s="10" t="n">
        <v>6.75</v>
      </c>
      <c r="E5002" s="10" t="n">
        <f aca="false">C5002*D5002</f>
        <v>6.75</v>
      </c>
    </row>
    <row r="5003" customFormat="false" ht="15" hidden="false" customHeight="false" outlineLevel="0" collapsed="false">
      <c r="A5003" s="9" t="s">
        <v>1888</v>
      </c>
      <c r="B5003" s="9" t="s">
        <v>242</v>
      </c>
      <c r="C5003" s="9" t="n">
        <v>2</v>
      </c>
      <c r="D5003" s="10" t="n">
        <v>1.25</v>
      </c>
      <c r="E5003" s="10" t="n">
        <f aca="false">C5003*D5003</f>
        <v>2.5</v>
      </c>
    </row>
    <row r="5004" customFormat="false" ht="15" hidden="false" customHeight="false" outlineLevel="0" collapsed="false">
      <c r="A5004" s="9" t="s">
        <v>1888</v>
      </c>
      <c r="B5004" s="9" t="s">
        <v>437</v>
      </c>
      <c r="C5004" s="9" t="n">
        <v>1</v>
      </c>
      <c r="D5004" s="10" t="n">
        <v>2.95</v>
      </c>
      <c r="E5004" s="10" t="n">
        <f aca="false">C5004*D5004</f>
        <v>2.95</v>
      </c>
    </row>
    <row r="5005" customFormat="false" ht="15" hidden="false" customHeight="false" outlineLevel="0" collapsed="false">
      <c r="A5005" s="9" t="s">
        <v>1888</v>
      </c>
      <c r="B5005" s="9" t="s">
        <v>1502</v>
      </c>
      <c r="C5005" s="9" t="n">
        <v>2</v>
      </c>
      <c r="D5005" s="10" t="n">
        <v>4.95</v>
      </c>
      <c r="E5005" s="10" t="n">
        <f aca="false">C5005*D5005</f>
        <v>9.9</v>
      </c>
    </row>
    <row r="5006" customFormat="false" ht="15" hidden="false" customHeight="false" outlineLevel="0" collapsed="false">
      <c r="A5006" s="9" t="s">
        <v>1888</v>
      </c>
      <c r="B5006" s="9" t="s">
        <v>436</v>
      </c>
      <c r="C5006" s="9" t="n">
        <v>1</v>
      </c>
      <c r="D5006" s="10" t="n">
        <v>3.75</v>
      </c>
      <c r="E5006" s="10" t="n">
        <f aca="false">C5006*D5006</f>
        <v>3.75</v>
      </c>
    </row>
    <row r="5007" customFormat="false" ht="15" hidden="false" customHeight="false" outlineLevel="0" collapsed="false">
      <c r="A5007" s="9" t="s">
        <v>1888</v>
      </c>
      <c r="B5007" s="9" t="s">
        <v>1510</v>
      </c>
      <c r="C5007" s="9" t="n">
        <v>1</v>
      </c>
      <c r="D5007" s="10" t="n">
        <v>2.95</v>
      </c>
      <c r="E5007" s="10" t="n">
        <f aca="false">C5007*D5007</f>
        <v>2.95</v>
      </c>
    </row>
    <row r="5008" customFormat="false" ht="15" hidden="false" customHeight="false" outlineLevel="0" collapsed="false">
      <c r="A5008" s="9" t="s">
        <v>1888</v>
      </c>
      <c r="B5008" s="9" t="s">
        <v>499</v>
      </c>
      <c r="C5008" s="9" t="n">
        <v>1</v>
      </c>
      <c r="D5008" s="10" t="n">
        <v>3.75</v>
      </c>
      <c r="E5008" s="10" t="n">
        <f aca="false">C5008*D5008</f>
        <v>3.75</v>
      </c>
    </row>
    <row r="5009" customFormat="false" ht="15" hidden="false" customHeight="false" outlineLevel="0" collapsed="false">
      <c r="A5009" s="9" t="s">
        <v>1888</v>
      </c>
      <c r="B5009" s="9" t="s">
        <v>1642</v>
      </c>
      <c r="C5009" s="9" t="n">
        <v>1</v>
      </c>
      <c r="D5009" s="10" t="n">
        <v>7.95</v>
      </c>
      <c r="E5009" s="10" t="n">
        <f aca="false">C5009*D5009</f>
        <v>7.95</v>
      </c>
    </row>
    <row r="5010" customFormat="false" ht="15" hidden="false" customHeight="false" outlineLevel="0" collapsed="false">
      <c r="A5010" s="9" t="s">
        <v>1888</v>
      </c>
      <c r="B5010" s="9" t="s">
        <v>492</v>
      </c>
      <c r="C5010" s="9" t="n">
        <v>2</v>
      </c>
      <c r="D5010" s="10" t="n">
        <v>1.95</v>
      </c>
      <c r="E5010" s="10" t="n">
        <f aca="false">C5010*D5010</f>
        <v>3.9</v>
      </c>
    </row>
    <row r="5011" customFormat="false" ht="15" hidden="false" customHeight="false" outlineLevel="0" collapsed="false">
      <c r="A5011" s="9" t="s">
        <v>1888</v>
      </c>
      <c r="B5011" s="9" t="s">
        <v>515</v>
      </c>
      <c r="C5011" s="9" t="n">
        <v>1</v>
      </c>
      <c r="D5011" s="10" t="n">
        <v>3.75</v>
      </c>
      <c r="E5011" s="10" t="n">
        <f aca="false">C5011*D5011</f>
        <v>3.75</v>
      </c>
    </row>
    <row r="5012" customFormat="false" ht="15" hidden="false" customHeight="false" outlineLevel="0" collapsed="false">
      <c r="A5012" s="9" t="s">
        <v>1888</v>
      </c>
      <c r="B5012" s="9" t="s">
        <v>733</v>
      </c>
      <c r="C5012" s="9" t="n">
        <v>1</v>
      </c>
      <c r="D5012" s="10" t="n">
        <v>8.5</v>
      </c>
      <c r="E5012" s="10" t="n">
        <f aca="false">C5012*D5012</f>
        <v>8.5</v>
      </c>
    </row>
    <row r="5013" customFormat="false" ht="15" hidden="false" customHeight="false" outlineLevel="0" collapsed="false">
      <c r="A5013" s="9" t="s">
        <v>1888</v>
      </c>
      <c r="B5013" s="9" t="s">
        <v>538</v>
      </c>
      <c r="C5013" s="9" t="n">
        <v>2</v>
      </c>
      <c r="D5013" s="10" t="n">
        <v>1.95</v>
      </c>
      <c r="E5013" s="10" t="n">
        <f aca="false">C5013*D5013</f>
        <v>3.9</v>
      </c>
    </row>
    <row r="5014" customFormat="false" ht="15" hidden="false" customHeight="false" outlineLevel="0" collapsed="false">
      <c r="A5014" s="9" t="s">
        <v>1888</v>
      </c>
      <c r="B5014" s="9" t="s">
        <v>173</v>
      </c>
      <c r="C5014" s="9" t="n">
        <v>1</v>
      </c>
      <c r="D5014" s="10" t="n">
        <v>12.75</v>
      </c>
      <c r="E5014" s="10" t="n">
        <f aca="false">C5014*D5014</f>
        <v>12.75</v>
      </c>
    </row>
    <row r="5015" customFormat="false" ht="15" hidden="false" customHeight="false" outlineLevel="0" collapsed="false">
      <c r="A5015" s="9" t="s">
        <v>1888</v>
      </c>
      <c r="B5015" s="9" t="s">
        <v>1889</v>
      </c>
      <c r="C5015" s="9" t="n">
        <v>1</v>
      </c>
      <c r="D5015" s="10" t="n">
        <v>7.95</v>
      </c>
      <c r="E5015" s="10" t="n">
        <f aca="false">C5015*D5015</f>
        <v>7.95</v>
      </c>
    </row>
    <row r="5016" customFormat="false" ht="15" hidden="false" customHeight="false" outlineLevel="0" collapsed="false">
      <c r="A5016" s="9" t="s">
        <v>1888</v>
      </c>
      <c r="B5016" s="9" t="s">
        <v>1172</v>
      </c>
      <c r="C5016" s="9" t="n">
        <v>2</v>
      </c>
      <c r="D5016" s="10" t="n">
        <v>7.95</v>
      </c>
      <c r="E5016" s="10" t="n">
        <f aca="false">C5016*D5016</f>
        <v>15.9</v>
      </c>
    </row>
    <row r="5017" customFormat="false" ht="15" hidden="false" customHeight="false" outlineLevel="0" collapsed="false">
      <c r="A5017" s="9" t="s">
        <v>1888</v>
      </c>
      <c r="B5017" s="9" t="s">
        <v>175</v>
      </c>
      <c r="C5017" s="9" t="n">
        <v>1</v>
      </c>
      <c r="D5017" s="10" t="n">
        <v>5.95</v>
      </c>
      <c r="E5017" s="10" t="n">
        <f aca="false">C5017*D5017</f>
        <v>5.95</v>
      </c>
    </row>
    <row r="5018" customFormat="false" ht="15" hidden="false" customHeight="false" outlineLevel="0" collapsed="false">
      <c r="A5018" s="9" t="s">
        <v>1888</v>
      </c>
      <c r="B5018" s="9" t="s">
        <v>732</v>
      </c>
      <c r="C5018" s="9" t="n">
        <v>1</v>
      </c>
      <c r="D5018" s="10" t="n">
        <v>8.5</v>
      </c>
      <c r="E5018" s="10" t="n">
        <f aca="false">C5018*D5018</f>
        <v>8.5</v>
      </c>
    </row>
    <row r="5019" customFormat="false" ht="15" hidden="false" customHeight="false" outlineLevel="0" collapsed="false">
      <c r="A5019" s="9" t="s">
        <v>1888</v>
      </c>
      <c r="B5019" s="9" t="s">
        <v>363</v>
      </c>
      <c r="C5019" s="9" t="n">
        <v>3</v>
      </c>
      <c r="D5019" s="10" t="n">
        <v>2.95</v>
      </c>
      <c r="E5019" s="10" t="n">
        <f aca="false">C5019*D5019</f>
        <v>8.85</v>
      </c>
    </row>
    <row r="5020" customFormat="false" ht="15" hidden="false" customHeight="false" outlineLevel="0" collapsed="false">
      <c r="A5020" s="9" t="s">
        <v>1888</v>
      </c>
      <c r="B5020" s="9" t="s">
        <v>42</v>
      </c>
      <c r="C5020" s="9" t="n">
        <v>2</v>
      </c>
      <c r="D5020" s="10" t="n">
        <v>8.5</v>
      </c>
      <c r="E5020" s="10" t="n">
        <f aca="false">C5020*D5020</f>
        <v>17</v>
      </c>
    </row>
    <row r="5021" customFormat="false" ht="15" hidden="false" customHeight="false" outlineLevel="0" collapsed="false">
      <c r="A5021" s="9" t="s">
        <v>1888</v>
      </c>
      <c r="B5021" s="9" t="s">
        <v>797</v>
      </c>
      <c r="C5021" s="9" t="n">
        <v>1</v>
      </c>
      <c r="D5021" s="10" t="n">
        <v>2.95</v>
      </c>
      <c r="E5021" s="10" t="n">
        <f aca="false">C5021*D5021</f>
        <v>2.95</v>
      </c>
    </row>
    <row r="5022" customFormat="false" ht="15" hidden="false" customHeight="false" outlineLevel="0" collapsed="false">
      <c r="A5022" s="9" t="s">
        <v>1888</v>
      </c>
      <c r="B5022" s="9" t="s">
        <v>801</v>
      </c>
      <c r="C5022" s="9" t="n">
        <v>1</v>
      </c>
      <c r="D5022" s="10" t="n">
        <v>2.95</v>
      </c>
      <c r="E5022" s="10" t="n">
        <f aca="false">C5022*D5022</f>
        <v>2.95</v>
      </c>
    </row>
    <row r="5023" customFormat="false" ht="15" hidden="false" customHeight="false" outlineLevel="0" collapsed="false">
      <c r="A5023" s="9" t="s">
        <v>1888</v>
      </c>
      <c r="B5023" s="9" t="s">
        <v>802</v>
      </c>
      <c r="C5023" s="9" t="n">
        <v>1</v>
      </c>
      <c r="D5023" s="10" t="n">
        <v>2.95</v>
      </c>
      <c r="E5023" s="10" t="n">
        <f aca="false">C5023*D5023</f>
        <v>2.95</v>
      </c>
    </row>
    <row r="5024" customFormat="false" ht="15" hidden="false" customHeight="false" outlineLevel="0" collapsed="false">
      <c r="A5024" s="9" t="s">
        <v>1888</v>
      </c>
      <c r="B5024" s="9" t="s">
        <v>53</v>
      </c>
      <c r="C5024" s="9" t="n">
        <v>2</v>
      </c>
      <c r="D5024" s="10" t="n">
        <v>5.95</v>
      </c>
      <c r="E5024" s="10" t="n">
        <f aca="false">C5024*D5024</f>
        <v>11.9</v>
      </c>
    </row>
    <row r="5025" customFormat="false" ht="15" hidden="false" customHeight="false" outlineLevel="0" collapsed="false">
      <c r="A5025" s="9" t="s">
        <v>1888</v>
      </c>
      <c r="B5025" s="9" t="s">
        <v>179</v>
      </c>
      <c r="C5025" s="9" t="n">
        <v>2</v>
      </c>
      <c r="D5025" s="10" t="n">
        <v>1.65</v>
      </c>
      <c r="E5025" s="10" t="n">
        <f aca="false">C5025*D5025</f>
        <v>3.3</v>
      </c>
    </row>
    <row r="5026" customFormat="false" ht="15" hidden="false" customHeight="false" outlineLevel="0" collapsed="false">
      <c r="A5026" s="9" t="s">
        <v>1888</v>
      </c>
      <c r="B5026" s="9" t="s">
        <v>712</v>
      </c>
      <c r="C5026" s="9" t="n">
        <v>1</v>
      </c>
      <c r="D5026" s="10" t="n">
        <v>9.95</v>
      </c>
      <c r="E5026" s="10" t="n">
        <f aca="false">C5026*D5026</f>
        <v>9.95</v>
      </c>
    </row>
    <row r="5027" customFormat="false" ht="15" hidden="false" customHeight="false" outlineLevel="0" collapsed="false">
      <c r="A5027" s="9" t="s">
        <v>1888</v>
      </c>
      <c r="B5027" s="9" t="s">
        <v>613</v>
      </c>
      <c r="C5027" s="9" t="n">
        <v>1</v>
      </c>
      <c r="D5027" s="10" t="n">
        <v>12.75</v>
      </c>
      <c r="E5027" s="10" t="n">
        <f aca="false">C5027*D5027</f>
        <v>12.75</v>
      </c>
    </row>
    <row r="5028" customFormat="false" ht="15" hidden="false" customHeight="false" outlineLevel="0" collapsed="false">
      <c r="A5028" s="9" t="s">
        <v>1888</v>
      </c>
      <c r="B5028" s="9" t="s">
        <v>1717</v>
      </c>
      <c r="C5028" s="9" t="n">
        <v>1</v>
      </c>
      <c r="D5028" s="10" t="n">
        <v>3.75</v>
      </c>
      <c r="E5028" s="10" t="n">
        <f aca="false">C5028*D5028</f>
        <v>3.75</v>
      </c>
    </row>
    <row r="5029" customFormat="false" ht="15" hidden="false" customHeight="false" outlineLevel="0" collapsed="false">
      <c r="A5029" s="9" t="s">
        <v>1888</v>
      </c>
      <c r="B5029" s="9" t="s">
        <v>343</v>
      </c>
      <c r="C5029" s="9" t="n">
        <v>2</v>
      </c>
      <c r="D5029" s="10" t="n">
        <v>1.65</v>
      </c>
      <c r="E5029" s="10" t="n">
        <f aca="false">C5029*D5029</f>
        <v>3.3</v>
      </c>
    </row>
    <row r="5030" customFormat="false" ht="15" hidden="false" customHeight="false" outlineLevel="0" collapsed="false">
      <c r="A5030" s="9" t="s">
        <v>1888</v>
      </c>
      <c r="B5030" s="9" t="s">
        <v>472</v>
      </c>
      <c r="C5030" s="9" t="n">
        <v>6</v>
      </c>
      <c r="D5030" s="10" t="n">
        <v>2.1</v>
      </c>
      <c r="E5030" s="10" t="n">
        <f aca="false">C5030*D5030</f>
        <v>12.6</v>
      </c>
    </row>
    <row r="5031" customFormat="false" ht="15" hidden="false" customHeight="false" outlineLevel="0" collapsed="false">
      <c r="A5031" s="9" t="s">
        <v>1888</v>
      </c>
      <c r="B5031" s="9" t="s">
        <v>435</v>
      </c>
      <c r="C5031" s="9" t="n">
        <v>2</v>
      </c>
      <c r="D5031" s="10" t="n">
        <v>0.95</v>
      </c>
      <c r="E5031" s="10" t="n">
        <f aca="false">C5031*D5031</f>
        <v>1.9</v>
      </c>
    </row>
    <row r="5032" customFormat="false" ht="15" hidden="false" customHeight="false" outlineLevel="0" collapsed="false">
      <c r="A5032" s="9" t="s">
        <v>1888</v>
      </c>
      <c r="B5032" s="9" t="s">
        <v>1409</v>
      </c>
      <c r="C5032" s="9" t="n">
        <v>4</v>
      </c>
      <c r="D5032" s="10" t="n">
        <v>1.25</v>
      </c>
      <c r="E5032" s="10" t="n">
        <f aca="false">C5032*D5032</f>
        <v>5</v>
      </c>
    </row>
    <row r="5033" customFormat="false" ht="15" hidden="false" customHeight="false" outlineLevel="0" collapsed="false">
      <c r="A5033" s="9" t="s">
        <v>1888</v>
      </c>
      <c r="B5033" s="9" t="s">
        <v>1184</v>
      </c>
      <c r="C5033" s="9" t="n">
        <v>4</v>
      </c>
      <c r="D5033" s="10" t="n">
        <v>1.25</v>
      </c>
      <c r="E5033" s="10" t="n">
        <f aca="false">C5033*D5033</f>
        <v>5</v>
      </c>
    </row>
    <row r="5034" customFormat="false" ht="15" hidden="false" customHeight="false" outlineLevel="0" collapsed="false">
      <c r="A5034" s="9" t="s">
        <v>1888</v>
      </c>
      <c r="B5034" s="9" t="s">
        <v>1213</v>
      </c>
      <c r="C5034" s="9" t="n">
        <v>2</v>
      </c>
      <c r="D5034" s="10" t="n">
        <v>1.25</v>
      </c>
      <c r="E5034" s="10" t="n">
        <f aca="false">C5034*D5034</f>
        <v>2.5</v>
      </c>
    </row>
    <row r="5035" customFormat="false" ht="15" hidden="false" customHeight="false" outlineLevel="0" collapsed="false">
      <c r="A5035" s="9" t="s">
        <v>1888</v>
      </c>
      <c r="B5035" s="9" t="s">
        <v>1564</v>
      </c>
      <c r="C5035" s="9" t="n">
        <v>4</v>
      </c>
      <c r="D5035" s="10" t="n">
        <v>1.25</v>
      </c>
      <c r="E5035" s="10" t="n">
        <f aca="false">C5035*D5035</f>
        <v>5</v>
      </c>
    </row>
    <row r="5036" customFormat="false" ht="15" hidden="false" customHeight="false" outlineLevel="0" collapsed="false">
      <c r="A5036" s="9" t="s">
        <v>1888</v>
      </c>
      <c r="B5036" s="9" t="s">
        <v>1557</v>
      </c>
      <c r="C5036" s="9" t="n">
        <v>2</v>
      </c>
      <c r="D5036" s="10" t="n">
        <v>1.25</v>
      </c>
      <c r="E5036" s="10" t="n">
        <f aca="false">C5036*D5036</f>
        <v>2.5</v>
      </c>
    </row>
    <row r="5037" customFormat="false" ht="15" hidden="false" customHeight="false" outlineLevel="0" collapsed="false">
      <c r="A5037" s="9" t="s">
        <v>1888</v>
      </c>
      <c r="B5037" s="9" t="s">
        <v>1890</v>
      </c>
      <c r="C5037" s="9" t="n">
        <v>2</v>
      </c>
      <c r="D5037" s="10" t="n">
        <v>1.25</v>
      </c>
      <c r="E5037" s="10" t="n">
        <f aca="false">C5037*D5037</f>
        <v>2.5</v>
      </c>
    </row>
    <row r="5038" customFormat="false" ht="15" hidden="false" customHeight="false" outlineLevel="0" collapsed="false">
      <c r="A5038" s="9" t="s">
        <v>1888</v>
      </c>
      <c r="B5038" s="9" t="s">
        <v>170</v>
      </c>
      <c r="C5038" s="9" t="n">
        <v>1</v>
      </c>
      <c r="D5038" s="10" t="n">
        <v>3.75</v>
      </c>
      <c r="E5038" s="10" t="n">
        <f aca="false">C5038*D5038</f>
        <v>3.75</v>
      </c>
    </row>
    <row r="5039" customFormat="false" ht="15" hidden="false" customHeight="false" outlineLevel="0" collapsed="false">
      <c r="A5039" s="9" t="s">
        <v>1888</v>
      </c>
      <c r="B5039" s="9" t="s">
        <v>1281</v>
      </c>
      <c r="C5039" s="9" t="n">
        <v>1</v>
      </c>
      <c r="D5039" s="10" t="n">
        <v>3.25</v>
      </c>
      <c r="E5039" s="10" t="n">
        <f aca="false">C5039*D5039</f>
        <v>3.25</v>
      </c>
    </row>
    <row r="5040" customFormat="false" ht="15" hidden="false" customHeight="false" outlineLevel="0" collapsed="false">
      <c r="A5040" s="9" t="s">
        <v>1888</v>
      </c>
      <c r="B5040" s="9" t="s">
        <v>137</v>
      </c>
      <c r="C5040" s="9" t="n">
        <v>1</v>
      </c>
      <c r="D5040" s="10" t="n">
        <v>1.45</v>
      </c>
      <c r="E5040" s="10" t="n">
        <f aca="false">C5040*D5040</f>
        <v>1.45</v>
      </c>
    </row>
    <row r="5041" customFormat="false" ht="15" hidden="false" customHeight="false" outlineLevel="0" collapsed="false">
      <c r="A5041" s="9" t="s">
        <v>1888</v>
      </c>
      <c r="B5041" s="9" t="s">
        <v>185</v>
      </c>
      <c r="C5041" s="9" t="n">
        <v>1</v>
      </c>
      <c r="D5041" s="10" t="n">
        <v>2.95</v>
      </c>
      <c r="E5041" s="10" t="n">
        <f aca="false">C5041*D5041</f>
        <v>2.95</v>
      </c>
    </row>
    <row r="5042" customFormat="false" ht="15" hidden="false" customHeight="false" outlineLevel="0" collapsed="false">
      <c r="A5042" s="9" t="s">
        <v>1888</v>
      </c>
      <c r="B5042" s="9" t="s">
        <v>396</v>
      </c>
      <c r="C5042" s="9" t="n">
        <v>12</v>
      </c>
      <c r="D5042" s="10" t="n">
        <v>0.85</v>
      </c>
      <c r="E5042" s="10" t="n">
        <f aca="false">C5042*D5042</f>
        <v>10.2</v>
      </c>
    </row>
    <row r="5043" customFormat="false" ht="15" hidden="false" customHeight="false" outlineLevel="0" collapsed="false">
      <c r="A5043" s="9" t="s">
        <v>1888</v>
      </c>
      <c r="B5043" s="9" t="s">
        <v>296</v>
      </c>
      <c r="C5043" s="9" t="n">
        <v>2</v>
      </c>
      <c r="D5043" s="10" t="n">
        <v>1.65</v>
      </c>
      <c r="E5043" s="10" t="n">
        <f aca="false">C5043*D5043</f>
        <v>3.3</v>
      </c>
    </row>
    <row r="5044" customFormat="false" ht="15" hidden="false" customHeight="false" outlineLevel="0" collapsed="false">
      <c r="A5044" s="9" t="s">
        <v>1888</v>
      </c>
      <c r="B5044" s="9" t="s">
        <v>547</v>
      </c>
      <c r="C5044" s="9" t="n">
        <v>1</v>
      </c>
      <c r="D5044" s="10" t="n">
        <v>1.45</v>
      </c>
      <c r="E5044" s="10" t="n">
        <f aca="false">C5044*D5044</f>
        <v>1.45</v>
      </c>
    </row>
    <row r="5045" customFormat="false" ht="15" hidden="false" customHeight="false" outlineLevel="0" collapsed="false">
      <c r="A5045" s="9" t="s">
        <v>1891</v>
      </c>
      <c r="B5045" s="9" t="s">
        <v>1109</v>
      </c>
      <c r="C5045" s="9" t="n">
        <v>24</v>
      </c>
      <c r="D5045" s="10" t="n">
        <v>1.65</v>
      </c>
      <c r="E5045" s="10" t="n">
        <f aca="false">C5045*D5045</f>
        <v>39.6</v>
      </c>
    </row>
    <row r="5046" customFormat="false" ht="15" hidden="false" customHeight="false" outlineLevel="0" collapsed="false">
      <c r="A5046" s="9" t="s">
        <v>1891</v>
      </c>
      <c r="B5046" s="9" t="s">
        <v>275</v>
      </c>
      <c r="C5046" s="9" t="n">
        <v>24</v>
      </c>
      <c r="D5046" s="10" t="n">
        <v>1.25</v>
      </c>
      <c r="E5046" s="10" t="n">
        <f aca="false">C5046*D5046</f>
        <v>30</v>
      </c>
    </row>
    <row r="5047" customFormat="false" ht="15" hidden="false" customHeight="false" outlineLevel="0" collapsed="false">
      <c r="A5047" s="9" t="s">
        <v>1891</v>
      </c>
      <c r="B5047" s="9" t="s">
        <v>987</v>
      </c>
      <c r="C5047" s="9" t="n">
        <v>24</v>
      </c>
      <c r="D5047" s="10" t="n">
        <v>1.25</v>
      </c>
      <c r="E5047" s="10" t="n">
        <f aca="false">C5047*D5047</f>
        <v>30</v>
      </c>
    </row>
    <row r="5048" customFormat="false" ht="15" hidden="false" customHeight="false" outlineLevel="0" collapsed="false">
      <c r="A5048" s="9" t="s">
        <v>1891</v>
      </c>
      <c r="B5048" s="9" t="s">
        <v>375</v>
      </c>
      <c r="C5048" s="9" t="n">
        <v>6</v>
      </c>
      <c r="D5048" s="10" t="n">
        <v>2.55</v>
      </c>
      <c r="E5048" s="10" t="n">
        <f aca="false">C5048*D5048</f>
        <v>15.3</v>
      </c>
    </row>
    <row r="5049" customFormat="false" ht="15" hidden="false" customHeight="false" outlineLevel="0" collapsed="false">
      <c r="A5049" s="9" t="s">
        <v>1891</v>
      </c>
      <c r="B5049" s="9" t="s">
        <v>1063</v>
      </c>
      <c r="C5049" s="9" t="n">
        <v>24</v>
      </c>
      <c r="D5049" s="10" t="n">
        <v>0.65</v>
      </c>
      <c r="E5049" s="10" t="n">
        <f aca="false">C5049*D5049</f>
        <v>15.6</v>
      </c>
    </row>
    <row r="5050" customFormat="false" ht="15" hidden="false" customHeight="false" outlineLevel="0" collapsed="false">
      <c r="A5050" s="9" t="s">
        <v>1891</v>
      </c>
      <c r="B5050" s="9" t="s">
        <v>1119</v>
      </c>
      <c r="C5050" s="9" t="n">
        <v>24</v>
      </c>
      <c r="D5050" s="10" t="n">
        <v>1.45</v>
      </c>
      <c r="E5050" s="10" t="n">
        <f aca="false">C5050*D5050</f>
        <v>34.8</v>
      </c>
    </row>
    <row r="5051" customFormat="false" ht="15" hidden="false" customHeight="false" outlineLevel="0" collapsed="false">
      <c r="A5051" s="9" t="s">
        <v>1891</v>
      </c>
      <c r="B5051" s="9" t="s">
        <v>1892</v>
      </c>
      <c r="C5051" s="9" t="n">
        <v>36</v>
      </c>
      <c r="D5051" s="10" t="n">
        <v>0.42</v>
      </c>
      <c r="E5051" s="10" t="n">
        <f aca="false">C5051*D5051</f>
        <v>15.12</v>
      </c>
    </row>
    <row r="5052" customFormat="false" ht="15" hidden="false" customHeight="false" outlineLevel="0" collapsed="false">
      <c r="A5052" s="9" t="s">
        <v>1891</v>
      </c>
      <c r="B5052" s="9" t="s">
        <v>1065</v>
      </c>
      <c r="C5052" s="9" t="n">
        <v>48</v>
      </c>
      <c r="D5052" s="10" t="n">
        <v>0.42</v>
      </c>
      <c r="E5052" s="10" t="n">
        <f aca="false">C5052*D5052</f>
        <v>20.16</v>
      </c>
    </row>
    <row r="5053" customFormat="false" ht="15" hidden="false" customHeight="false" outlineLevel="0" collapsed="false">
      <c r="A5053" s="9" t="s">
        <v>1891</v>
      </c>
      <c r="B5053" s="9" t="s">
        <v>1053</v>
      </c>
      <c r="C5053" s="9" t="n">
        <v>12</v>
      </c>
      <c r="D5053" s="10" t="n">
        <v>1.25</v>
      </c>
      <c r="E5053" s="10" t="n">
        <f aca="false">C5053*D5053</f>
        <v>15</v>
      </c>
    </row>
    <row r="5054" customFormat="false" ht="15" hidden="false" customHeight="false" outlineLevel="0" collapsed="false">
      <c r="A5054" s="9" t="s">
        <v>1893</v>
      </c>
      <c r="B5054" s="9" t="s">
        <v>658</v>
      </c>
      <c r="C5054" s="9" t="n">
        <v>100</v>
      </c>
      <c r="D5054" s="10" t="n">
        <v>1.65</v>
      </c>
      <c r="E5054" s="10" t="n">
        <f aca="false">C5054*D5054</f>
        <v>165</v>
      </c>
    </row>
    <row r="5055" customFormat="false" ht="15" hidden="false" customHeight="false" outlineLevel="0" collapsed="false">
      <c r="A5055" s="9" t="s">
        <v>1893</v>
      </c>
      <c r="B5055" s="9" t="s">
        <v>233</v>
      </c>
      <c r="C5055" s="9" t="n">
        <v>80</v>
      </c>
      <c r="D5055" s="10" t="n">
        <v>2.55</v>
      </c>
      <c r="E5055" s="10" t="n">
        <f aca="false">C5055*D5055</f>
        <v>204</v>
      </c>
    </row>
    <row r="5056" customFormat="false" ht="15" hidden="false" customHeight="false" outlineLevel="0" collapsed="false">
      <c r="A5056" s="9" t="s">
        <v>1893</v>
      </c>
      <c r="B5056" s="9" t="s">
        <v>891</v>
      </c>
      <c r="C5056" s="9" t="n">
        <v>100</v>
      </c>
      <c r="D5056" s="10" t="n">
        <v>1.65</v>
      </c>
      <c r="E5056" s="10" t="n">
        <f aca="false">C5056*D5056</f>
        <v>165</v>
      </c>
    </row>
    <row r="5057" customFormat="false" ht="15" hidden="false" customHeight="false" outlineLevel="0" collapsed="false">
      <c r="A5057" s="9" t="s">
        <v>1894</v>
      </c>
      <c r="B5057" s="9" t="s">
        <v>85</v>
      </c>
      <c r="C5057" s="9" t="n">
        <v>48</v>
      </c>
      <c r="D5057" s="10" t="n">
        <v>3.75</v>
      </c>
      <c r="E5057" s="10" t="n">
        <f aca="false">C5057*D5057</f>
        <v>180</v>
      </c>
    </row>
    <row r="5058" customFormat="false" ht="15" hidden="false" customHeight="false" outlineLevel="0" collapsed="false">
      <c r="A5058" s="9" t="s">
        <v>1894</v>
      </c>
      <c r="B5058" s="9" t="s">
        <v>260</v>
      </c>
      <c r="C5058" s="9" t="n">
        <v>19</v>
      </c>
      <c r="D5058" s="10" t="n">
        <v>3.75</v>
      </c>
      <c r="E5058" s="10" t="n">
        <f aca="false">C5058*D5058</f>
        <v>71.25</v>
      </c>
    </row>
    <row r="5059" customFormat="false" ht="15" hidden="false" customHeight="false" outlineLevel="0" collapsed="false">
      <c r="A5059" s="9" t="s">
        <v>1894</v>
      </c>
      <c r="B5059" s="9" t="s">
        <v>86</v>
      </c>
      <c r="C5059" s="9" t="n">
        <v>39</v>
      </c>
      <c r="D5059" s="10" t="n">
        <v>3.75</v>
      </c>
      <c r="E5059" s="10" t="n">
        <f aca="false">C5059*D5059</f>
        <v>146.25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1895</v>
      </c>
    </row>
    <row r="2" customFormat="false" ht="15" hidden="false" customHeight="false" outlineLevel="0" collapsed="false">
      <c r="A2" s="2" t="s">
        <v>1896</v>
      </c>
    </row>
    <row r="4" customFormat="false" ht="31.5" hidden="false" customHeight="true" outlineLevel="0" collapsed="false">
      <c r="A4" s="3" t="s">
        <v>31</v>
      </c>
      <c r="B4" s="3" t="s">
        <v>1897</v>
      </c>
      <c r="C4" s="3" t="s">
        <v>1898</v>
      </c>
      <c r="D4" s="3" t="s">
        <v>1899</v>
      </c>
      <c r="E4" s="3" t="s">
        <v>1900</v>
      </c>
      <c r="F4" s="3" t="s">
        <v>1901</v>
      </c>
      <c r="G4" s="3" t="s">
        <v>1902</v>
      </c>
      <c r="H4" s="3" t="s">
        <v>1903</v>
      </c>
      <c r="I4" s="3" t="s">
        <v>1904</v>
      </c>
      <c r="J4" s="3" t="s">
        <v>1905</v>
      </c>
    </row>
    <row r="5" customFormat="false" ht="15" hidden="false" customHeight="false" outlineLevel="0" collapsed="false">
      <c r="A5" s="9" t="s">
        <v>36</v>
      </c>
      <c r="B5" s="9" t="n">
        <v>17850</v>
      </c>
      <c r="C5" s="9" t="s">
        <v>1906</v>
      </c>
      <c r="D5" s="11" t="n">
        <v>40513.3513888889</v>
      </c>
      <c r="E5" s="9" t="n">
        <f aca="false">COUNTIFS('Invoice Lines'!$A$5:$A$5059,A5)</f>
        <v>7</v>
      </c>
      <c r="F5" s="9" t="n">
        <f aca="false">SUMIFS('Invoice Lines'!$C$5:$C$5059,'Invoice Lines'!$A$5:$A$5059,A5)</f>
        <v>40</v>
      </c>
      <c r="G5" s="10" t="n">
        <f aca="false">AVERAGEIFS('Invoice Lines'!$D$5:$D$5059,'Invoice Lines'!$A$5:$A$5059,A5)</f>
        <v>3.91</v>
      </c>
      <c r="H5" s="10" t="n">
        <f aca="false">SUMIFS('Invoice Lines'!$E$5:$E$5059,'Invoice Lines'!$A$5:$A$5059,A5)</f>
        <v>139.12</v>
      </c>
      <c r="I5" s="10" t="n">
        <f aca="false">Regression!$B$14+Regression!$B$12*E5+Regression!$B$13*F5</f>
        <v>140.905530069491</v>
      </c>
      <c r="J5" s="10" t="n">
        <f aca="false">H5-I5</f>
        <v>-1.78553006949113</v>
      </c>
    </row>
    <row r="6" customFormat="false" ht="15" hidden="false" customHeight="false" outlineLevel="0" collapsed="false">
      <c r="A6" s="9" t="s">
        <v>44</v>
      </c>
      <c r="B6" s="9" t="n">
        <v>17850</v>
      </c>
      <c r="C6" s="9" t="s">
        <v>1906</v>
      </c>
      <c r="D6" s="11" t="n">
        <v>40513.3527777778</v>
      </c>
      <c r="E6" s="9" t="n">
        <f aca="false">COUNTIFS('Invoice Lines'!$A$5:$A$5059,A6)</f>
        <v>2</v>
      </c>
      <c r="F6" s="9" t="n">
        <f aca="false">SUMIFS('Invoice Lines'!$C$5:$C$5059,'Invoice Lines'!$A$5:$A$5059,A6)</f>
        <v>12</v>
      </c>
      <c r="G6" s="10" t="n">
        <f aca="false">AVERAGEIFS('Invoice Lines'!$D$5:$D$5059,'Invoice Lines'!$A$5:$A$5059,A6)</f>
        <v>1.85</v>
      </c>
      <c r="H6" s="10" t="n">
        <f aca="false">SUMIFS('Invoice Lines'!$E$5:$E$5059,'Invoice Lines'!$A$5:$A$5059,A6)</f>
        <v>22.2</v>
      </c>
      <c r="I6" s="10" t="n">
        <f aca="false">Regression!$B$14+Regression!$B$12*E6+Regression!$B$13*F6</f>
        <v>78.4080081471518</v>
      </c>
      <c r="J6" s="10" t="n">
        <f aca="false">H6-I6</f>
        <v>-56.2080081471518</v>
      </c>
    </row>
    <row r="7" customFormat="false" ht="15" hidden="false" customHeight="false" outlineLevel="0" collapsed="false">
      <c r="A7" s="9" t="s">
        <v>47</v>
      </c>
      <c r="B7" s="9" t="n">
        <v>13047</v>
      </c>
      <c r="C7" s="9" t="s">
        <v>1906</v>
      </c>
      <c r="D7" s="11" t="n">
        <v>40513.3569444444</v>
      </c>
      <c r="E7" s="9" t="n">
        <f aca="false">COUNTIFS('Invoice Lines'!$A$5:$A$5059,A7)</f>
        <v>12</v>
      </c>
      <c r="F7" s="9" t="n">
        <f aca="false">SUMIFS('Invoice Lines'!$C$5:$C$5059,'Invoice Lines'!$A$5:$A$5059,A7)</f>
        <v>83</v>
      </c>
      <c r="G7" s="10" t="n">
        <f aca="false">AVERAGEIFS('Invoice Lines'!$D$5:$D$5059,'Invoice Lines'!$A$5:$A$5059,A7)</f>
        <v>4.85333333333333</v>
      </c>
      <c r="H7" s="10" t="n">
        <f aca="false">SUMIFS('Invoice Lines'!$E$5:$E$5059,'Invoice Lines'!$A$5:$A$5059,A7)</f>
        <v>278.73</v>
      </c>
      <c r="I7" s="10" t="n">
        <f aca="false">Regression!$B$14+Regression!$B$12*E7+Regression!$B$13*F7</f>
        <v>217.594081387559</v>
      </c>
      <c r="J7" s="10" t="n">
        <f aca="false">H7-I7</f>
        <v>61.1359186124412</v>
      </c>
    </row>
    <row r="8" customFormat="false" ht="15" hidden="false" customHeight="false" outlineLevel="0" collapsed="false">
      <c r="A8" s="9" t="s">
        <v>60</v>
      </c>
      <c r="B8" s="9" t="n">
        <v>13047</v>
      </c>
      <c r="C8" s="9" t="s">
        <v>1906</v>
      </c>
      <c r="D8" s="11" t="n">
        <v>40513.3569444444</v>
      </c>
      <c r="E8" s="9" t="n">
        <f aca="false">COUNTIFS('Invoice Lines'!$A$5:$A$5059,A8)</f>
        <v>4</v>
      </c>
      <c r="F8" s="9" t="n">
        <f aca="false">SUMIFS('Invoice Lines'!$C$5:$C$5059,'Invoice Lines'!$A$5:$A$5059,A8)</f>
        <v>15</v>
      </c>
      <c r="G8" s="10" t="n">
        <f aca="false">AVERAGEIFS('Invoice Lines'!$D$5:$D$5059,'Invoice Lines'!$A$5:$A$5059,A8)</f>
        <v>4.775</v>
      </c>
      <c r="H8" s="10" t="n">
        <f aca="false">SUMIFS('Invoice Lines'!$E$5:$E$5059,'Invoice Lines'!$A$5:$A$5059,A8)</f>
        <v>70.05</v>
      </c>
      <c r="I8" s="10" t="n">
        <f aca="false">Regression!$B$14+Regression!$B$12*E8+Regression!$B$13*F8</f>
        <v>95.649254179756</v>
      </c>
      <c r="J8" s="10" t="n">
        <f aca="false">H8-I8</f>
        <v>-25.599254179756</v>
      </c>
    </row>
    <row r="9" customFormat="false" ht="15" hidden="false" customHeight="false" outlineLevel="0" collapsed="false">
      <c r="A9" s="9" t="s">
        <v>65</v>
      </c>
      <c r="B9" s="9" t="n">
        <v>13047</v>
      </c>
      <c r="C9" s="9" t="s">
        <v>1906</v>
      </c>
      <c r="D9" s="11" t="n">
        <v>40513.3576388889</v>
      </c>
      <c r="E9" s="9" t="n">
        <f aca="false">COUNTIFS('Invoice Lines'!$A$5:$A$5059,A9)</f>
        <v>1</v>
      </c>
      <c r="F9" s="9" t="n">
        <f aca="false">SUMIFS('Invoice Lines'!$C$5:$C$5059,'Invoice Lines'!$A$5:$A$5059,A9)</f>
        <v>3</v>
      </c>
      <c r="G9" s="10" t="n">
        <f aca="false">AVERAGEIFS('Invoice Lines'!$D$5:$D$5059,'Invoice Lines'!$A$5:$A$5059,A9)</f>
        <v>5.95</v>
      </c>
      <c r="H9" s="10" t="n">
        <f aca="false">SUMIFS('Invoice Lines'!$E$5:$E$5059,'Invoice Lines'!$A$5:$A$5059,A9)</f>
        <v>17.85</v>
      </c>
      <c r="I9" s="10" t="n">
        <f aca="false">Regression!$B$14+Regression!$B$12*E9+Regression!$B$13*F9</f>
        <v>62.6918704329855</v>
      </c>
      <c r="J9" s="10" t="n">
        <f aca="false">H9-I9</f>
        <v>-44.8418704329855</v>
      </c>
    </row>
    <row r="10" customFormat="false" ht="15" hidden="false" customHeight="false" outlineLevel="0" collapsed="false">
      <c r="A10" s="9" t="s">
        <v>67</v>
      </c>
      <c r="B10" s="9" t="n">
        <v>12583</v>
      </c>
      <c r="C10" s="9" t="s">
        <v>1907</v>
      </c>
      <c r="D10" s="11" t="n">
        <v>40513.3645833333</v>
      </c>
      <c r="E10" s="9" t="n">
        <f aca="false">COUNTIFS('Invoice Lines'!$A$5:$A$5059,A10)</f>
        <v>19</v>
      </c>
      <c r="F10" s="9" t="n">
        <f aca="false">SUMIFS('Invoice Lines'!$C$5:$C$5059,'Invoice Lines'!$A$5:$A$5059,A10)</f>
        <v>446</v>
      </c>
      <c r="G10" s="10" t="n">
        <f aca="false">AVERAGEIFS('Invoice Lines'!$D$5:$D$5059,'Invoice Lines'!$A$5:$A$5059,A10)</f>
        <v>1.96263157894737</v>
      </c>
      <c r="H10" s="10" t="n">
        <f aca="false">SUMIFS('Invoice Lines'!$E$5:$E$5059,'Invoice Lines'!$A$5:$A$5059,A10)</f>
        <v>801.86</v>
      </c>
      <c r="I10" s="10" t="n">
        <f aca="false">Regression!$B$14+Regression!$B$12*E10+Regression!$B$13*F10</f>
        <v>611.427633301289</v>
      </c>
      <c r="J10" s="10" t="n">
        <f aca="false">H10-I10</f>
        <v>190.432366698711</v>
      </c>
    </row>
    <row r="11" customFormat="false" ht="15" hidden="false" customHeight="false" outlineLevel="0" collapsed="false">
      <c r="A11" s="9" t="s">
        <v>87</v>
      </c>
      <c r="B11" s="9" t="n">
        <v>13748</v>
      </c>
      <c r="C11" s="9" t="s">
        <v>1906</v>
      </c>
      <c r="D11" s="11" t="n">
        <v>40513.375</v>
      </c>
      <c r="E11" s="9" t="n">
        <f aca="false">COUNTIFS('Invoice Lines'!$A$5:$A$5059,A11)</f>
        <v>1</v>
      </c>
      <c r="F11" s="9" t="n">
        <f aca="false">SUMIFS('Invoice Lines'!$C$5:$C$5059,'Invoice Lines'!$A$5:$A$5059,A11)</f>
        <v>80</v>
      </c>
      <c r="G11" s="10" t="n">
        <f aca="false">AVERAGEIFS('Invoice Lines'!$D$5:$D$5059,'Invoice Lines'!$A$5:$A$5059,A11)</f>
        <v>2.55</v>
      </c>
      <c r="H11" s="10" t="n">
        <f aca="false">SUMIFS('Invoice Lines'!$E$5:$E$5059,'Invoice Lines'!$A$5:$A$5059,A11)</f>
        <v>204</v>
      </c>
      <c r="I11" s="10" t="n">
        <f aca="false">Regression!$B$14+Regression!$B$12*E11+Regression!$B$13*F11</f>
        <v>135.539154664391</v>
      </c>
      <c r="J11" s="10" t="n">
        <f aca="false">H11-I11</f>
        <v>68.4608453356091</v>
      </c>
    </row>
    <row r="12" customFormat="false" ht="15" hidden="false" customHeight="false" outlineLevel="0" collapsed="false">
      <c r="A12" s="9" t="s">
        <v>89</v>
      </c>
      <c r="B12" s="9" t="n">
        <v>17850</v>
      </c>
      <c r="C12" s="9" t="s">
        <v>1906</v>
      </c>
      <c r="D12" s="11" t="n">
        <v>40513.3756944445</v>
      </c>
      <c r="E12" s="9" t="n">
        <f aca="false">COUNTIFS('Invoice Lines'!$A$5:$A$5059,A12)</f>
        <v>2</v>
      </c>
      <c r="F12" s="9" t="n">
        <f aca="false">SUMIFS('Invoice Lines'!$C$5:$C$5059,'Invoice Lines'!$A$5:$A$5059,A12)</f>
        <v>12</v>
      </c>
      <c r="G12" s="10" t="n">
        <f aca="false">AVERAGEIFS('Invoice Lines'!$D$5:$D$5059,'Invoice Lines'!$A$5:$A$5059,A12)</f>
        <v>1.85</v>
      </c>
      <c r="H12" s="10" t="n">
        <f aca="false">SUMIFS('Invoice Lines'!$E$5:$E$5059,'Invoice Lines'!$A$5:$A$5059,A12)</f>
        <v>22.2</v>
      </c>
      <c r="I12" s="10" t="n">
        <f aca="false">Regression!$B$14+Regression!$B$12*E12+Regression!$B$13*F12</f>
        <v>78.4080081471518</v>
      </c>
      <c r="J12" s="10" t="n">
        <f aca="false">H12-I12</f>
        <v>-56.2080081471518</v>
      </c>
    </row>
    <row r="13" customFormat="false" ht="15" hidden="false" customHeight="false" outlineLevel="0" collapsed="false">
      <c r="A13" s="9" t="s">
        <v>90</v>
      </c>
      <c r="B13" s="9" t="n">
        <v>17850</v>
      </c>
      <c r="C13" s="9" t="s">
        <v>1906</v>
      </c>
      <c r="D13" s="11" t="n">
        <v>40513.3763888889</v>
      </c>
      <c r="E13" s="9" t="n">
        <f aca="false">COUNTIFS('Invoice Lines'!$A$5:$A$5059,A13)</f>
        <v>16</v>
      </c>
      <c r="F13" s="9" t="n">
        <f aca="false">SUMIFS('Invoice Lines'!$C$5:$C$5059,'Invoice Lines'!$A$5:$A$5059,A13)</f>
        <v>88</v>
      </c>
      <c r="G13" s="10" t="n">
        <f aca="false">AVERAGEIFS('Invoice Lines'!$D$5:$D$5059,'Invoice Lines'!$A$5:$A$5059,A13)</f>
        <v>3.319375</v>
      </c>
      <c r="H13" s="10" t="n">
        <f aca="false">SUMIFS('Invoice Lines'!$E$5:$E$5059,'Invoice Lines'!$A$5:$A$5059,A13)</f>
        <v>259.86</v>
      </c>
      <c r="I13" s="10" t="n">
        <f aca="false">Regression!$B$14+Regression!$B$12*E13+Regression!$B$13*F13</f>
        <v>251.130504826385</v>
      </c>
      <c r="J13" s="10" t="n">
        <f aca="false">H13-I13</f>
        <v>8.72949517361457</v>
      </c>
    </row>
    <row r="14" customFormat="false" ht="15" hidden="false" customHeight="false" outlineLevel="0" collapsed="false">
      <c r="A14" s="9" t="s">
        <v>100</v>
      </c>
      <c r="B14" s="9" t="n">
        <v>15100</v>
      </c>
      <c r="C14" s="9" t="s">
        <v>1906</v>
      </c>
      <c r="D14" s="11" t="n">
        <v>40513.38125</v>
      </c>
      <c r="E14" s="9" t="n">
        <f aca="false">COUNTIFS('Invoice Lines'!$A$5:$A$5059,A14)</f>
        <v>1</v>
      </c>
      <c r="F14" s="9" t="n">
        <f aca="false">SUMIFS('Invoice Lines'!$C$5:$C$5059,'Invoice Lines'!$A$5:$A$5059,A14)</f>
        <v>32</v>
      </c>
      <c r="G14" s="10" t="n">
        <f aca="false">AVERAGEIFS('Invoice Lines'!$D$5:$D$5059,'Invoice Lines'!$A$5:$A$5059,A14)</f>
        <v>10.95</v>
      </c>
      <c r="H14" s="10" t="n">
        <f aca="false">SUMIFS('Invoice Lines'!$E$5:$E$5059,'Invoice Lines'!$A$5:$A$5059,A14)</f>
        <v>350.4</v>
      </c>
      <c r="I14" s="10" t="n">
        <f aca="false">Regression!$B$14+Regression!$B$12*E14+Regression!$B$13*F14</f>
        <v>90.1278605980603</v>
      </c>
      <c r="J14" s="10" t="n">
        <f aca="false">H14-I14</f>
        <v>260.27213940194</v>
      </c>
    </row>
    <row r="15" customFormat="false" ht="15" hidden="false" customHeight="false" outlineLevel="0" collapsed="false">
      <c r="A15" s="9" t="s">
        <v>102</v>
      </c>
      <c r="B15" s="9" t="n">
        <v>17850</v>
      </c>
      <c r="C15" s="9" t="s">
        <v>1906</v>
      </c>
      <c r="D15" s="11" t="n">
        <v>40513.3972222222</v>
      </c>
      <c r="E15" s="9" t="n">
        <f aca="false">COUNTIFS('Invoice Lines'!$A$5:$A$5059,A15)</f>
        <v>16</v>
      </c>
      <c r="F15" s="9" t="n">
        <f aca="false">SUMIFS('Invoice Lines'!$C$5:$C$5059,'Invoice Lines'!$A$5:$A$5059,A15)</f>
        <v>88</v>
      </c>
      <c r="G15" s="10" t="n">
        <f aca="false">AVERAGEIFS('Invoice Lines'!$D$5:$D$5059,'Invoice Lines'!$A$5:$A$5059,A15)</f>
        <v>3.319375</v>
      </c>
      <c r="H15" s="10" t="n">
        <f aca="false">SUMIFS('Invoice Lines'!$E$5:$E$5059,'Invoice Lines'!$A$5:$A$5059,A15)</f>
        <v>259.86</v>
      </c>
      <c r="I15" s="10" t="n">
        <f aca="false">Regression!$B$14+Regression!$B$12*E15+Regression!$B$13*F15</f>
        <v>251.130504826385</v>
      </c>
      <c r="J15" s="10" t="n">
        <f aca="false">H15-I15</f>
        <v>8.72949517361457</v>
      </c>
    </row>
    <row r="16" customFormat="false" ht="15" hidden="false" customHeight="false" outlineLevel="0" collapsed="false">
      <c r="A16" s="9" t="s">
        <v>103</v>
      </c>
      <c r="B16" s="9" t="n">
        <v>15291</v>
      </c>
      <c r="C16" s="9" t="s">
        <v>1906</v>
      </c>
      <c r="D16" s="11" t="n">
        <v>40513.3972222222</v>
      </c>
      <c r="E16" s="9" t="n">
        <f aca="false">COUNTIFS('Invoice Lines'!$A$5:$A$5059,A16)</f>
        <v>2</v>
      </c>
      <c r="F16" s="9" t="n">
        <f aca="false">SUMIFS('Invoice Lines'!$C$5:$C$5059,'Invoice Lines'!$A$5:$A$5059,A16)</f>
        <v>112</v>
      </c>
      <c r="G16" s="10" t="n">
        <f aca="false">AVERAGEIFS('Invoice Lines'!$D$5:$D$5059,'Invoice Lines'!$A$5:$A$5059,A16)</f>
        <v>3</v>
      </c>
      <c r="H16" s="10" t="n">
        <f aca="false">SUMIFS('Invoice Lines'!$E$5:$E$5059,'Invoice Lines'!$A$5:$A$5059,A16)</f>
        <v>328.8</v>
      </c>
      <c r="I16" s="10" t="n">
        <f aca="false">Regression!$B$14+Regression!$B$12*E16+Regression!$B$13*F16</f>
        <v>173.014870785341</v>
      </c>
      <c r="J16" s="10" t="n">
        <f aca="false">H16-I16</f>
        <v>155.785129214659</v>
      </c>
    </row>
    <row r="17" customFormat="false" ht="15" hidden="false" customHeight="false" outlineLevel="0" collapsed="false">
      <c r="A17" s="9" t="s">
        <v>106</v>
      </c>
      <c r="B17" s="9" t="n">
        <v>17850</v>
      </c>
      <c r="C17" s="9" t="s">
        <v>1906</v>
      </c>
      <c r="D17" s="11" t="n">
        <v>40513.3986111111</v>
      </c>
      <c r="E17" s="9" t="n">
        <f aca="false">COUNTIFS('Invoice Lines'!$A$5:$A$5059,A17)</f>
        <v>2</v>
      </c>
      <c r="F17" s="9" t="n">
        <f aca="false">SUMIFS('Invoice Lines'!$C$5:$C$5059,'Invoice Lines'!$A$5:$A$5059,A17)</f>
        <v>12</v>
      </c>
      <c r="G17" s="10" t="n">
        <f aca="false">AVERAGEIFS('Invoice Lines'!$D$5:$D$5059,'Invoice Lines'!$A$5:$A$5059,A17)</f>
        <v>1.85</v>
      </c>
      <c r="H17" s="10" t="n">
        <f aca="false">SUMIFS('Invoice Lines'!$E$5:$E$5059,'Invoice Lines'!$A$5:$A$5059,A17)</f>
        <v>22.2</v>
      </c>
      <c r="I17" s="10" t="n">
        <f aca="false">Regression!$B$14+Regression!$B$12*E17+Regression!$B$13*F17</f>
        <v>78.4080081471518</v>
      </c>
      <c r="J17" s="10" t="n">
        <f aca="false">H17-I17</f>
        <v>-56.2080081471518</v>
      </c>
    </row>
    <row r="18" customFormat="false" ht="15" hidden="false" customHeight="false" outlineLevel="0" collapsed="false">
      <c r="A18" s="9" t="s">
        <v>107</v>
      </c>
      <c r="B18" s="9" t="n">
        <v>14688</v>
      </c>
      <c r="C18" s="9" t="s">
        <v>1906</v>
      </c>
      <c r="D18" s="11" t="n">
        <v>40513.4006944444</v>
      </c>
      <c r="E18" s="9" t="n">
        <f aca="false">COUNTIFS('Invoice Lines'!$A$5:$A$5059,A18)</f>
        <v>19</v>
      </c>
      <c r="F18" s="9" t="n">
        <f aca="false">SUMIFS('Invoice Lines'!$C$5:$C$5059,'Invoice Lines'!$A$5:$A$5059,A18)</f>
        <v>454</v>
      </c>
      <c r="G18" s="10" t="n">
        <f aca="false">AVERAGEIFS('Invoice Lines'!$D$5:$D$5059,'Invoice Lines'!$A$5:$A$5059,A18)</f>
        <v>1.75526315789474</v>
      </c>
      <c r="H18" s="10" t="n">
        <f aca="false">SUMIFS('Invoice Lines'!$E$5:$E$5059,'Invoice Lines'!$A$5:$A$5059,A18)</f>
        <v>444.98</v>
      </c>
      <c r="I18" s="10" t="n">
        <f aca="false">Regression!$B$14+Regression!$B$12*E18+Regression!$B$13*F18</f>
        <v>618.996182312344</v>
      </c>
      <c r="J18" s="10" t="n">
        <f aca="false">H18-I18</f>
        <v>-174.016182312344</v>
      </c>
    </row>
    <row r="19" customFormat="false" ht="15" hidden="false" customHeight="false" outlineLevel="0" collapsed="false">
      <c r="A19" s="9" t="s">
        <v>127</v>
      </c>
      <c r="B19" s="9" t="n">
        <v>17809</v>
      </c>
      <c r="C19" s="9" t="s">
        <v>1906</v>
      </c>
      <c r="D19" s="11" t="n">
        <v>40513.4034722222</v>
      </c>
      <c r="E19" s="9" t="n">
        <f aca="false">COUNTIFS('Invoice Lines'!$A$5:$A$5059,A19)</f>
        <v>1</v>
      </c>
      <c r="F19" s="9" t="n">
        <f aca="false">SUMIFS('Invoice Lines'!$C$5:$C$5059,'Invoice Lines'!$A$5:$A$5059,A19)</f>
        <v>24</v>
      </c>
      <c r="G19" s="10" t="n">
        <f aca="false">AVERAGEIFS('Invoice Lines'!$D$5:$D$5059,'Invoice Lines'!$A$5:$A$5059,A19)</f>
        <v>1.45</v>
      </c>
      <c r="H19" s="10" t="n">
        <f aca="false">SUMIFS('Invoice Lines'!$E$5:$E$5059,'Invoice Lines'!$A$5:$A$5059,A19)</f>
        <v>34.8</v>
      </c>
      <c r="I19" s="10" t="n">
        <f aca="false">Regression!$B$14+Regression!$B$12*E19+Regression!$B$13*F19</f>
        <v>82.5593115870052</v>
      </c>
      <c r="J19" s="10" t="n">
        <f aca="false">H19-I19</f>
        <v>-47.7593115870052</v>
      </c>
    </row>
    <row r="20" customFormat="false" ht="15" hidden="false" customHeight="false" outlineLevel="0" collapsed="false">
      <c r="A20" s="9" t="s">
        <v>129</v>
      </c>
      <c r="B20" s="9" t="n">
        <v>15311</v>
      </c>
      <c r="C20" s="9" t="s">
        <v>1906</v>
      </c>
      <c r="D20" s="11" t="n">
        <v>40513.4034722222</v>
      </c>
      <c r="E20" s="9" t="n">
        <f aca="false">COUNTIFS('Invoice Lines'!$A$5:$A$5059,A20)</f>
        <v>35</v>
      </c>
      <c r="F20" s="9" t="n">
        <f aca="false">SUMIFS('Invoice Lines'!$C$5:$C$5059,'Invoice Lines'!$A$5:$A$5059,A20)</f>
        <v>198</v>
      </c>
      <c r="G20" s="10" t="n">
        <f aca="false">AVERAGEIFS('Invoice Lines'!$D$5:$D$5059,'Invoice Lines'!$A$5:$A$5059,A20)</f>
        <v>2.52</v>
      </c>
      <c r="H20" s="10" t="n">
        <f aca="false">SUMIFS('Invoice Lines'!$E$5:$E$5059,'Invoice Lines'!$A$5:$A$5059,A20)</f>
        <v>449.98</v>
      </c>
      <c r="I20" s="10" t="n">
        <f aca="false">Regression!$B$14+Regression!$B$12*E20+Regression!$B$13*F20</f>
        <v>492.02693518625</v>
      </c>
      <c r="J20" s="10" t="n">
        <f aca="false">H20-I20</f>
        <v>-42.0469351862498</v>
      </c>
    </row>
    <row r="21" customFormat="false" ht="15" hidden="false" customHeight="false" outlineLevel="0" collapsed="false">
      <c r="A21" s="9" t="s">
        <v>162</v>
      </c>
      <c r="B21" s="9" t="n">
        <v>16098</v>
      </c>
      <c r="C21" s="9" t="s">
        <v>1906</v>
      </c>
      <c r="D21" s="11" t="n">
        <v>40513.40625</v>
      </c>
      <c r="E21" s="9" t="n">
        <f aca="false">COUNTIFS('Invoice Lines'!$A$5:$A$5059,A21)</f>
        <v>12</v>
      </c>
      <c r="F21" s="9" t="n">
        <f aca="false">SUMIFS('Invoice Lines'!$C$5:$C$5059,'Invoice Lines'!$A$5:$A$5059,A21)</f>
        <v>134</v>
      </c>
      <c r="G21" s="10" t="n">
        <f aca="false">AVERAGEIFS('Invoice Lines'!$D$5:$D$5059,'Invoice Lines'!$A$5:$A$5059,A21)</f>
        <v>5.97083333333333</v>
      </c>
      <c r="H21" s="10" t="n">
        <f aca="false">SUMIFS('Invoice Lines'!$E$5:$E$5059,'Invoice Lines'!$A$5:$A$5059,A21)</f>
        <v>430.6</v>
      </c>
      <c r="I21" s="10" t="n">
        <f aca="false">Regression!$B$14+Regression!$B$12*E21+Regression!$B$13*F21</f>
        <v>265.843581333035</v>
      </c>
      <c r="J21" s="10" t="n">
        <f aca="false">H21-I21</f>
        <v>164.756418666965</v>
      </c>
    </row>
    <row r="22" customFormat="false" ht="15" hidden="false" customHeight="false" outlineLevel="0" collapsed="false">
      <c r="A22" s="9" t="s">
        <v>172</v>
      </c>
      <c r="B22" s="9" t="n">
        <v>18074</v>
      </c>
      <c r="C22" s="9" t="s">
        <v>1906</v>
      </c>
      <c r="D22" s="11" t="n">
        <v>40513.4118055556</v>
      </c>
      <c r="E22" s="9" t="n">
        <f aca="false">COUNTIFS('Invoice Lines'!$A$5:$A$5059,A22)</f>
        <v>13</v>
      </c>
      <c r="F22" s="9" t="n">
        <f aca="false">SUMIFS('Invoice Lines'!$C$5:$C$5059,'Invoice Lines'!$A$5:$A$5059,A22)</f>
        <v>190</v>
      </c>
      <c r="G22" s="10" t="n">
        <f aca="false">AVERAGEIFS('Invoice Lines'!$D$5:$D$5059,'Invoice Lines'!$A$5:$A$5059,A22)</f>
        <v>4.78076923076923</v>
      </c>
      <c r="H22" s="10" t="n">
        <f aca="false">SUMIFS('Invoice Lines'!$E$5:$E$5059,'Invoice Lines'!$A$5:$A$5059,A22)</f>
        <v>489.6</v>
      </c>
      <c r="I22" s="10" t="n">
        <f aca="false">Regression!$B$14+Regression!$B$12*E22+Regression!$B$13*F22</f>
        <v>326.02494448715</v>
      </c>
      <c r="J22" s="10" t="n">
        <f aca="false">H22-I22</f>
        <v>163.57505551285</v>
      </c>
    </row>
    <row r="23" customFormat="false" ht="15" hidden="false" customHeight="false" outlineLevel="0" collapsed="false">
      <c r="A23" s="9" t="s">
        <v>186</v>
      </c>
      <c r="B23" s="9" t="n">
        <v>17420</v>
      </c>
      <c r="C23" s="9" t="s">
        <v>1906</v>
      </c>
      <c r="D23" s="11" t="n">
        <v>40513.4138888889</v>
      </c>
      <c r="E23" s="9" t="n">
        <f aca="false">COUNTIFS('Invoice Lines'!$A$5:$A$5059,A23)</f>
        <v>7</v>
      </c>
      <c r="F23" s="9" t="n">
        <f aca="false">SUMIFS('Invoice Lines'!$C$5:$C$5059,'Invoice Lines'!$A$5:$A$5059,A23)</f>
        <v>53</v>
      </c>
      <c r="G23" s="10" t="n">
        <f aca="false">AVERAGEIFS('Invoice Lines'!$D$5:$D$5059,'Invoice Lines'!$A$5:$A$5059,A23)</f>
        <v>5.57142857142857</v>
      </c>
      <c r="H23" s="10" t="n">
        <f aca="false">SUMIFS('Invoice Lines'!$E$5:$E$5059,'Invoice Lines'!$A$5:$A$5059,A23)</f>
        <v>130.85</v>
      </c>
      <c r="I23" s="10" t="n">
        <f aca="false">Regression!$B$14+Regression!$B$12*E23+Regression!$B$13*F23</f>
        <v>153.204422212456</v>
      </c>
      <c r="J23" s="10" t="n">
        <f aca="false">H23-I23</f>
        <v>-22.3544222124557</v>
      </c>
    </row>
    <row r="24" customFormat="false" ht="15" hidden="false" customHeight="false" outlineLevel="0" collapsed="false">
      <c r="A24" s="9" t="s">
        <v>191</v>
      </c>
      <c r="B24" s="9" t="n">
        <v>16029</v>
      </c>
      <c r="C24" s="9" t="s">
        <v>1906</v>
      </c>
      <c r="D24" s="11" t="n">
        <v>40513.4145833333</v>
      </c>
      <c r="E24" s="9" t="n">
        <f aca="false">COUNTIFS('Invoice Lines'!$A$5:$A$5059,A24)</f>
        <v>3</v>
      </c>
      <c r="F24" s="9" t="n">
        <f aca="false">SUMIFS('Invoice Lines'!$C$5:$C$5059,'Invoice Lines'!$A$5:$A$5059,A24)</f>
        <v>236</v>
      </c>
      <c r="G24" s="10" t="n">
        <f aca="false">AVERAGEIFS('Invoice Lines'!$D$5:$D$5059,'Invoice Lines'!$A$5:$A$5059,A24)</f>
        <v>2.75</v>
      </c>
      <c r="H24" s="10" t="n">
        <f aca="false">SUMIFS('Invoice Lines'!$E$5:$E$5059,'Invoice Lines'!$A$5:$A$5059,A24)</f>
        <v>508.2</v>
      </c>
      <c r="I24" s="10" t="n">
        <f aca="false">Regression!$B$14+Regression!$B$12*E24+Regression!$B$13*F24</f>
        <v>297.528900533424</v>
      </c>
      <c r="J24" s="10" t="n">
        <f aca="false">H24-I24</f>
        <v>210.671099466576</v>
      </c>
    </row>
    <row r="25" customFormat="false" ht="15" hidden="false" customHeight="false" outlineLevel="0" collapsed="false">
      <c r="A25" s="9" t="s">
        <v>194</v>
      </c>
      <c r="B25" s="9" t="n">
        <v>16029</v>
      </c>
      <c r="C25" s="9" t="s">
        <v>1906</v>
      </c>
      <c r="D25" s="11" t="n">
        <v>40513.4152777778</v>
      </c>
      <c r="E25" s="9" t="n">
        <f aca="false">COUNTIFS('Invoice Lines'!$A$5:$A$5059,A25)</f>
        <v>5</v>
      </c>
      <c r="F25" s="9" t="n">
        <f aca="false">SUMIFS('Invoice Lines'!$C$5:$C$5059,'Invoice Lines'!$A$5:$A$5059,A25)</f>
        <v>1440</v>
      </c>
      <c r="G25" s="10" t="n">
        <f aca="false">AVERAGEIFS('Invoice Lines'!$D$5:$D$5059,'Invoice Lines'!$A$5:$A$5059,A25)</f>
        <v>2.652</v>
      </c>
      <c r="H25" s="10" t="n">
        <f aca="false">SUMIFS('Invoice Lines'!$E$5:$E$5059,'Invoice Lines'!$A$5:$A$5059,A25)</f>
        <v>3193.92</v>
      </c>
      <c r="I25" s="10" t="n">
        <f aca="false">Regression!$B$14+Regression!$B$12*E25+Regression!$B$13*F25</f>
        <v>1450.99856685068</v>
      </c>
      <c r="J25" s="10" t="n">
        <f aca="false">H25-I25</f>
        <v>1742.92143314932</v>
      </c>
    </row>
    <row r="26" customFormat="false" ht="15" hidden="false" customHeight="false" outlineLevel="0" collapsed="false">
      <c r="A26" s="9" t="s">
        <v>199</v>
      </c>
      <c r="B26" s="9" t="n">
        <v>16250</v>
      </c>
      <c r="C26" s="9" t="s">
        <v>1906</v>
      </c>
      <c r="D26" s="11" t="n">
        <v>40513.4159722222</v>
      </c>
      <c r="E26" s="9" t="n">
        <f aca="false">COUNTIFS('Invoice Lines'!$A$5:$A$5059,A26)</f>
        <v>14</v>
      </c>
      <c r="F26" s="9" t="n">
        <f aca="false">SUMIFS('Invoice Lines'!$C$5:$C$5059,'Invoice Lines'!$A$5:$A$5059,A26)</f>
        <v>108</v>
      </c>
      <c r="G26" s="10" t="n">
        <f aca="false">AVERAGEIFS('Invoice Lines'!$D$5:$D$5059,'Invoice Lines'!$A$5:$A$5059,A26)</f>
        <v>3.37642857142857</v>
      </c>
      <c r="H26" s="10" t="n">
        <f aca="false">SUMIFS('Invoice Lines'!$E$5:$E$5059,'Invoice Lines'!$A$5:$A$5059,A26)</f>
        <v>226.14</v>
      </c>
      <c r="I26" s="10" t="n">
        <f aca="false">Regression!$B$14+Regression!$B$12*E26+Regression!$B$13*F26</f>
        <v>255.648837200565</v>
      </c>
      <c r="J26" s="10" t="n">
        <f aca="false">H26-I26</f>
        <v>-29.5088372005646</v>
      </c>
    </row>
    <row r="27" customFormat="false" ht="15" hidden="false" customHeight="false" outlineLevel="0" collapsed="false">
      <c r="A27" s="9" t="s">
        <v>209</v>
      </c>
      <c r="B27" s="9" t="n">
        <v>12431</v>
      </c>
      <c r="C27" s="9" t="s">
        <v>1908</v>
      </c>
      <c r="D27" s="11" t="n">
        <v>40513.41875</v>
      </c>
      <c r="E27" s="9" t="n">
        <f aca="false">COUNTIFS('Invoice Lines'!$A$5:$A$5059,A27)</f>
        <v>14</v>
      </c>
      <c r="F27" s="9" t="n">
        <f aca="false">SUMIFS('Invoice Lines'!$C$5:$C$5059,'Invoice Lines'!$A$5:$A$5059,A27)</f>
        <v>107</v>
      </c>
      <c r="G27" s="10" t="n">
        <f aca="false">AVERAGEIFS('Invoice Lines'!$D$5:$D$5059,'Invoice Lines'!$A$5:$A$5059,A27)</f>
        <v>5.27857142857143</v>
      </c>
      <c r="H27" s="10" t="n">
        <f aca="false">SUMIFS('Invoice Lines'!$E$5:$E$5059,'Invoice Lines'!$A$5:$A$5059,A27)</f>
        <v>358.25</v>
      </c>
      <c r="I27" s="10" t="n">
        <f aca="false">Regression!$B$14+Regression!$B$12*E27+Regression!$B$13*F27</f>
        <v>254.702768574183</v>
      </c>
      <c r="J27" s="10" t="n">
        <f aca="false">H27-I27</f>
        <v>103.547231425817</v>
      </c>
    </row>
    <row r="28" customFormat="false" ht="15" hidden="false" customHeight="false" outlineLevel="0" collapsed="false">
      <c r="A28" s="9" t="s">
        <v>221</v>
      </c>
      <c r="B28" s="9" t="n">
        <v>17511</v>
      </c>
      <c r="C28" s="9" t="s">
        <v>1906</v>
      </c>
      <c r="D28" s="11" t="n">
        <v>40513.4298611111</v>
      </c>
      <c r="E28" s="9" t="n">
        <f aca="false">COUNTIFS('Invoice Lines'!$A$5:$A$5059,A28)</f>
        <v>24</v>
      </c>
      <c r="F28" s="9" t="n">
        <f aca="false">SUMIFS('Invoice Lines'!$C$5:$C$5059,'Invoice Lines'!$A$5:$A$5059,A28)</f>
        <v>1568</v>
      </c>
      <c r="G28" s="10" t="n">
        <f aca="false">AVERAGEIFS('Invoice Lines'!$D$5:$D$5059,'Invoice Lines'!$A$5:$A$5059,A28)</f>
        <v>2.45291666666667</v>
      </c>
      <c r="H28" s="10" t="n">
        <f aca="false">SUMIFS('Invoice Lines'!$E$5:$E$5059,'Invoice Lines'!$A$5:$A$5059,A28)</f>
        <v>1825.74</v>
      </c>
      <c r="I28" s="10" t="n">
        <f aca="false">Regression!$B$14+Regression!$B$12*E28+Regression!$B$13*F28</f>
        <v>1708.92423248541</v>
      </c>
      <c r="J28" s="10" t="n">
        <f aca="false">H28-I28</f>
        <v>116.815767514586</v>
      </c>
    </row>
    <row r="29" customFormat="false" ht="15" hidden="false" customHeight="false" outlineLevel="0" collapsed="false">
      <c r="A29" s="9" t="s">
        <v>237</v>
      </c>
      <c r="B29" s="9" t="n">
        <v>13705</v>
      </c>
      <c r="C29" s="9" t="s">
        <v>1906</v>
      </c>
      <c r="D29" s="11" t="n">
        <v>40513.4368055556</v>
      </c>
      <c r="E29" s="9" t="n">
        <f aca="false">COUNTIFS('Invoice Lines'!$A$5:$A$5059,A29)</f>
        <v>10</v>
      </c>
      <c r="F29" s="9" t="n">
        <f aca="false">SUMIFS('Invoice Lines'!$C$5:$C$5059,'Invoice Lines'!$A$5:$A$5059,A29)</f>
        <v>103</v>
      </c>
      <c r="G29" s="10" t="n">
        <f aca="false">AVERAGEIFS('Invoice Lines'!$D$5:$D$5059,'Invoice Lines'!$A$5:$A$5059,A29)</f>
        <v>18.399</v>
      </c>
      <c r="H29" s="10" t="n">
        <f aca="false">SUMIFS('Invoice Lines'!$E$5:$E$5059,'Invoice Lines'!$A$5:$A$5059,A29)</f>
        <v>318.14</v>
      </c>
      <c r="I29" s="10" t="n">
        <f aca="false">Regression!$B$14+Regression!$B$12*E29+Regression!$B$13*F29</f>
        <v>222.112413761738</v>
      </c>
      <c r="J29" s="10" t="n">
        <f aca="false">H29-I29</f>
        <v>96.027586238262</v>
      </c>
    </row>
    <row r="30" customFormat="false" ht="15" hidden="false" customHeight="false" outlineLevel="0" collapsed="false">
      <c r="A30" s="9" t="s">
        <v>247</v>
      </c>
      <c r="B30" s="9" t="n">
        <v>13747</v>
      </c>
      <c r="C30" s="9" t="s">
        <v>1906</v>
      </c>
      <c r="D30" s="11" t="n">
        <v>40513.4423611111</v>
      </c>
      <c r="E30" s="9" t="n">
        <f aca="false">COUNTIFS('Invoice Lines'!$A$5:$A$5059,A30)</f>
        <v>1</v>
      </c>
      <c r="F30" s="9" t="n">
        <f aca="false">SUMIFS('Invoice Lines'!$C$5:$C$5059,'Invoice Lines'!$A$5:$A$5059,A30)</f>
        <v>8</v>
      </c>
      <c r="G30" s="10" t="n">
        <f aca="false">AVERAGEIFS('Invoice Lines'!$D$5:$D$5059,'Invoice Lines'!$A$5:$A$5059,A30)</f>
        <v>9.95</v>
      </c>
      <c r="H30" s="10" t="n">
        <f aca="false">SUMIFS('Invoice Lines'!$E$5:$E$5059,'Invoice Lines'!$A$5:$A$5059,A30)</f>
        <v>79.6</v>
      </c>
      <c r="I30" s="10" t="n">
        <f aca="false">Regression!$B$14+Regression!$B$12*E30+Regression!$B$13*F30</f>
        <v>67.422213564895</v>
      </c>
      <c r="J30" s="10" t="n">
        <f aca="false">H30-I30</f>
        <v>12.177786435105</v>
      </c>
    </row>
    <row r="31" customFormat="false" ht="15" hidden="false" customHeight="false" outlineLevel="0" collapsed="false">
      <c r="A31" s="9" t="s">
        <v>249</v>
      </c>
      <c r="B31" s="9" t="n">
        <v>13408</v>
      </c>
      <c r="C31" s="9" t="s">
        <v>1906</v>
      </c>
      <c r="D31" s="11" t="n">
        <v>40513.44375</v>
      </c>
      <c r="E31" s="9" t="n">
        <f aca="false">COUNTIFS('Invoice Lines'!$A$5:$A$5059,A31)</f>
        <v>11</v>
      </c>
      <c r="F31" s="9" t="n">
        <f aca="false">SUMIFS('Invoice Lines'!$C$5:$C$5059,'Invoice Lines'!$A$5:$A$5059,A31)</f>
        <v>544</v>
      </c>
      <c r="G31" s="10" t="n">
        <f aca="false">AVERAGEIFS('Invoice Lines'!$D$5:$D$5059,'Invoice Lines'!$A$5:$A$5059,A31)</f>
        <v>2.18818181818182</v>
      </c>
      <c r="H31" s="10" t="n">
        <f aca="false">SUMIFS('Invoice Lines'!$E$5:$E$5059,'Invoice Lines'!$A$5:$A$5059,A31)</f>
        <v>1024.68</v>
      </c>
      <c r="I31" s="10" t="n">
        <f aca="false">Regression!$B$14+Regression!$B$12*E31+Regression!$B$13*F31</f>
        <v>646.53019807288</v>
      </c>
      <c r="J31" s="10" t="n">
        <f aca="false">H31-I31</f>
        <v>378.14980192712</v>
      </c>
    </row>
    <row r="32" customFormat="false" ht="15" hidden="false" customHeight="false" outlineLevel="0" collapsed="false">
      <c r="A32" s="9" t="s">
        <v>257</v>
      </c>
      <c r="B32" s="9" t="n">
        <v>13767</v>
      </c>
      <c r="C32" s="9" t="s">
        <v>1906</v>
      </c>
      <c r="D32" s="11" t="n">
        <v>40513.4493055556</v>
      </c>
      <c r="E32" s="9" t="n">
        <f aca="false">COUNTIFS('Invoice Lines'!$A$5:$A$5059,A32)</f>
        <v>14</v>
      </c>
      <c r="F32" s="9" t="n">
        <f aca="false">SUMIFS('Invoice Lines'!$C$5:$C$5059,'Invoice Lines'!$A$5:$A$5059,A32)</f>
        <v>260</v>
      </c>
      <c r="G32" s="10" t="n">
        <f aca="false">AVERAGEIFS('Invoice Lines'!$D$5:$D$5059,'Invoice Lines'!$A$5:$A$5059,A32)</f>
        <v>2.57071428571429</v>
      </c>
      <c r="H32" s="10" t="n">
        <f aca="false">SUMIFS('Invoice Lines'!$E$5:$E$5059,'Invoice Lines'!$A$5:$A$5059,A32)</f>
        <v>507.88</v>
      </c>
      <c r="I32" s="10" t="n">
        <f aca="false">Regression!$B$14+Regression!$B$12*E32+Regression!$B$13*F32</f>
        <v>399.451268410612</v>
      </c>
      <c r="J32" s="10" t="n">
        <f aca="false">H32-I32</f>
        <v>108.428731589388</v>
      </c>
    </row>
    <row r="33" customFormat="false" ht="15" hidden="false" customHeight="false" outlineLevel="0" collapsed="false">
      <c r="A33" s="9" t="s">
        <v>264</v>
      </c>
      <c r="B33" s="9" t="n">
        <v>17850</v>
      </c>
      <c r="C33" s="9" t="s">
        <v>1906</v>
      </c>
      <c r="D33" s="11" t="n">
        <v>40513.4520833333</v>
      </c>
      <c r="E33" s="9" t="n">
        <f aca="false">COUNTIFS('Invoice Lines'!$A$5:$A$5059,A33)</f>
        <v>18</v>
      </c>
      <c r="F33" s="9" t="n">
        <f aca="false">SUMIFS('Invoice Lines'!$C$5:$C$5059,'Invoice Lines'!$A$5:$A$5059,A33)</f>
        <v>102</v>
      </c>
      <c r="G33" s="10" t="n">
        <f aca="false">AVERAGEIFS('Invoice Lines'!$D$5:$D$5059,'Invoice Lines'!$A$5:$A$5059,A33)</f>
        <v>5.21166666666667</v>
      </c>
      <c r="H33" s="10" t="n">
        <f aca="false">SUMIFS('Invoice Lines'!$E$5:$E$5059,'Invoice Lines'!$A$5:$A$5059,A33)</f>
        <v>376.36</v>
      </c>
      <c r="I33" s="10" t="n">
        <f aca="false">Regression!$B$14+Regression!$B$12*E33+Regression!$B$13*F33</f>
        <v>278.77850574919</v>
      </c>
      <c r="J33" s="10" t="n">
        <f aca="false">H33-I33</f>
        <v>97.5814942508096</v>
      </c>
    </row>
    <row r="34" customFormat="false" ht="15" hidden="false" customHeight="false" outlineLevel="0" collapsed="false">
      <c r="A34" s="9" t="s">
        <v>266</v>
      </c>
      <c r="B34" s="9" t="n">
        <v>17924</v>
      </c>
      <c r="C34" s="9" t="s">
        <v>1906</v>
      </c>
      <c r="D34" s="11" t="n">
        <v>40513.4520833333</v>
      </c>
      <c r="E34" s="9" t="n">
        <f aca="false">COUNTIFS('Invoice Lines'!$A$5:$A$5059,A34)</f>
        <v>2</v>
      </c>
      <c r="F34" s="9" t="n">
        <f aca="false">SUMIFS('Invoice Lines'!$C$5:$C$5059,'Invoice Lines'!$A$5:$A$5059,A34)</f>
        <v>60</v>
      </c>
      <c r="G34" s="10" t="n">
        <f aca="false">AVERAGEIFS('Invoice Lines'!$D$5:$D$5059,'Invoice Lines'!$A$5:$A$5059,A34)</f>
        <v>4.65</v>
      </c>
      <c r="H34" s="10" t="n">
        <f aca="false">SUMIFS('Invoice Lines'!$E$5:$E$5059,'Invoice Lines'!$A$5:$A$5059,A34)</f>
        <v>279</v>
      </c>
      <c r="I34" s="10" t="n">
        <f aca="false">Regression!$B$14+Regression!$B$12*E34+Regression!$B$13*F34</f>
        <v>123.819302213482</v>
      </c>
      <c r="J34" s="10" t="n">
        <f aca="false">H34-I34</f>
        <v>155.180697786518</v>
      </c>
    </row>
    <row r="35" customFormat="false" ht="15" hidden="false" customHeight="false" outlineLevel="0" collapsed="false">
      <c r="A35" s="9" t="s">
        <v>268</v>
      </c>
      <c r="B35" s="9" t="n">
        <v>13448</v>
      </c>
      <c r="C35" s="9" t="s">
        <v>1906</v>
      </c>
      <c r="D35" s="11" t="n">
        <v>40513.4527777778</v>
      </c>
      <c r="E35" s="9" t="n">
        <f aca="false">COUNTIFS('Invoice Lines'!$A$5:$A$5059,A35)</f>
        <v>17</v>
      </c>
      <c r="F35" s="9" t="n">
        <f aca="false">SUMIFS('Invoice Lines'!$C$5:$C$5059,'Invoice Lines'!$A$5:$A$5059,A35)</f>
        <v>150</v>
      </c>
      <c r="G35" s="10" t="n">
        <f aca="false">AVERAGEIFS('Invoice Lines'!$D$5:$D$5059,'Invoice Lines'!$A$5:$A$5059,A35)</f>
        <v>3.75235294117647</v>
      </c>
      <c r="H35" s="10" t="n">
        <f aca="false">SUMIFS('Invoice Lines'!$E$5:$E$5059,'Invoice Lines'!$A$5:$A$5059,A35)</f>
        <v>426.56</v>
      </c>
      <c r="I35" s="10" t="n">
        <f aca="false">Regression!$B$14+Regression!$B$12*E35+Regression!$B$13*F35</f>
        <v>316.988279738792</v>
      </c>
      <c r="J35" s="10" t="n">
        <f aca="false">H35-I35</f>
        <v>109.571720261208</v>
      </c>
    </row>
    <row r="36" customFormat="false" ht="15" hidden="false" customHeight="false" outlineLevel="0" collapsed="false">
      <c r="A36" s="9" t="s">
        <v>280</v>
      </c>
      <c r="B36" s="9" t="n">
        <v>17850</v>
      </c>
      <c r="C36" s="9" t="s">
        <v>1906</v>
      </c>
      <c r="D36" s="11" t="n">
        <v>40513.4527777778</v>
      </c>
      <c r="E36" s="9" t="n">
        <f aca="false">COUNTIFS('Invoice Lines'!$A$5:$A$5059,A36)</f>
        <v>2</v>
      </c>
      <c r="F36" s="9" t="n">
        <f aca="false">SUMIFS('Invoice Lines'!$C$5:$C$5059,'Invoice Lines'!$A$5:$A$5059,A36)</f>
        <v>12</v>
      </c>
      <c r="G36" s="10" t="n">
        <f aca="false">AVERAGEIFS('Invoice Lines'!$D$5:$D$5059,'Invoice Lines'!$A$5:$A$5059,A36)</f>
        <v>1.85</v>
      </c>
      <c r="H36" s="10" t="n">
        <f aca="false">SUMIFS('Invoice Lines'!$E$5:$E$5059,'Invoice Lines'!$A$5:$A$5059,A36)</f>
        <v>22.2</v>
      </c>
      <c r="I36" s="10" t="n">
        <f aca="false">Regression!$B$14+Regression!$B$12*E36+Regression!$B$13*F36</f>
        <v>78.4080081471518</v>
      </c>
      <c r="J36" s="10" t="n">
        <f aca="false">H36-I36</f>
        <v>-56.2080081471518</v>
      </c>
    </row>
    <row r="37" customFormat="false" ht="15" hidden="false" customHeight="false" outlineLevel="0" collapsed="false">
      <c r="A37" s="9" t="s">
        <v>281</v>
      </c>
      <c r="B37" s="9" t="n">
        <v>13448</v>
      </c>
      <c r="C37" s="9" t="s">
        <v>1906</v>
      </c>
      <c r="D37" s="11" t="n">
        <v>40513.4534722222</v>
      </c>
      <c r="E37" s="9" t="n">
        <f aca="false">COUNTIFS('Invoice Lines'!$A$5:$A$5059,A37)</f>
        <v>1</v>
      </c>
      <c r="F37" s="9" t="n">
        <f aca="false">SUMIFS('Invoice Lines'!$C$5:$C$5059,'Invoice Lines'!$A$5:$A$5059,A37)</f>
        <v>12</v>
      </c>
      <c r="G37" s="10" t="n">
        <f aca="false">AVERAGEIFS('Invoice Lines'!$D$5:$D$5059,'Invoice Lines'!$A$5:$A$5059,A37)</f>
        <v>1.45</v>
      </c>
      <c r="H37" s="10" t="n">
        <f aca="false">SUMIFS('Invoice Lines'!$E$5:$E$5059,'Invoice Lines'!$A$5:$A$5059,A37)</f>
        <v>17.4</v>
      </c>
      <c r="I37" s="10" t="n">
        <f aca="false">Regression!$B$14+Regression!$B$12*E37+Regression!$B$13*F37</f>
        <v>71.2064880704225</v>
      </c>
      <c r="J37" s="10" t="n">
        <f aca="false">H37-I37</f>
        <v>-53.8064880704225</v>
      </c>
    </row>
    <row r="38" customFormat="false" ht="15" hidden="false" customHeight="false" outlineLevel="0" collapsed="false">
      <c r="A38" s="9" t="s">
        <v>282</v>
      </c>
      <c r="B38" s="9" t="n">
        <v>15862</v>
      </c>
      <c r="C38" s="9" t="s">
        <v>1906</v>
      </c>
      <c r="D38" s="11" t="n">
        <v>40513.4729166667</v>
      </c>
      <c r="E38" s="9" t="n">
        <f aca="false">COUNTIFS('Invoice Lines'!$A$5:$A$5059,A38)</f>
        <v>64</v>
      </c>
      <c r="F38" s="9" t="n">
        <f aca="false">SUMIFS('Invoice Lines'!$C$5:$C$5059,'Invoice Lines'!$A$5:$A$5059,A38)</f>
        <v>124</v>
      </c>
      <c r="G38" s="10" t="n">
        <f aca="false">AVERAGEIFS('Invoice Lines'!$D$5:$D$5059,'Invoice Lines'!$A$5:$A$5059,A38)</f>
        <v>3.235</v>
      </c>
      <c r="H38" s="10" t="n">
        <f aca="false">SUMIFS('Invoice Lines'!$E$5:$E$5059,'Invoice Lines'!$A$5:$A$5059,A38)</f>
        <v>354.23</v>
      </c>
      <c r="I38" s="10" t="n">
        <f aca="false">Regression!$B$14+Regression!$B$12*E38+Regression!$B$13*F38</f>
        <v>630.86193905914</v>
      </c>
      <c r="J38" s="10" t="n">
        <f aca="false">H38-I38</f>
        <v>-276.63193905914</v>
      </c>
    </row>
    <row r="39" customFormat="false" ht="15" hidden="false" customHeight="false" outlineLevel="0" collapsed="false">
      <c r="A39" s="9" t="s">
        <v>336</v>
      </c>
      <c r="B39" s="9" t="n">
        <v>15513</v>
      </c>
      <c r="C39" s="9" t="s">
        <v>1906</v>
      </c>
      <c r="D39" s="11" t="n">
        <v>40513.4736111111</v>
      </c>
      <c r="E39" s="9" t="n">
        <f aca="false">COUNTIFS('Invoice Lines'!$A$5:$A$5059,A39)</f>
        <v>3</v>
      </c>
      <c r="F39" s="9" t="n">
        <f aca="false">SUMIFS('Invoice Lines'!$C$5:$C$5059,'Invoice Lines'!$A$5:$A$5059,A39)</f>
        <v>116</v>
      </c>
      <c r="G39" s="10" t="n">
        <f aca="false">AVERAGEIFS('Invoice Lines'!$D$5:$D$5059,'Invoice Lines'!$A$5:$A$5059,A39)</f>
        <v>3.11666666666667</v>
      </c>
      <c r="H39" s="10" t="n">
        <f aca="false">SUMIFS('Invoice Lines'!$E$5:$E$5059,'Invoice Lines'!$A$5:$A$5059,A39)</f>
        <v>357</v>
      </c>
      <c r="I39" s="10" t="n">
        <f aca="false">Regression!$B$14+Regression!$B$12*E39+Regression!$B$13*F39</f>
        <v>184.000665367598</v>
      </c>
      <c r="J39" s="10" t="n">
        <f aca="false">H39-I39</f>
        <v>172.999334632403</v>
      </c>
    </row>
    <row r="40" customFormat="false" ht="15" hidden="false" customHeight="false" outlineLevel="0" collapsed="false">
      <c r="A40" s="9" t="s">
        <v>338</v>
      </c>
      <c r="B40" s="9" t="n">
        <v>12791</v>
      </c>
      <c r="C40" s="9" t="s">
        <v>1909</v>
      </c>
      <c r="D40" s="11" t="n">
        <v>40513.4770833333</v>
      </c>
      <c r="E40" s="9" t="n">
        <f aca="false">COUNTIFS('Invoice Lines'!$A$5:$A$5059,A40)</f>
        <v>1</v>
      </c>
      <c r="F40" s="9" t="n">
        <f aca="false">SUMIFS('Invoice Lines'!$C$5:$C$5059,'Invoice Lines'!$A$5:$A$5059,A40)</f>
        <v>96</v>
      </c>
      <c r="G40" s="10" t="n">
        <f aca="false">AVERAGEIFS('Invoice Lines'!$D$5:$D$5059,'Invoice Lines'!$A$5:$A$5059,A40)</f>
        <v>1.85</v>
      </c>
      <c r="H40" s="10" t="n">
        <f aca="false">SUMIFS('Invoice Lines'!$E$5:$E$5059,'Invoice Lines'!$A$5:$A$5059,A40)</f>
        <v>177.6</v>
      </c>
      <c r="I40" s="10" t="n">
        <f aca="false">Regression!$B$14+Regression!$B$12*E40+Regression!$B$13*F40</f>
        <v>150.676252686501</v>
      </c>
      <c r="J40" s="10" t="n">
        <f aca="false">H40-I40</f>
        <v>26.9237473134989</v>
      </c>
    </row>
    <row r="41" customFormat="false" ht="15" hidden="false" customHeight="false" outlineLevel="0" collapsed="false">
      <c r="A41" s="9" t="s">
        <v>339</v>
      </c>
      <c r="B41" s="9" t="n">
        <v>16218</v>
      </c>
      <c r="C41" s="9" t="s">
        <v>1906</v>
      </c>
      <c r="D41" s="11" t="n">
        <v>40513.4784722222</v>
      </c>
      <c r="E41" s="9" t="n">
        <f aca="false">COUNTIFS('Invoice Lines'!$A$5:$A$5059,A41)</f>
        <v>28</v>
      </c>
      <c r="F41" s="9" t="n">
        <f aca="false">SUMIFS('Invoice Lines'!$C$5:$C$5059,'Invoice Lines'!$A$5:$A$5059,A41)</f>
        <v>438</v>
      </c>
      <c r="G41" s="10" t="n">
        <f aca="false">AVERAGEIFS('Invoice Lines'!$D$5:$D$5059,'Invoice Lines'!$A$5:$A$5059,A41)</f>
        <v>1.16964285714286</v>
      </c>
      <c r="H41" s="10" t="n">
        <f aca="false">SUMIFS('Invoice Lines'!$E$5:$E$5059,'Invoice Lines'!$A$5:$A$5059,A41)</f>
        <v>471.3</v>
      </c>
      <c r="I41" s="10" t="n">
        <f aca="false">Regression!$B$14+Regression!$B$12*E41+Regression!$B$13*F41</f>
        <v>668.672764980798</v>
      </c>
      <c r="J41" s="10" t="n">
        <f aca="false">H41-I41</f>
        <v>-197.372764980798</v>
      </c>
    </row>
    <row r="42" customFormat="false" ht="15" hidden="false" customHeight="false" outlineLevel="0" collapsed="false">
      <c r="A42" s="9" t="s">
        <v>362</v>
      </c>
      <c r="B42" s="9" t="n">
        <v>14045</v>
      </c>
      <c r="C42" s="9" t="s">
        <v>1906</v>
      </c>
      <c r="D42" s="11" t="n">
        <v>40513.4805555556</v>
      </c>
      <c r="E42" s="9" t="n">
        <f aca="false">COUNTIFS('Invoice Lines'!$A$5:$A$5059,A42)</f>
        <v>1</v>
      </c>
      <c r="F42" s="9" t="n">
        <f aca="false">SUMIFS('Invoice Lines'!$C$5:$C$5059,'Invoice Lines'!$A$5:$A$5059,A42)</f>
        <v>128</v>
      </c>
      <c r="G42" s="10" t="n">
        <f aca="false">AVERAGEIFS('Invoice Lines'!$D$5:$D$5059,'Invoice Lines'!$A$5:$A$5059,A42)</f>
        <v>2.55</v>
      </c>
      <c r="H42" s="10" t="n">
        <f aca="false">SUMIFS('Invoice Lines'!$E$5:$E$5059,'Invoice Lines'!$A$5:$A$5059,A42)</f>
        <v>326.4</v>
      </c>
      <c r="I42" s="10" t="n">
        <f aca="false">Regression!$B$14+Regression!$B$12*E42+Regression!$B$13*F42</f>
        <v>180.950448730722</v>
      </c>
      <c r="J42" s="10" t="n">
        <f aca="false">H42-I42</f>
        <v>145.449551269278</v>
      </c>
    </row>
    <row r="43" customFormat="false" ht="15" hidden="false" customHeight="false" outlineLevel="0" collapsed="false">
      <c r="A43" s="9" t="s">
        <v>364</v>
      </c>
      <c r="B43" s="9" t="n">
        <v>17850</v>
      </c>
      <c r="C43" s="9" t="s">
        <v>1906</v>
      </c>
      <c r="D43" s="11" t="n">
        <v>40513.48125</v>
      </c>
      <c r="E43" s="9" t="n">
        <f aca="false">COUNTIFS('Invoice Lines'!$A$5:$A$5059,A43)</f>
        <v>17</v>
      </c>
      <c r="F43" s="9" t="n">
        <f aca="false">SUMIFS('Invoice Lines'!$C$5:$C$5059,'Invoice Lines'!$A$5:$A$5059,A43)</f>
        <v>96</v>
      </c>
      <c r="G43" s="10" t="n">
        <f aca="false">AVERAGEIFS('Invoice Lines'!$D$5:$D$5059,'Invoice Lines'!$A$5:$A$5059,A43)</f>
        <v>5.22705882352941</v>
      </c>
      <c r="H43" s="10" t="n">
        <f aca="false">SUMIFS('Invoice Lines'!$E$5:$E$5059,'Invoice Lines'!$A$5:$A$5059,A43)</f>
        <v>353.14</v>
      </c>
      <c r="I43" s="10" t="n">
        <f aca="false">Regression!$B$14+Regression!$B$12*E43+Regression!$B$13*F43</f>
        <v>265.90057391417</v>
      </c>
      <c r="J43" s="10" t="n">
        <f aca="false">H43-I43</f>
        <v>87.2394260858301</v>
      </c>
    </row>
    <row r="44" customFormat="false" ht="15" hidden="false" customHeight="false" outlineLevel="0" collapsed="false">
      <c r="A44" s="9" t="s">
        <v>365</v>
      </c>
      <c r="B44" s="9" t="n">
        <v>17850</v>
      </c>
      <c r="C44" s="9" t="s">
        <v>1906</v>
      </c>
      <c r="D44" s="11" t="n">
        <v>40513.4819444444</v>
      </c>
      <c r="E44" s="9" t="n">
        <f aca="false">COUNTIFS('Invoice Lines'!$A$5:$A$5059,A44)</f>
        <v>2</v>
      </c>
      <c r="F44" s="9" t="n">
        <f aca="false">SUMIFS('Invoice Lines'!$C$5:$C$5059,'Invoice Lines'!$A$5:$A$5059,A44)</f>
        <v>12</v>
      </c>
      <c r="G44" s="10" t="n">
        <f aca="false">AVERAGEIFS('Invoice Lines'!$D$5:$D$5059,'Invoice Lines'!$A$5:$A$5059,A44)</f>
        <v>1.85</v>
      </c>
      <c r="H44" s="10" t="n">
        <f aca="false">SUMIFS('Invoice Lines'!$E$5:$E$5059,'Invoice Lines'!$A$5:$A$5059,A44)</f>
        <v>22.2</v>
      </c>
      <c r="I44" s="10" t="n">
        <f aca="false">Regression!$B$14+Regression!$B$12*E44+Regression!$B$13*F44</f>
        <v>78.4080081471518</v>
      </c>
      <c r="J44" s="10" t="n">
        <f aca="false">H44-I44</f>
        <v>-56.2080081471518</v>
      </c>
    </row>
    <row r="45" customFormat="false" ht="15" hidden="false" customHeight="false" outlineLevel="0" collapsed="false">
      <c r="A45" s="9" t="s">
        <v>366</v>
      </c>
      <c r="B45" s="9" t="n">
        <v>14307</v>
      </c>
      <c r="C45" s="9" t="s">
        <v>1906</v>
      </c>
      <c r="D45" s="11" t="n">
        <v>40513.4868055556</v>
      </c>
      <c r="E45" s="9" t="n">
        <f aca="false">COUNTIFS('Invoice Lines'!$A$5:$A$5059,A45)</f>
        <v>48</v>
      </c>
      <c r="F45" s="9" t="n">
        <f aca="false">SUMIFS('Invoice Lines'!$C$5:$C$5059,'Invoice Lines'!$A$5:$A$5059,A45)</f>
        <v>558</v>
      </c>
      <c r="G45" s="10" t="n">
        <f aca="false">AVERAGEIFS('Invoice Lines'!$D$5:$D$5059,'Invoice Lines'!$A$5:$A$5059,A45)</f>
        <v>2.403125</v>
      </c>
      <c r="H45" s="10" t="n">
        <f aca="false">SUMIFS('Invoice Lines'!$E$5:$E$5059,'Invoice Lines'!$A$5:$A$5059,A45)</f>
        <v>783.11</v>
      </c>
      <c r="I45" s="10" t="n">
        <f aca="false">Regression!$B$14+Regression!$B$12*E45+Regression!$B$13*F45</f>
        <v>926.23140168121</v>
      </c>
      <c r="J45" s="10" t="n">
        <f aca="false">H45-I45</f>
        <v>-143.12140168121</v>
      </c>
    </row>
    <row r="46" customFormat="false" ht="15" hidden="false" customHeight="false" outlineLevel="0" collapsed="false">
      <c r="A46" s="9" t="s">
        <v>397</v>
      </c>
      <c r="B46" s="9" t="n">
        <v>17908</v>
      </c>
      <c r="C46" s="9" t="s">
        <v>1906</v>
      </c>
      <c r="D46" s="11" t="n">
        <v>40513.4895833333</v>
      </c>
      <c r="E46" s="9" t="n">
        <f aca="false">COUNTIFS('Invoice Lines'!$A$5:$A$5059,A46)</f>
        <v>54</v>
      </c>
      <c r="F46" s="9" t="n">
        <f aca="false">SUMIFS('Invoice Lines'!$C$5:$C$5059,'Invoice Lines'!$A$5:$A$5059,A46)</f>
        <v>169</v>
      </c>
      <c r="G46" s="10" t="n">
        <f aca="false">AVERAGEIFS('Invoice Lines'!$D$5:$D$5059,'Invoice Lines'!$A$5:$A$5059,A46)</f>
        <v>2.66222222222222</v>
      </c>
      <c r="H46" s="10" t="n">
        <f aca="false">SUMIFS('Invoice Lines'!$E$5:$E$5059,'Invoice Lines'!$A$5:$A$5059,A46)</f>
        <v>232.03</v>
      </c>
      <c r="I46" s="10" t="n">
        <f aca="false">Regression!$B$14+Regression!$B$12*E46+Regression!$B$13*F46</f>
        <v>601.419826479032</v>
      </c>
      <c r="J46" s="10" t="n">
        <f aca="false">H46-I46</f>
        <v>-369.389826479032</v>
      </c>
    </row>
    <row r="47" customFormat="false" ht="15" hidden="false" customHeight="false" outlineLevel="0" collapsed="false">
      <c r="A47" s="9" t="s">
        <v>433</v>
      </c>
      <c r="B47" s="9" t="n">
        <v>17920</v>
      </c>
      <c r="C47" s="9" t="s">
        <v>1906</v>
      </c>
      <c r="D47" s="11" t="n">
        <v>40513.4923611111</v>
      </c>
      <c r="E47" s="9" t="n">
        <f aca="false">COUNTIFS('Invoice Lines'!$A$5:$A$5059,A47)</f>
        <v>68</v>
      </c>
      <c r="F47" s="9" t="n">
        <f aca="false">SUMIFS('Invoice Lines'!$C$5:$C$5059,'Invoice Lines'!$A$5:$A$5059,A47)</f>
        <v>197</v>
      </c>
      <c r="G47" s="10" t="n">
        <f aca="false">AVERAGEIFS('Invoice Lines'!$D$5:$D$5059,'Invoice Lines'!$A$5:$A$5059,A47)</f>
        <v>2.75676470588235</v>
      </c>
      <c r="H47" s="10" t="n">
        <f aca="false">SUMIFS('Invoice Lines'!$E$5:$E$5059,'Invoice Lines'!$A$5:$A$5059,A47)</f>
        <v>453.46</v>
      </c>
      <c r="I47" s="10" t="n">
        <f aca="false">Regression!$B$14+Regression!$B$12*E47+Regression!$B$13*F47</f>
        <v>728.731029091935</v>
      </c>
      <c r="J47" s="10" t="n">
        <f aca="false">H47-I47</f>
        <v>-275.271029091935</v>
      </c>
    </row>
    <row r="48" customFormat="false" ht="15" hidden="false" customHeight="false" outlineLevel="0" collapsed="false">
      <c r="A48" s="9" t="s">
        <v>467</v>
      </c>
      <c r="B48" s="9" t="n">
        <v>12838</v>
      </c>
      <c r="C48" s="9" t="s">
        <v>1906</v>
      </c>
      <c r="D48" s="11" t="n">
        <v>40513.4979166667</v>
      </c>
      <c r="E48" s="9" t="n">
        <f aca="false">COUNTIFS('Invoice Lines'!$A$5:$A$5059,A48)</f>
        <v>59</v>
      </c>
      <c r="F48" s="9" t="n">
        <f aca="false">SUMIFS('Invoice Lines'!$C$5:$C$5059,'Invoice Lines'!$A$5:$A$5059,A48)</f>
        <v>228</v>
      </c>
      <c r="G48" s="10" t="n">
        <f aca="false">AVERAGEIFS('Invoice Lines'!$D$5:$D$5059,'Invoice Lines'!$A$5:$A$5059,A48)</f>
        <v>1.97338983050847</v>
      </c>
      <c r="H48" s="10" t="n">
        <f aca="false">SUMIFS('Invoice Lines'!$E$5:$E$5059,'Invoice Lines'!$A$5:$A$5059,A48)</f>
        <v>390.79</v>
      </c>
      <c r="I48" s="10" t="n">
        <f aca="false">Regression!$B$14+Regression!$B$12*E48+Regression!$B$13*F48</f>
        <v>693.24547581921</v>
      </c>
      <c r="J48" s="10" t="n">
        <f aca="false">H48-I48</f>
        <v>-302.45547581921</v>
      </c>
    </row>
    <row r="49" customFormat="false" ht="15" hidden="false" customHeight="false" outlineLevel="0" collapsed="false">
      <c r="A49" s="9" t="s">
        <v>509</v>
      </c>
      <c r="B49" s="9" t="n">
        <v>13255</v>
      </c>
      <c r="C49" s="9" t="s">
        <v>1906</v>
      </c>
      <c r="D49" s="11" t="n">
        <v>40513.4986111111</v>
      </c>
      <c r="E49" s="9" t="n">
        <f aca="false">COUNTIFS('Invoice Lines'!$A$5:$A$5059,A49)</f>
        <v>6</v>
      </c>
      <c r="F49" s="9" t="n">
        <f aca="false">SUMIFS('Invoice Lines'!$C$5:$C$5059,'Invoice Lines'!$A$5:$A$5059,A49)</f>
        <v>110</v>
      </c>
      <c r="G49" s="10" t="n">
        <f aca="false">AVERAGEIFS('Invoice Lines'!$D$5:$D$5059,'Invoice Lines'!$A$5:$A$5059,A49)</f>
        <v>4.55</v>
      </c>
      <c r="H49" s="10" t="n">
        <f aca="false">SUMIFS('Invoice Lines'!$E$5:$E$5059,'Invoice Lines'!$A$5:$A$5059,A49)</f>
        <v>225.7</v>
      </c>
      <c r="I49" s="10" t="n">
        <f aca="false">Regression!$B$14+Regression!$B$12*E49+Regression!$B$13*F49</f>
        <v>199.928813839494</v>
      </c>
      <c r="J49" s="10" t="n">
        <f aca="false">H49-I49</f>
        <v>25.771186160506</v>
      </c>
    </row>
    <row r="50" customFormat="false" ht="15" hidden="false" customHeight="false" outlineLevel="0" collapsed="false">
      <c r="A50" s="9" t="s">
        <v>512</v>
      </c>
      <c r="B50" s="9" t="n">
        <v>16583</v>
      </c>
      <c r="C50" s="9" t="s">
        <v>1906</v>
      </c>
      <c r="D50" s="11" t="n">
        <v>40513.5020833333</v>
      </c>
      <c r="E50" s="9" t="n">
        <f aca="false">COUNTIFS('Invoice Lines'!$A$5:$A$5059,A50)</f>
        <v>14</v>
      </c>
      <c r="F50" s="9" t="n">
        <f aca="false">SUMIFS('Invoice Lines'!$C$5:$C$5059,'Invoice Lines'!$A$5:$A$5059,A50)</f>
        <v>111</v>
      </c>
      <c r="G50" s="10" t="n">
        <f aca="false">AVERAGEIFS('Invoice Lines'!$D$5:$D$5059,'Invoice Lines'!$A$5:$A$5059,A50)</f>
        <v>2.56428571428571</v>
      </c>
      <c r="H50" s="10" t="n">
        <f aca="false">SUMIFS('Invoice Lines'!$E$5:$E$5059,'Invoice Lines'!$A$5:$A$5059,A50)</f>
        <v>233.45</v>
      </c>
      <c r="I50" s="10" t="n">
        <f aca="false">Regression!$B$14+Regression!$B$12*E50+Regression!$B$13*F50</f>
        <v>258.48704307971</v>
      </c>
      <c r="J50" s="10" t="n">
        <f aca="false">H50-I50</f>
        <v>-25.0370430797103</v>
      </c>
    </row>
    <row r="51" customFormat="false" ht="15" hidden="false" customHeight="false" outlineLevel="0" collapsed="false">
      <c r="A51" s="9" t="s">
        <v>522</v>
      </c>
      <c r="B51" s="9" t="n">
        <v>18085</v>
      </c>
      <c r="C51" s="9" t="s">
        <v>1906</v>
      </c>
      <c r="D51" s="11" t="n">
        <v>40513.5055555556</v>
      </c>
      <c r="E51" s="9" t="n">
        <f aca="false">COUNTIFS('Invoice Lines'!$A$5:$A$5059,A51)</f>
        <v>9</v>
      </c>
      <c r="F51" s="9" t="n">
        <f aca="false">SUMIFS('Invoice Lines'!$C$5:$C$5059,'Invoice Lines'!$A$5:$A$5059,A51)</f>
        <v>78</v>
      </c>
      <c r="G51" s="10" t="n">
        <f aca="false">AVERAGEIFS('Invoice Lines'!$D$5:$D$5059,'Invoice Lines'!$A$5:$A$5059,A51)</f>
        <v>3.84444444444444</v>
      </c>
      <c r="H51" s="10" t="n">
        <f aca="false">SUMIFS('Invoice Lines'!$E$5:$E$5059,'Invoice Lines'!$A$5:$A$5059,A51)</f>
        <v>303.9</v>
      </c>
      <c r="I51" s="10" t="n">
        <f aca="false">Regression!$B$14+Regression!$B$12*E51+Regression!$B$13*F51</f>
        <v>191.259178025462</v>
      </c>
      <c r="J51" s="10" t="n">
        <f aca="false">H51-I51</f>
        <v>112.640821974539</v>
      </c>
    </row>
    <row r="52" customFormat="false" ht="15" hidden="false" customHeight="false" outlineLevel="0" collapsed="false">
      <c r="A52" s="9" t="s">
        <v>524</v>
      </c>
      <c r="B52" s="9" t="n">
        <v>13758</v>
      </c>
      <c r="C52" s="9" t="s">
        <v>1906</v>
      </c>
      <c r="D52" s="11" t="n">
        <v>40513.5055555556</v>
      </c>
      <c r="E52" s="9" t="n">
        <f aca="false">COUNTIFS('Invoice Lines'!$A$5:$A$5059,A52)</f>
        <v>17</v>
      </c>
      <c r="F52" s="9" t="n">
        <f aca="false">SUMIFS('Invoice Lines'!$C$5:$C$5059,'Invoice Lines'!$A$5:$A$5059,A52)</f>
        <v>137</v>
      </c>
      <c r="G52" s="10" t="n">
        <f aca="false">AVERAGEIFS('Invoice Lines'!$D$5:$D$5059,'Invoice Lines'!$A$5:$A$5059,A52)</f>
        <v>3.62058823529412</v>
      </c>
      <c r="H52" s="10" t="n">
        <f aca="false">SUMIFS('Invoice Lines'!$E$5:$E$5059,'Invoice Lines'!$A$5:$A$5059,A52)</f>
        <v>362.45</v>
      </c>
      <c r="I52" s="10" t="n">
        <f aca="false">Regression!$B$14+Regression!$B$12*E52+Regression!$B$13*F52</f>
        <v>304.689387595827</v>
      </c>
      <c r="J52" s="10" t="n">
        <f aca="false">H52-I52</f>
        <v>57.7606124041727</v>
      </c>
    </row>
    <row r="53" customFormat="false" ht="15" hidden="false" customHeight="false" outlineLevel="0" collapsed="false">
      <c r="A53" s="9" t="s">
        <v>532</v>
      </c>
      <c r="B53" s="9" t="n">
        <v>13694</v>
      </c>
      <c r="C53" s="9" t="s">
        <v>1906</v>
      </c>
      <c r="D53" s="11" t="n">
        <v>40513.5083333333</v>
      </c>
      <c r="E53" s="9" t="n">
        <f aca="false">COUNTIFS('Invoice Lines'!$A$5:$A$5059,A53)</f>
        <v>6</v>
      </c>
      <c r="F53" s="9" t="n">
        <f aca="false">SUMIFS('Invoice Lines'!$C$5:$C$5059,'Invoice Lines'!$A$5:$A$5059,A53)</f>
        <v>1004</v>
      </c>
      <c r="G53" s="10" t="n">
        <f aca="false">AVERAGEIFS('Invoice Lines'!$D$5:$D$5059,'Invoice Lines'!$A$5:$A$5059,A53)</f>
        <v>1.76333333333333</v>
      </c>
      <c r="H53" s="10" t="n">
        <f aca="false">SUMIFS('Invoice Lines'!$E$5:$E$5059,'Invoice Lines'!$A$5:$A$5059,A53)</f>
        <v>842.12</v>
      </c>
      <c r="I53" s="10" t="n">
        <f aca="false">Regression!$B$14+Regression!$B$12*E53+Regression!$B$13*F53</f>
        <v>1045.7141658249</v>
      </c>
      <c r="J53" s="10" t="n">
        <f aca="false">H53-I53</f>
        <v>-203.594165824902</v>
      </c>
    </row>
    <row r="54" customFormat="false" ht="15" hidden="false" customHeight="false" outlineLevel="0" collapsed="false">
      <c r="A54" s="9" t="s">
        <v>537</v>
      </c>
      <c r="B54" s="9" t="n">
        <v>15983</v>
      </c>
      <c r="C54" s="9" t="s">
        <v>1906</v>
      </c>
      <c r="D54" s="11" t="n">
        <v>40513.5104166667</v>
      </c>
      <c r="E54" s="9" t="n">
        <f aca="false">COUNTIFS('Invoice Lines'!$A$5:$A$5059,A54)</f>
        <v>31</v>
      </c>
      <c r="F54" s="9" t="n">
        <f aca="false">SUMIFS('Invoice Lines'!$C$5:$C$5059,'Invoice Lines'!$A$5:$A$5059,A54)</f>
        <v>323</v>
      </c>
      <c r="G54" s="10" t="n">
        <f aca="false">AVERAGEIFS('Invoice Lines'!$D$5:$D$5059,'Invoice Lines'!$A$5:$A$5059,A54)</f>
        <v>1.88645161290323</v>
      </c>
      <c r="H54" s="10" t="n">
        <f aca="false">SUMIFS('Invoice Lines'!$E$5:$E$5059,'Invoice Lines'!$A$5:$A$5059,A54)</f>
        <v>430.99</v>
      </c>
      <c r="I54" s="10" t="n">
        <f aca="false">Regression!$B$14+Regression!$B$12*E54+Regression!$B$13*F54</f>
        <v>581.479433177069</v>
      </c>
      <c r="J54" s="10" t="n">
        <f aca="false">H54-I54</f>
        <v>-150.489433177069</v>
      </c>
    </row>
    <row r="55" customFormat="false" ht="15" hidden="false" customHeight="false" outlineLevel="0" collapsed="false">
      <c r="A55" s="9" t="s">
        <v>557</v>
      </c>
      <c r="B55" s="9" t="n">
        <v>14849</v>
      </c>
      <c r="C55" s="9" t="s">
        <v>1906</v>
      </c>
      <c r="D55" s="11" t="n">
        <v>40513.5152777778</v>
      </c>
      <c r="E55" s="9" t="n">
        <f aca="false">COUNTIFS('Invoice Lines'!$A$5:$A$5059,A55)</f>
        <v>14</v>
      </c>
      <c r="F55" s="9" t="n">
        <f aca="false">SUMIFS('Invoice Lines'!$C$5:$C$5059,'Invoice Lines'!$A$5:$A$5059,A55)</f>
        <v>158</v>
      </c>
      <c r="G55" s="10" t="n">
        <f aca="false">AVERAGEIFS('Invoice Lines'!$D$5:$D$5059,'Invoice Lines'!$A$5:$A$5059,A55)</f>
        <v>3.54857142857143</v>
      </c>
      <c r="H55" s="10" t="n">
        <f aca="false">SUMIFS('Invoice Lines'!$E$5:$E$5059,'Invoice Lines'!$A$5:$A$5059,A55)</f>
        <v>295.54</v>
      </c>
      <c r="I55" s="10" t="n">
        <f aca="false">Regression!$B$14+Regression!$B$12*E55+Regression!$B$13*F55</f>
        <v>302.952268519659</v>
      </c>
      <c r="J55" s="10" t="n">
        <f aca="false">H55-I55</f>
        <v>-7.41226851965899</v>
      </c>
    </row>
    <row r="56" customFormat="false" ht="15" hidden="false" customHeight="false" outlineLevel="0" collapsed="false">
      <c r="A56" s="9" t="s">
        <v>565</v>
      </c>
      <c r="B56" s="9" t="n">
        <v>14849</v>
      </c>
      <c r="C56" s="9" t="s">
        <v>1906</v>
      </c>
      <c r="D56" s="11" t="n">
        <v>40513.5152777778</v>
      </c>
      <c r="E56" s="9" t="n">
        <f aca="false">COUNTIFS('Invoice Lines'!$A$5:$A$5059,A56)</f>
        <v>1</v>
      </c>
      <c r="F56" s="9" t="n">
        <f aca="false">SUMIFS('Invoice Lines'!$C$5:$C$5059,'Invoice Lines'!$A$5:$A$5059,A56)</f>
        <v>12</v>
      </c>
      <c r="G56" s="10" t="n">
        <f aca="false">AVERAGEIFS('Invoice Lines'!$D$5:$D$5059,'Invoice Lines'!$A$5:$A$5059,A56)</f>
        <v>1.45</v>
      </c>
      <c r="H56" s="10" t="n">
        <f aca="false">SUMIFS('Invoice Lines'!$E$5:$E$5059,'Invoice Lines'!$A$5:$A$5059,A56)</f>
        <v>17.4</v>
      </c>
      <c r="I56" s="10" t="n">
        <f aca="false">Regression!$B$14+Regression!$B$12*E56+Regression!$B$13*F56</f>
        <v>71.2064880704225</v>
      </c>
      <c r="J56" s="10" t="n">
        <f aca="false">H56-I56</f>
        <v>-53.8064880704225</v>
      </c>
    </row>
    <row r="57" customFormat="false" ht="15" hidden="false" customHeight="false" outlineLevel="0" collapsed="false">
      <c r="A57" s="9" t="s">
        <v>567</v>
      </c>
      <c r="B57" s="9" t="n">
        <v>17968</v>
      </c>
      <c r="C57" s="9" t="s">
        <v>1906</v>
      </c>
      <c r="D57" s="11" t="n">
        <v>40513.5159722222</v>
      </c>
      <c r="E57" s="9" t="n">
        <f aca="false">COUNTIFS('Invoice Lines'!$A$5:$A$5059,A57)</f>
        <v>81</v>
      </c>
      <c r="F57" s="9" t="n">
        <f aca="false">SUMIFS('Invoice Lines'!$C$5:$C$5059,'Invoice Lines'!$A$5:$A$5059,A57)</f>
        <v>151</v>
      </c>
      <c r="G57" s="10" t="n">
        <f aca="false">AVERAGEIFS('Invoice Lines'!$D$5:$D$5059,'Invoice Lines'!$A$5:$A$5059,A57)</f>
        <v>1.92567901234568</v>
      </c>
      <c r="H57" s="10" t="n">
        <f aca="false">SUMIFS('Invoice Lines'!$E$5:$E$5059,'Invoice Lines'!$A$5:$A$5059,A57)</f>
        <v>265.1</v>
      </c>
      <c r="I57" s="10" t="n">
        <f aca="false">Regression!$B$14+Regression!$B$12*E57+Regression!$B$13*F57</f>
        <v>778.831633275849</v>
      </c>
      <c r="J57" s="10" t="n">
        <f aca="false">H57-I57</f>
        <v>-513.731633275849</v>
      </c>
    </row>
    <row r="58" customFormat="false" ht="15" hidden="false" customHeight="false" outlineLevel="0" collapsed="false">
      <c r="A58" s="9" t="s">
        <v>611</v>
      </c>
      <c r="B58" s="9" t="n">
        <v>14849</v>
      </c>
      <c r="C58" s="9" t="s">
        <v>1906</v>
      </c>
      <c r="D58" s="11" t="n">
        <v>40513.5159722222</v>
      </c>
      <c r="E58" s="9" t="n">
        <f aca="false">COUNTIFS('Invoice Lines'!$A$5:$A$5059,A58)</f>
        <v>2</v>
      </c>
      <c r="F58" s="9" t="n">
        <f aca="false">SUMIFS('Invoice Lines'!$C$5:$C$5059,'Invoice Lines'!$A$5:$A$5059,A58)</f>
        <v>18</v>
      </c>
      <c r="G58" s="10" t="n">
        <f aca="false">AVERAGEIFS('Invoice Lines'!$D$5:$D$5059,'Invoice Lines'!$A$5:$A$5059,A58)</f>
        <v>2.85</v>
      </c>
      <c r="H58" s="10" t="n">
        <f aca="false">SUMIFS('Invoice Lines'!$E$5:$E$5059,'Invoice Lines'!$A$5:$A$5059,A58)</f>
        <v>42.9</v>
      </c>
      <c r="I58" s="10" t="n">
        <f aca="false">Regression!$B$14+Regression!$B$12*E58+Regression!$B$13*F58</f>
        <v>84.0844199054431</v>
      </c>
      <c r="J58" s="10" t="n">
        <f aca="false">H58-I58</f>
        <v>-41.1844199054431</v>
      </c>
    </row>
    <row r="59" customFormat="false" ht="15" hidden="false" customHeight="false" outlineLevel="0" collapsed="false">
      <c r="A59" s="9" t="s">
        <v>612</v>
      </c>
      <c r="B59" s="9" t="n">
        <v>16210</v>
      </c>
      <c r="C59" s="9" t="s">
        <v>1906</v>
      </c>
      <c r="D59" s="11" t="n">
        <v>40513.51875</v>
      </c>
      <c r="E59" s="9" t="n">
        <f aca="false">COUNTIFS('Invoice Lines'!$A$5:$A$5059,A59)</f>
        <v>14</v>
      </c>
      <c r="F59" s="9" t="n">
        <f aca="false">SUMIFS('Invoice Lines'!$C$5:$C$5059,'Invoice Lines'!$A$5:$A$5059,A59)</f>
        <v>1070</v>
      </c>
      <c r="G59" s="10" t="n">
        <f aca="false">AVERAGEIFS('Invoice Lines'!$D$5:$D$5059,'Invoice Lines'!$A$5:$A$5059,A59)</f>
        <v>2.58857142857143</v>
      </c>
      <c r="H59" s="10" t="n">
        <f aca="false">SUMIFS('Invoice Lines'!$E$5:$E$5059,'Invoice Lines'!$A$5:$A$5059,A59)</f>
        <v>2474.74</v>
      </c>
      <c r="I59" s="10" t="n">
        <f aca="false">Regression!$B$14+Regression!$B$12*E59+Regression!$B$13*F59</f>
        <v>1165.76685577994</v>
      </c>
      <c r="J59" s="10" t="n">
        <f aca="false">H59-I59</f>
        <v>1308.97314422006</v>
      </c>
    </row>
    <row r="60" customFormat="false" ht="15" hidden="false" customHeight="false" outlineLevel="0" collapsed="false">
      <c r="A60" s="9" t="s">
        <v>619</v>
      </c>
      <c r="B60" s="9" t="n">
        <v>17897</v>
      </c>
      <c r="C60" s="9" t="s">
        <v>1906</v>
      </c>
      <c r="D60" s="11" t="n">
        <v>40513.5215277778</v>
      </c>
      <c r="E60" s="9" t="n">
        <f aca="false">COUNTIFS('Invoice Lines'!$A$5:$A$5059,A60)</f>
        <v>34</v>
      </c>
      <c r="F60" s="9" t="n">
        <f aca="false">SUMIFS('Invoice Lines'!$C$5:$C$5059,'Invoice Lines'!$A$5:$A$5059,A60)</f>
        <v>71</v>
      </c>
      <c r="G60" s="10" t="n">
        <f aca="false">AVERAGEIFS('Invoice Lines'!$D$5:$D$5059,'Invoice Lines'!$A$5:$A$5059,A60)</f>
        <v>2.71235294117647</v>
      </c>
      <c r="H60" s="10" t="n">
        <f aca="false">SUMIFS('Invoice Lines'!$E$5:$E$5059,'Invoice Lines'!$A$5:$A$5059,A60)</f>
        <v>163.34</v>
      </c>
      <c r="I60" s="10" t="n">
        <f aca="false">Regression!$B$14+Regression!$B$12*E60+Regression!$B$13*F60</f>
        <v>364.674699559021</v>
      </c>
      <c r="J60" s="10" t="n">
        <f aca="false">H60-I60</f>
        <v>-201.334699559021</v>
      </c>
    </row>
    <row r="61" customFormat="false" ht="15" hidden="false" customHeight="false" outlineLevel="0" collapsed="false">
      <c r="A61" s="9" t="s">
        <v>635</v>
      </c>
      <c r="B61" s="9" t="n">
        <v>17377</v>
      </c>
      <c r="C61" s="9" t="s">
        <v>1906</v>
      </c>
      <c r="D61" s="11" t="n">
        <v>40513.5243055556</v>
      </c>
      <c r="E61" s="9" t="n">
        <f aca="false">COUNTIFS('Invoice Lines'!$A$5:$A$5059,A61)</f>
        <v>15</v>
      </c>
      <c r="F61" s="9" t="n">
        <f aca="false">SUMIFS('Invoice Lines'!$C$5:$C$5059,'Invoice Lines'!$A$5:$A$5059,A61)</f>
        <v>102</v>
      </c>
      <c r="G61" s="10" t="n">
        <f aca="false">AVERAGEIFS('Invoice Lines'!$D$5:$D$5059,'Invoice Lines'!$A$5:$A$5059,A61)</f>
        <v>2.81333333333333</v>
      </c>
      <c r="H61" s="10" t="n">
        <f aca="false">SUMIFS('Invoice Lines'!$E$5:$E$5059,'Invoice Lines'!$A$5:$A$5059,A61)</f>
        <v>223.9</v>
      </c>
      <c r="I61" s="10" t="n">
        <f aca="false">Regression!$B$14+Regression!$B$12*E61+Regression!$B$13*F61</f>
        <v>257.173945519003</v>
      </c>
      <c r="J61" s="10" t="n">
        <f aca="false">H61-I61</f>
        <v>-33.2739455190026</v>
      </c>
    </row>
    <row r="62" customFormat="false" ht="15" hidden="false" customHeight="false" outlineLevel="0" collapsed="false">
      <c r="A62" s="9" t="s">
        <v>642</v>
      </c>
      <c r="B62" s="9" t="n">
        <v>16552</v>
      </c>
      <c r="C62" s="9" t="s">
        <v>1906</v>
      </c>
      <c r="D62" s="11" t="n">
        <v>40513.525</v>
      </c>
      <c r="E62" s="9" t="n">
        <f aca="false">COUNTIFS('Invoice Lines'!$A$5:$A$5059,A62)</f>
        <v>5</v>
      </c>
      <c r="F62" s="9" t="n">
        <f aca="false">SUMIFS('Invoice Lines'!$C$5:$C$5059,'Invoice Lines'!$A$5:$A$5059,A62)</f>
        <v>39</v>
      </c>
      <c r="G62" s="10" t="n">
        <f aca="false">AVERAGEIFS('Invoice Lines'!$D$5:$D$5059,'Invoice Lines'!$A$5:$A$5059,A62)</f>
        <v>4.638</v>
      </c>
      <c r="H62" s="10" t="n">
        <f aca="false">SUMIFS('Invoice Lines'!$E$5:$E$5059,'Invoice Lines'!$A$5:$A$5059,A62)</f>
        <v>95.29</v>
      </c>
      <c r="I62" s="10" t="n">
        <f aca="false">Regression!$B$14+Regression!$B$12*E62+Regression!$B$13*F62</f>
        <v>125.556421289651</v>
      </c>
      <c r="J62" s="10" t="n">
        <f aca="false">H62-I62</f>
        <v>-30.2664212896507</v>
      </c>
    </row>
    <row r="63" customFormat="false" ht="15" hidden="false" customHeight="false" outlineLevel="0" collapsed="false">
      <c r="A63" s="9" t="s">
        <v>645</v>
      </c>
      <c r="B63" s="9" t="n">
        <v>17181</v>
      </c>
      <c r="C63" s="9" t="s">
        <v>1906</v>
      </c>
      <c r="D63" s="11" t="n">
        <v>40513.5263888889</v>
      </c>
      <c r="E63" s="9" t="n">
        <f aca="false">COUNTIFS('Invoice Lines'!$A$5:$A$5059,A63)</f>
        <v>2</v>
      </c>
      <c r="F63" s="9" t="n">
        <f aca="false">SUMIFS('Invoice Lines'!$C$5:$C$5059,'Invoice Lines'!$A$5:$A$5059,A63)</f>
        <v>216</v>
      </c>
      <c r="G63" s="10" t="n">
        <f aca="false">AVERAGEIFS('Invoice Lines'!$D$5:$D$5059,'Invoice Lines'!$A$5:$A$5059,A63)</f>
        <v>0.805</v>
      </c>
      <c r="H63" s="10" t="n">
        <f aca="false">SUMIFS('Invoice Lines'!$E$5:$E$5059,'Invoice Lines'!$A$5:$A$5059,A63)</f>
        <v>155.52</v>
      </c>
      <c r="I63" s="10" t="n">
        <f aca="false">Regression!$B$14+Regression!$B$12*E63+Regression!$B$13*F63</f>
        <v>271.406007929057</v>
      </c>
      <c r="J63" s="10" t="n">
        <f aca="false">H63-I63</f>
        <v>-115.886007929057</v>
      </c>
    </row>
    <row r="64" customFormat="false" ht="15" hidden="false" customHeight="false" outlineLevel="0" collapsed="false">
      <c r="A64" s="9" t="s">
        <v>647</v>
      </c>
      <c r="B64" s="9" t="n">
        <v>17951</v>
      </c>
      <c r="C64" s="9" t="s">
        <v>1906</v>
      </c>
      <c r="D64" s="11" t="n">
        <v>40513.5277777778</v>
      </c>
      <c r="E64" s="9" t="n">
        <f aca="false">COUNTIFS('Invoice Lines'!$A$5:$A$5059,A64)</f>
        <v>5</v>
      </c>
      <c r="F64" s="9" t="n">
        <f aca="false">SUMIFS('Invoice Lines'!$C$5:$C$5059,'Invoice Lines'!$A$5:$A$5059,A64)</f>
        <v>118</v>
      </c>
      <c r="G64" s="10" t="n">
        <f aca="false">AVERAGEIFS('Invoice Lines'!$D$5:$D$5059,'Invoice Lines'!$A$5:$A$5059,A64)</f>
        <v>4.4</v>
      </c>
      <c r="H64" s="10" t="n">
        <f aca="false">SUMIFS('Invoice Lines'!$E$5:$E$5059,'Invoice Lines'!$A$5:$A$5059,A64)</f>
        <v>295.5</v>
      </c>
      <c r="I64" s="10" t="n">
        <f aca="false">Regression!$B$14+Regression!$B$12*E64+Regression!$B$13*F64</f>
        <v>200.29584277382</v>
      </c>
      <c r="J64" s="10" t="n">
        <f aca="false">H64-I64</f>
        <v>95.2041572261801</v>
      </c>
    </row>
    <row r="65" customFormat="false" ht="15" hidden="false" customHeight="false" outlineLevel="0" collapsed="false">
      <c r="A65" s="9" t="s">
        <v>649</v>
      </c>
      <c r="B65" s="9" t="n">
        <v>14729</v>
      </c>
      <c r="C65" s="9" t="s">
        <v>1906</v>
      </c>
      <c r="D65" s="11" t="n">
        <v>40513.5298611111</v>
      </c>
      <c r="E65" s="9" t="n">
        <f aca="false">COUNTIFS('Invoice Lines'!$A$5:$A$5059,A65)</f>
        <v>71</v>
      </c>
      <c r="F65" s="9" t="n">
        <f aca="false">SUMIFS('Invoice Lines'!$C$5:$C$5059,'Invoice Lines'!$A$5:$A$5059,A65)</f>
        <v>197</v>
      </c>
      <c r="G65" s="10" t="n">
        <f aca="false">AVERAGEIFS('Invoice Lines'!$D$5:$D$5059,'Invoice Lines'!$A$5:$A$5059,A65)</f>
        <v>2.15915492957747</v>
      </c>
      <c r="H65" s="10" t="n">
        <f aca="false">SUMIFS('Invoice Lines'!$E$5:$E$5059,'Invoice Lines'!$A$5:$A$5059,A65)</f>
        <v>313.49</v>
      </c>
      <c r="I65" s="10" t="n">
        <f aca="false">Regression!$B$14+Regression!$B$12*E65+Regression!$B$13*F65</f>
        <v>750.335589322123</v>
      </c>
      <c r="J65" s="10" t="n">
        <f aca="false">H65-I65</f>
        <v>-436.845589322123</v>
      </c>
    </row>
    <row r="66" customFormat="false" ht="15" hidden="false" customHeight="false" outlineLevel="0" collapsed="false">
      <c r="A66" s="9" t="s">
        <v>692</v>
      </c>
      <c r="B66" s="9" t="n">
        <v>12748</v>
      </c>
      <c r="C66" s="9" t="s">
        <v>1906</v>
      </c>
      <c r="D66" s="11" t="n">
        <v>40513.5333333333</v>
      </c>
      <c r="E66" s="9" t="n">
        <f aca="false">COUNTIFS('Invoice Lines'!$A$5:$A$5059,A66)</f>
        <v>1</v>
      </c>
      <c r="F66" s="9" t="n">
        <f aca="false">SUMIFS('Invoice Lines'!$C$5:$C$5059,'Invoice Lines'!$A$5:$A$5059,A66)</f>
        <v>1</v>
      </c>
      <c r="G66" s="10" t="n">
        <f aca="false">AVERAGEIFS('Invoice Lines'!$D$5:$D$5059,'Invoice Lines'!$A$5:$A$5059,A66)</f>
        <v>4.95</v>
      </c>
      <c r="H66" s="10" t="n">
        <f aca="false">SUMIFS('Invoice Lines'!$E$5:$E$5059,'Invoice Lines'!$A$5:$A$5059,A66)</f>
        <v>4.95</v>
      </c>
      <c r="I66" s="10" t="n">
        <f aca="false">Regression!$B$14+Regression!$B$12*E66+Regression!$B$13*F66</f>
        <v>60.7997331802217</v>
      </c>
      <c r="J66" s="10" t="n">
        <f aca="false">H66-I66</f>
        <v>-55.8497331802217</v>
      </c>
    </row>
    <row r="67" customFormat="false" ht="15" hidden="false" customHeight="false" outlineLevel="0" collapsed="false">
      <c r="A67" s="9" t="s">
        <v>694</v>
      </c>
      <c r="B67" s="9" t="n">
        <v>15012</v>
      </c>
      <c r="C67" s="9" t="s">
        <v>1906</v>
      </c>
      <c r="D67" s="11" t="n">
        <v>40513.5340277778</v>
      </c>
      <c r="E67" s="9" t="n">
        <f aca="false">COUNTIFS('Invoice Lines'!$A$5:$A$5059,A67)</f>
        <v>52</v>
      </c>
      <c r="F67" s="9" t="n">
        <f aca="false">SUMIFS('Invoice Lines'!$C$5:$C$5059,'Invoice Lines'!$A$5:$A$5059,A67)</f>
        <v>84</v>
      </c>
      <c r="G67" s="10" t="n">
        <f aca="false">AVERAGEIFS('Invoice Lines'!$D$5:$D$5059,'Invoice Lines'!$A$5:$A$5059,A67)</f>
        <v>2.76326923076923</v>
      </c>
      <c r="H67" s="10" t="n">
        <f aca="false">SUMIFS('Invoice Lines'!$E$5:$E$5059,'Invoice Lines'!$A$5:$A$5059,A67)</f>
        <v>188.56</v>
      </c>
      <c r="I67" s="10" t="n">
        <f aca="false">Regression!$B$14+Regression!$B$12*E67+Regression!$B$13*F67</f>
        <v>506.600953083113</v>
      </c>
      <c r="J67" s="10" t="n">
        <f aca="false">H67-I67</f>
        <v>-318.040953083113</v>
      </c>
    </row>
    <row r="68" customFormat="false" ht="15" hidden="false" customHeight="false" outlineLevel="0" collapsed="false">
      <c r="A68" s="9" t="s">
        <v>714</v>
      </c>
      <c r="B68" s="9" t="n">
        <v>12868</v>
      </c>
      <c r="C68" s="9" t="s">
        <v>1906</v>
      </c>
      <c r="D68" s="11" t="n">
        <v>40513.5347222222</v>
      </c>
      <c r="E68" s="9" t="n">
        <f aca="false">COUNTIFS('Invoice Lines'!$A$5:$A$5059,A68)</f>
        <v>12</v>
      </c>
      <c r="F68" s="9" t="n">
        <f aca="false">SUMIFS('Invoice Lines'!$C$5:$C$5059,'Invoice Lines'!$A$5:$A$5059,A68)</f>
        <v>112</v>
      </c>
      <c r="G68" s="10" t="n">
        <f aca="false">AVERAGEIFS('Invoice Lines'!$D$5:$D$5059,'Invoice Lines'!$A$5:$A$5059,A68)</f>
        <v>3.17083333333333</v>
      </c>
      <c r="H68" s="10" t="n">
        <f aca="false">SUMIFS('Invoice Lines'!$E$5:$E$5059,'Invoice Lines'!$A$5:$A$5059,A68)</f>
        <v>203.3</v>
      </c>
      <c r="I68" s="10" t="n">
        <f aca="false">Regression!$B$14+Regression!$B$12*E68+Regression!$B$13*F68</f>
        <v>245.030071552634</v>
      </c>
      <c r="J68" s="10" t="n">
        <f aca="false">H68-I68</f>
        <v>-41.7300715526336</v>
      </c>
    </row>
    <row r="69" customFormat="false" ht="15" hidden="false" customHeight="false" outlineLevel="0" collapsed="false">
      <c r="A69" s="9" t="s">
        <v>719</v>
      </c>
      <c r="B69" s="9" t="n">
        <v>17572</v>
      </c>
      <c r="C69" s="9" t="s">
        <v>1906</v>
      </c>
      <c r="D69" s="11" t="n">
        <v>40513.5354166667</v>
      </c>
      <c r="E69" s="9" t="n">
        <f aca="false">COUNTIFS('Invoice Lines'!$A$5:$A$5059,A69)</f>
        <v>4</v>
      </c>
      <c r="F69" s="9" t="n">
        <f aca="false">SUMIFS('Invoice Lines'!$C$5:$C$5059,'Invoice Lines'!$A$5:$A$5059,A69)</f>
        <v>24</v>
      </c>
      <c r="G69" s="10" t="n">
        <f aca="false">AVERAGEIFS('Invoice Lines'!$D$5:$D$5059,'Invoice Lines'!$A$5:$A$5059,A69)</f>
        <v>2.95</v>
      </c>
      <c r="H69" s="10" t="n">
        <f aca="false">SUMIFS('Invoice Lines'!$E$5:$E$5059,'Invoice Lines'!$A$5:$A$5059,A69)</f>
        <v>70.8</v>
      </c>
      <c r="I69" s="10" t="n">
        <f aca="false">Regression!$B$14+Regression!$B$12*E69+Regression!$B$13*F69</f>
        <v>104.163871817193</v>
      </c>
      <c r="J69" s="10" t="n">
        <f aca="false">H69-I69</f>
        <v>-33.363871817193</v>
      </c>
    </row>
    <row r="70" customFormat="false" ht="15" hidden="false" customHeight="false" outlineLevel="0" collapsed="false">
      <c r="A70" s="9" t="s">
        <v>723</v>
      </c>
      <c r="B70" s="9" t="n">
        <v>14078</v>
      </c>
      <c r="C70" s="9" t="s">
        <v>1906</v>
      </c>
      <c r="D70" s="11" t="n">
        <v>40513.5375</v>
      </c>
      <c r="E70" s="9" t="n">
        <f aca="false">COUNTIFS('Invoice Lines'!$A$5:$A$5059,A70)</f>
        <v>13</v>
      </c>
      <c r="F70" s="9" t="n">
        <f aca="false">SUMIFS('Invoice Lines'!$C$5:$C$5059,'Invoice Lines'!$A$5:$A$5059,A70)</f>
        <v>29</v>
      </c>
      <c r="G70" s="10" t="n">
        <f aca="false">AVERAGEIFS('Invoice Lines'!$D$5:$D$5059,'Invoice Lines'!$A$5:$A$5059,A70)</f>
        <v>3.49</v>
      </c>
      <c r="H70" s="10" t="n">
        <f aca="false">SUMIFS('Invoice Lines'!$E$5:$E$5059,'Invoice Lines'!$A$5:$A$5059,A70)</f>
        <v>136.24</v>
      </c>
      <c r="I70" s="10" t="n">
        <f aca="false">Regression!$B$14+Regression!$B$12*E70+Regression!$B$13*F70</f>
        <v>173.707895639666</v>
      </c>
      <c r="J70" s="10" t="n">
        <f aca="false">H70-I70</f>
        <v>-37.4678956396662</v>
      </c>
    </row>
    <row r="71" customFormat="false" ht="15" hidden="false" customHeight="false" outlineLevel="0" collapsed="false">
      <c r="A71" s="9" t="s">
        <v>731</v>
      </c>
      <c r="B71" s="9" t="n">
        <v>14001</v>
      </c>
      <c r="C71" s="9" t="s">
        <v>1906</v>
      </c>
      <c r="D71" s="11" t="n">
        <v>40513.5402777778</v>
      </c>
      <c r="E71" s="9" t="n">
        <f aca="false">COUNTIFS('Invoice Lines'!$A$5:$A$5059,A71)</f>
        <v>9</v>
      </c>
      <c r="F71" s="9" t="n">
        <f aca="false">SUMIFS('Invoice Lines'!$C$5:$C$5059,'Invoice Lines'!$A$5:$A$5059,A71)</f>
        <v>94</v>
      </c>
      <c r="G71" s="10" t="n">
        <f aca="false">AVERAGEIFS('Invoice Lines'!$D$5:$D$5059,'Invoice Lines'!$A$5:$A$5059,A71)</f>
        <v>4.41555555555556</v>
      </c>
      <c r="H71" s="10" t="n">
        <f aca="false">SUMIFS('Invoice Lines'!$E$5:$E$5059,'Invoice Lines'!$A$5:$A$5059,A71)</f>
        <v>301.24</v>
      </c>
      <c r="I71" s="10" t="n">
        <f aca="false">Regression!$B$14+Regression!$B$12*E71+Regression!$B$13*F71</f>
        <v>206.396276047572</v>
      </c>
      <c r="J71" s="10" t="n">
        <f aca="false">H71-I71</f>
        <v>94.8437239524283</v>
      </c>
    </row>
    <row r="72" customFormat="false" ht="15" hidden="false" customHeight="false" outlineLevel="0" collapsed="false">
      <c r="A72" s="9" t="s">
        <v>737</v>
      </c>
      <c r="B72" s="9" t="n">
        <v>12662</v>
      </c>
      <c r="C72" s="9" t="s">
        <v>1910</v>
      </c>
      <c r="D72" s="11" t="n">
        <v>40513.5444444444</v>
      </c>
      <c r="E72" s="9" t="n">
        <f aca="false">COUNTIFS('Invoice Lines'!$A$5:$A$5059,A72)</f>
        <v>14</v>
      </c>
      <c r="F72" s="9" t="n">
        <f aca="false">SUMIFS('Invoice Lines'!$C$5:$C$5059,'Invoice Lines'!$A$5:$A$5059,A72)</f>
        <v>156</v>
      </c>
      <c r="G72" s="10" t="n">
        <f aca="false">AVERAGEIFS('Invoice Lines'!$D$5:$D$5059,'Invoice Lines'!$A$5:$A$5059,A72)</f>
        <v>1.88357142857143</v>
      </c>
      <c r="H72" s="10" t="n">
        <f aca="false">SUMIFS('Invoice Lines'!$E$5:$E$5059,'Invoice Lines'!$A$5:$A$5059,A72)</f>
        <v>243.48</v>
      </c>
      <c r="I72" s="10" t="n">
        <f aca="false">Regression!$B$14+Regression!$B$12*E72+Regression!$B$13*F72</f>
        <v>301.060131266895</v>
      </c>
      <c r="J72" s="10" t="n">
        <f aca="false">H72-I72</f>
        <v>-57.5801312668953</v>
      </c>
    </row>
    <row r="73" customFormat="false" ht="15" hidden="false" customHeight="false" outlineLevel="0" collapsed="false">
      <c r="A73" s="9" t="s">
        <v>744</v>
      </c>
      <c r="B73" s="9" t="n">
        <v>15525</v>
      </c>
      <c r="C73" s="9" t="s">
        <v>1906</v>
      </c>
      <c r="D73" s="11" t="n">
        <v>40513.5534722222</v>
      </c>
      <c r="E73" s="9" t="n">
        <f aca="false">COUNTIFS('Invoice Lines'!$A$5:$A$5059,A73)</f>
        <v>48</v>
      </c>
      <c r="F73" s="9" t="n">
        <f aca="false">SUMIFS('Invoice Lines'!$C$5:$C$5059,'Invoice Lines'!$A$5:$A$5059,A73)</f>
        <v>113</v>
      </c>
      <c r="G73" s="10" t="n">
        <f aca="false">AVERAGEIFS('Invoice Lines'!$D$5:$D$5059,'Invoice Lines'!$A$5:$A$5059,A73)</f>
        <v>3.27625</v>
      </c>
      <c r="H73" s="10" t="n">
        <f aca="false">SUMIFS('Invoice Lines'!$E$5:$E$5059,'Invoice Lines'!$A$5:$A$5059,A73)</f>
        <v>274.93</v>
      </c>
      <c r="I73" s="10" t="n">
        <f aca="false">Regression!$B$14+Regression!$B$12*E73+Regression!$B$13*F73</f>
        <v>505.23086294127</v>
      </c>
      <c r="J73" s="10" t="n">
        <f aca="false">H73-I73</f>
        <v>-230.30086294127</v>
      </c>
    </row>
    <row r="74" customFormat="false" ht="15" hidden="false" customHeight="false" outlineLevel="0" collapsed="false">
      <c r="A74" s="9" t="s">
        <v>759</v>
      </c>
      <c r="B74" s="9" t="n">
        <v>14237</v>
      </c>
      <c r="C74" s="9" t="s">
        <v>1906</v>
      </c>
      <c r="D74" s="11" t="n">
        <v>40513.5555555556</v>
      </c>
      <c r="E74" s="9" t="n">
        <f aca="false">COUNTIFS('Invoice Lines'!$A$5:$A$5059,A74)</f>
        <v>9</v>
      </c>
      <c r="F74" s="9" t="n">
        <f aca="false">SUMIFS('Invoice Lines'!$C$5:$C$5059,'Invoice Lines'!$A$5:$A$5059,A74)</f>
        <v>38</v>
      </c>
      <c r="G74" s="10" t="n">
        <f aca="false">AVERAGEIFS('Invoice Lines'!$D$5:$D$5059,'Invoice Lines'!$A$5:$A$5059,A74)</f>
        <v>7.12222222222222</v>
      </c>
      <c r="H74" s="10" t="n">
        <f aca="false">SUMIFS('Invoice Lines'!$E$5:$E$5059,'Invoice Lines'!$A$5:$A$5059,A74)</f>
        <v>161</v>
      </c>
      <c r="I74" s="10" t="n">
        <f aca="false">Regression!$B$14+Regression!$B$12*E74+Regression!$B$13*F74</f>
        <v>153.416432970186</v>
      </c>
      <c r="J74" s="10" t="n">
        <f aca="false">H74-I74</f>
        <v>7.58356702981405</v>
      </c>
    </row>
    <row r="75" customFormat="false" ht="15" hidden="false" customHeight="false" outlineLevel="0" collapsed="false">
      <c r="A75" s="9" t="s">
        <v>767</v>
      </c>
      <c r="B75" s="9" t="n">
        <v>17905</v>
      </c>
      <c r="C75" s="9" t="s">
        <v>1906</v>
      </c>
      <c r="D75" s="11" t="n">
        <v>40513.55625</v>
      </c>
      <c r="E75" s="9" t="n">
        <f aca="false">COUNTIFS('Invoice Lines'!$A$5:$A$5059,A75)</f>
        <v>22</v>
      </c>
      <c r="F75" s="9" t="n">
        <f aca="false">SUMIFS('Invoice Lines'!$C$5:$C$5059,'Invoice Lines'!$A$5:$A$5059,A75)</f>
        <v>71</v>
      </c>
      <c r="G75" s="10" t="n">
        <f aca="false">AVERAGEIFS('Invoice Lines'!$D$5:$D$5059,'Invoice Lines'!$A$5:$A$5059,A75)</f>
        <v>4.93863636363636</v>
      </c>
      <c r="H75" s="10" t="n">
        <f aca="false">SUMIFS('Invoice Lines'!$E$5:$E$5059,'Invoice Lines'!$A$5:$A$5059,A75)</f>
        <v>200.5</v>
      </c>
      <c r="I75" s="10" t="n">
        <f aca="false">Regression!$B$14+Regression!$B$12*E75+Regression!$B$13*F75</f>
        <v>278.256458638269</v>
      </c>
      <c r="J75" s="10" t="n">
        <f aca="false">H75-I75</f>
        <v>-77.7564586382691</v>
      </c>
    </row>
    <row r="76" customFormat="false" ht="15" hidden="false" customHeight="false" outlineLevel="0" collapsed="false">
      <c r="A76" s="9" t="s">
        <v>781</v>
      </c>
      <c r="B76" s="9" t="n">
        <v>15485</v>
      </c>
      <c r="C76" s="9" t="s">
        <v>1906</v>
      </c>
      <c r="D76" s="11" t="n">
        <v>40513.5576388889</v>
      </c>
      <c r="E76" s="9" t="n">
        <f aca="false">COUNTIFS('Invoice Lines'!$A$5:$A$5059,A76)</f>
        <v>22</v>
      </c>
      <c r="F76" s="9" t="n">
        <f aca="false">SUMIFS('Invoice Lines'!$C$5:$C$5059,'Invoice Lines'!$A$5:$A$5059,A76)</f>
        <v>391</v>
      </c>
      <c r="G76" s="10" t="n">
        <f aca="false">AVERAGEIFS('Invoice Lines'!$D$5:$D$5059,'Invoice Lines'!$A$5:$A$5059,A76)</f>
        <v>4.18136363636364</v>
      </c>
      <c r="H76" s="10" t="n">
        <f aca="false">SUMIFS('Invoice Lines'!$E$5:$E$5059,'Invoice Lines'!$A$5:$A$5059,A76)</f>
        <v>939.59</v>
      </c>
      <c r="I76" s="10" t="n">
        <f aca="false">Regression!$B$14+Regression!$B$12*E76+Regression!$B$13*F76</f>
        <v>580.998419080473</v>
      </c>
      <c r="J76" s="10" t="n">
        <f aca="false">H76-I76</f>
        <v>358.591580919527</v>
      </c>
    </row>
    <row r="77" customFormat="false" ht="15" hidden="false" customHeight="false" outlineLevel="0" collapsed="false">
      <c r="A77" s="9" t="s">
        <v>791</v>
      </c>
      <c r="B77" s="9" t="n">
        <v>12433</v>
      </c>
      <c r="C77" s="9" t="s">
        <v>1911</v>
      </c>
      <c r="D77" s="11" t="n">
        <v>40513.5583333333</v>
      </c>
      <c r="E77" s="9" t="n">
        <f aca="false">COUNTIFS('Invoice Lines'!$A$5:$A$5059,A77)</f>
        <v>73</v>
      </c>
      <c r="F77" s="9" t="n">
        <f aca="false">SUMIFS('Invoice Lines'!$C$5:$C$5059,'Invoice Lines'!$A$5:$A$5059,A77)</f>
        <v>1852</v>
      </c>
      <c r="G77" s="10" t="n">
        <f aca="false">AVERAGEIFS('Invoice Lines'!$D$5:$D$5059,'Invoice Lines'!$A$5:$A$5059,A77)</f>
        <v>1.40643835616438</v>
      </c>
      <c r="H77" s="10" t="n">
        <f aca="false">SUMIFS('Invoice Lines'!$E$5:$E$5059,'Invoice Lines'!$A$5:$A$5059,A77)</f>
        <v>1919.14</v>
      </c>
      <c r="I77" s="10" t="n">
        <f aca="false">Regression!$B$14+Regression!$B$12*E77+Regression!$B$13*F77</f>
        <v>2330.48220613761</v>
      </c>
      <c r="J77" s="10" t="n">
        <f aca="false">H77-I77</f>
        <v>-411.342206137606</v>
      </c>
    </row>
    <row r="78" customFormat="false" ht="15" hidden="false" customHeight="false" outlineLevel="0" collapsed="false">
      <c r="A78" s="9" t="s">
        <v>825</v>
      </c>
      <c r="B78" s="9" t="n">
        <v>16955</v>
      </c>
      <c r="C78" s="9" t="s">
        <v>1906</v>
      </c>
      <c r="D78" s="11" t="n">
        <v>40513.5631944445</v>
      </c>
      <c r="E78" s="9" t="n">
        <f aca="false">COUNTIFS('Invoice Lines'!$A$5:$A$5059,A78)</f>
        <v>6</v>
      </c>
      <c r="F78" s="9" t="n">
        <f aca="false">SUMIFS('Invoice Lines'!$C$5:$C$5059,'Invoice Lines'!$A$5:$A$5059,A78)</f>
        <v>80</v>
      </c>
      <c r="G78" s="10" t="n">
        <f aca="false">AVERAGEIFS('Invoice Lines'!$D$5:$D$5059,'Invoice Lines'!$A$5:$A$5059,A78)</f>
        <v>6.675</v>
      </c>
      <c r="H78" s="10" t="n">
        <f aca="false">SUMIFS('Invoice Lines'!$E$5:$E$5059,'Invoice Lines'!$A$5:$A$5059,A78)</f>
        <v>156.1</v>
      </c>
      <c r="I78" s="10" t="n">
        <f aca="false">Regression!$B$14+Regression!$B$12*E78+Regression!$B$13*F78</f>
        <v>171.546755048037</v>
      </c>
      <c r="J78" s="10" t="n">
        <f aca="false">H78-I78</f>
        <v>-15.4467550480374</v>
      </c>
    </row>
    <row r="79" customFormat="false" ht="15" hidden="false" customHeight="false" outlineLevel="0" collapsed="false">
      <c r="A79" s="9" t="s">
        <v>831</v>
      </c>
      <c r="B79" s="9" t="n">
        <v>15350</v>
      </c>
      <c r="C79" s="9" t="s">
        <v>1906</v>
      </c>
      <c r="D79" s="11" t="n">
        <v>40513.5645833333</v>
      </c>
      <c r="E79" s="9" t="n">
        <f aca="false">COUNTIFS('Invoice Lines'!$A$5:$A$5059,A79)</f>
        <v>5</v>
      </c>
      <c r="F79" s="9" t="n">
        <f aca="false">SUMIFS('Invoice Lines'!$C$5:$C$5059,'Invoice Lines'!$A$5:$A$5059,A79)</f>
        <v>51</v>
      </c>
      <c r="G79" s="10" t="n">
        <f aca="false">AVERAGEIFS('Invoice Lines'!$D$5:$D$5059,'Invoice Lines'!$A$5:$A$5059,A79)</f>
        <v>2.67</v>
      </c>
      <c r="H79" s="10" t="n">
        <f aca="false">SUMIFS('Invoice Lines'!$E$5:$E$5059,'Invoice Lines'!$A$5:$A$5059,A79)</f>
        <v>115.65</v>
      </c>
      <c r="I79" s="10" t="n">
        <f aca="false">Regression!$B$14+Regression!$B$12*E79+Regression!$B$13*F79</f>
        <v>136.909244806233</v>
      </c>
      <c r="J79" s="10" t="n">
        <f aca="false">H79-I79</f>
        <v>-21.2592448062333</v>
      </c>
    </row>
    <row r="80" customFormat="false" ht="15" hidden="false" customHeight="false" outlineLevel="0" collapsed="false">
      <c r="A80" s="9" t="s">
        <v>832</v>
      </c>
      <c r="B80" s="9" t="n">
        <v>15605</v>
      </c>
      <c r="C80" s="9" t="s">
        <v>1906</v>
      </c>
      <c r="D80" s="11" t="n">
        <v>40513.5680555556</v>
      </c>
      <c r="E80" s="9" t="n">
        <f aca="false">COUNTIFS('Invoice Lines'!$A$5:$A$5059,A80)</f>
        <v>12</v>
      </c>
      <c r="F80" s="9" t="n">
        <f aca="false">SUMIFS('Invoice Lines'!$C$5:$C$5059,'Invoice Lines'!$A$5:$A$5059,A80)</f>
        <v>71</v>
      </c>
      <c r="G80" s="10" t="n">
        <f aca="false">AVERAGEIFS('Invoice Lines'!$D$5:$D$5059,'Invoice Lines'!$A$5:$A$5059,A80)</f>
        <v>4.85</v>
      </c>
      <c r="H80" s="10" t="n">
        <f aca="false">SUMIFS('Invoice Lines'!$E$5:$E$5059,'Invoice Lines'!$A$5:$A$5059,A80)</f>
        <v>194.85</v>
      </c>
      <c r="I80" s="10" t="n">
        <f aca="false">Regression!$B$14+Regression!$B$12*E80+Regression!$B$13*F80</f>
        <v>206.241257870976</v>
      </c>
      <c r="J80" s="10" t="n">
        <f aca="false">H80-I80</f>
        <v>-11.3912578709762</v>
      </c>
    </row>
    <row r="81" customFormat="false" ht="15" hidden="false" customHeight="false" outlineLevel="0" collapsed="false">
      <c r="A81" s="9" t="s">
        <v>837</v>
      </c>
      <c r="B81" s="9" t="n">
        <v>18144</v>
      </c>
      <c r="C81" s="9" t="s">
        <v>1906</v>
      </c>
      <c r="D81" s="11" t="n">
        <v>40513.5729166667</v>
      </c>
      <c r="E81" s="9" t="n">
        <f aca="false">COUNTIFS('Invoice Lines'!$A$5:$A$5059,A81)</f>
        <v>3</v>
      </c>
      <c r="F81" s="9" t="n">
        <f aca="false">SUMIFS('Invoice Lines'!$C$5:$C$5059,'Invoice Lines'!$A$5:$A$5059,A81)</f>
        <v>95</v>
      </c>
      <c r="G81" s="10" t="n">
        <f aca="false">AVERAGEIFS('Invoice Lines'!$D$5:$D$5059,'Invoice Lines'!$A$5:$A$5059,A81)</f>
        <v>2.63</v>
      </c>
      <c r="H81" s="10" t="n">
        <f aca="false">SUMIFS('Invoice Lines'!$E$5:$E$5059,'Invoice Lines'!$A$5:$A$5059,A81)</f>
        <v>165.05</v>
      </c>
      <c r="I81" s="10" t="n">
        <f aca="false">Regression!$B$14+Regression!$B$12*E81+Regression!$B$13*F81</f>
        <v>164.133224213578</v>
      </c>
      <c r="J81" s="10" t="n">
        <f aca="false">H81-I81</f>
        <v>0.916775786422164</v>
      </c>
    </row>
    <row r="82" customFormat="false" ht="15" hidden="false" customHeight="false" outlineLevel="0" collapsed="false">
      <c r="A82" s="9" t="s">
        <v>839</v>
      </c>
      <c r="B82" s="9" t="n">
        <v>15922</v>
      </c>
      <c r="C82" s="9" t="s">
        <v>1906</v>
      </c>
      <c r="D82" s="11" t="n">
        <v>40513.5770833333</v>
      </c>
      <c r="E82" s="9" t="n">
        <f aca="false">COUNTIFS('Invoice Lines'!$A$5:$A$5059,A82)</f>
        <v>11</v>
      </c>
      <c r="F82" s="9" t="n">
        <f aca="false">SUMIFS('Invoice Lines'!$C$5:$C$5059,'Invoice Lines'!$A$5:$A$5059,A82)</f>
        <v>138</v>
      </c>
      <c r="G82" s="10" t="n">
        <f aca="false">AVERAGEIFS('Invoice Lines'!$D$5:$D$5059,'Invoice Lines'!$A$5:$A$5059,A82)</f>
        <v>4.40909090909091</v>
      </c>
      <c r="H82" s="10" t="n">
        <f aca="false">SUMIFS('Invoice Lines'!$E$5:$E$5059,'Invoice Lines'!$A$5:$A$5059,A82)</f>
        <v>369.5</v>
      </c>
      <c r="I82" s="10" t="n">
        <f aca="false">Regression!$B$14+Regression!$B$12*E82+Regression!$B$13*F82</f>
        <v>262.426335761833</v>
      </c>
      <c r="J82" s="10" t="n">
        <f aca="false">H82-I82</f>
        <v>107.073664238167</v>
      </c>
    </row>
    <row r="83" customFormat="false" ht="15" hidden="false" customHeight="false" outlineLevel="0" collapsed="false">
      <c r="A83" s="9" t="s">
        <v>847</v>
      </c>
      <c r="B83" s="9" t="n">
        <v>14594</v>
      </c>
      <c r="C83" s="9" t="s">
        <v>1906</v>
      </c>
      <c r="D83" s="11" t="n">
        <v>40513.5791666667</v>
      </c>
      <c r="E83" s="9" t="n">
        <f aca="false">COUNTIFS('Invoice Lines'!$A$5:$A$5059,A83)</f>
        <v>31</v>
      </c>
      <c r="F83" s="9" t="n">
        <f aca="false">SUMIFS('Invoice Lines'!$C$5:$C$5059,'Invoice Lines'!$A$5:$A$5059,A83)</f>
        <v>146</v>
      </c>
      <c r="G83" s="10" t="n">
        <f aca="false">AVERAGEIFS('Invoice Lines'!$D$5:$D$5059,'Invoice Lines'!$A$5:$A$5059,A83)</f>
        <v>3.00870967741936</v>
      </c>
      <c r="H83" s="10" t="n">
        <f aca="false">SUMIFS('Invoice Lines'!$E$5:$E$5059,'Invoice Lines'!$A$5:$A$5059,A83)</f>
        <v>255</v>
      </c>
      <c r="I83" s="10" t="n">
        <f aca="false">Regression!$B$14+Regression!$B$12*E83+Regression!$B$13*F83</f>
        <v>414.025286307474</v>
      </c>
      <c r="J83" s="10" t="n">
        <f aca="false">H83-I83</f>
        <v>-159.025286307474</v>
      </c>
    </row>
    <row r="84" customFormat="false" ht="15" hidden="false" customHeight="false" outlineLevel="0" collapsed="false">
      <c r="A84" s="9" t="s">
        <v>864</v>
      </c>
      <c r="B84" s="9" t="n">
        <v>15165</v>
      </c>
      <c r="C84" s="9" t="s">
        <v>1906</v>
      </c>
      <c r="D84" s="11" t="n">
        <v>40513.5854166667</v>
      </c>
      <c r="E84" s="9" t="n">
        <f aca="false">COUNTIFS('Invoice Lines'!$A$5:$A$5059,A84)</f>
        <v>27</v>
      </c>
      <c r="F84" s="9" t="n">
        <f aca="false">SUMIFS('Invoice Lines'!$C$5:$C$5059,'Invoice Lines'!$A$5:$A$5059,A84)</f>
        <v>160</v>
      </c>
      <c r="G84" s="10" t="n">
        <f aca="false">AVERAGEIFS('Invoice Lines'!$D$5:$D$5059,'Invoice Lines'!$A$5:$A$5059,A84)</f>
        <v>4.98703703703704</v>
      </c>
      <c r="H84" s="10" t="n">
        <f aca="false">SUMIFS('Invoice Lines'!$E$5:$E$5059,'Invoice Lines'!$A$5:$A$5059,A84)</f>
        <v>487.75</v>
      </c>
      <c r="I84" s="10" t="n">
        <f aca="false">Regression!$B$14+Regression!$B$12*E84+Regression!$B$13*F84</f>
        <v>398.464166769904</v>
      </c>
      <c r="J84" s="10" t="n">
        <f aca="false">H84-I84</f>
        <v>89.2858332300963</v>
      </c>
    </row>
    <row r="85" customFormat="false" ht="15" hidden="false" customHeight="false" outlineLevel="0" collapsed="false">
      <c r="A85" s="9" t="s">
        <v>875</v>
      </c>
      <c r="B85" s="9" t="n">
        <v>14911</v>
      </c>
      <c r="C85" s="9" t="s">
        <v>1912</v>
      </c>
      <c r="D85" s="11" t="n">
        <v>40513.5868055556</v>
      </c>
      <c r="E85" s="9" t="n">
        <f aca="false">COUNTIFS('Invoice Lines'!$A$5:$A$5059,A85)</f>
        <v>19</v>
      </c>
      <c r="F85" s="9" t="n">
        <f aca="false">SUMIFS('Invoice Lines'!$C$5:$C$5059,'Invoice Lines'!$A$5:$A$5059,A85)</f>
        <v>230</v>
      </c>
      <c r="G85" s="10" t="n">
        <f aca="false">AVERAGEIFS('Invoice Lines'!$D$5:$D$5059,'Invoice Lines'!$A$5:$A$5059,A85)</f>
        <v>4.33631578947369</v>
      </c>
      <c r="H85" s="10" t="n">
        <f aca="false">SUMIFS('Invoice Lines'!$E$5:$E$5059,'Invoice Lines'!$A$5:$A$5059,A85)</f>
        <v>490.38</v>
      </c>
      <c r="I85" s="10" t="n">
        <f aca="false">Regression!$B$14+Regression!$B$12*E85+Regression!$B$13*F85</f>
        <v>407.076810002802</v>
      </c>
      <c r="J85" s="10" t="n">
        <f aca="false">H85-I85</f>
        <v>83.3031899971985</v>
      </c>
    </row>
    <row r="86" customFormat="false" ht="15" hidden="false" customHeight="false" outlineLevel="0" collapsed="false">
      <c r="A86" s="9" t="s">
        <v>888</v>
      </c>
      <c r="B86" s="9" t="n">
        <v>14911</v>
      </c>
      <c r="C86" s="9" t="s">
        <v>1912</v>
      </c>
      <c r="D86" s="11" t="n">
        <v>40513.5868055556</v>
      </c>
      <c r="E86" s="9" t="n">
        <f aca="false">COUNTIFS('Invoice Lines'!$A$5:$A$5059,A86)</f>
        <v>1</v>
      </c>
      <c r="F86" s="9" t="n">
        <f aca="false">SUMIFS('Invoice Lines'!$C$5:$C$5059,'Invoice Lines'!$A$5:$A$5059,A86)</f>
        <v>12</v>
      </c>
      <c r="G86" s="10" t="n">
        <f aca="false">AVERAGEIFS('Invoice Lines'!$D$5:$D$5059,'Invoice Lines'!$A$5:$A$5059,A86)</f>
        <v>1.25</v>
      </c>
      <c r="H86" s="10" t="n">
        <f aca="false">SUMIFS('Invoice Lines'!$E$5:$E$5059,'Invoice Lines'!$A$5:$A$5059,A86)</f>
        <v>15</v>
      </c>
      <c r="I86" s="10" t="n">
        <f aca="false">Regression!$B$14+Regression!$B$12*E86+Regression!$B$13*F86</f>
        <v>71.2064880704225</v>
      </c>
      <c r="J86" s="10" t="n">
        <f aca="false">H86-I86</f>
        <v>-56.2064880704225</v>
      </c>
    </row>
    <row r="87" customFormat="false" ht="15" hidden="false" customHeight="false" outlineLevel="0" collapsed="false">
      <c r="A87" s="9" t="s">
        <v>889</v>
      </c>
      <c r="B87" s="9" t="n">
        <v>16456</v>
      </c>
      <c r="C87" s="9" t="s">
        <v>1906</v>
      </c>
      <c r="D87" s="11" t="n">
        <v>40513.5909722222</v>
      </c>
      <c r="E87" s="9" t="n">
        <f aca="false">COUNTIFS('Invoice Lines'!$A$5:$A$5059,A87)</f>
        <v>16</v>
      </c>
      <c r="F87" s="9" t="n">
        <f aca="false">SUMIFS('Invoice Lines'!$C$5:$C$5059,'Invoice Lines'!$A$5:$A$5059,A87)</f>
        <v>392</v>
      </c>
      <c r="G87" s="10" t="n">
        <f aca="false">AVERAGEIFS('Invoice Lines'!$D$5:$D$5059,'Invoice Lines'!$A$5:$A$5059,A87)</f>
        <v>1.965625</v>
      </c>
      <c r="H87" s="10" t="n">
        <f aca="false">SUMIFS('Invoice Lines'!$E$5:$E$5059,'Invoice Lines'!$A$5:$A$5059,A87)</f>
        <v>787.4</v>
      </c>
      <c r="I87" s="10" t="n">
        <f aca="false">Regression!$B$14+Regression!$B$12*E87+Regression!$B$13*F87</f>
        <v>538.73536724648</v>
      </c>
      <c r="J87" s="10" t="n">
        <f aca="false">H87-I87</f>
        <v>248.66463275352</v>
      </c>
    </row>
    <row r="88" customFormat="false" ht="15" hidden="false" customHeight="false" outlineLevel="0" collapsed="false">
      <c r="A88" s="9" t="s">
        <v>892</v>
      </c>
      <c r="B88" s="9"/>
      <c r="C88" s="9"/>
      <c r="D88" s="11" t="n">
        <v>40513.6055555556</v>
      </c>
      <c r="E88" s="9" t="n">
        <f aca="false">COUNTIFS('Invoice Lines'!$A$5:$A$5059,A88)</f>
        <v>526</v>
      </c>
      <c r="F88" s="9" t="n">
        <f aca="false">SUMIFS('Invoice Lines'!$C$5:$C$5059,'Invoice Lines'!$A$5:$A$5059,A88)</f>
        <v>1207</v>
      </c>
      <c r="G88" s="10" t="n">
        <f aca="false">AVERAGEIFS('Invoice Lines'!$D$5:$D$5059,'Invoice Lines'!$A$5:$A$5059,A88)</f>
        <v>4.59686311787072</v>
      </c>
      <c r="H88" s="10" t="n">
        <f aca="false">SUMIFS('Invoice Lines'!$E$5:$E$5059,'Invoice Lines'!$A$5:$A$5059,A88)</f>
        <v>4951.37</v>
      </c>
      <c r="I88" s="10" t="n">
        <f aca="false">Regression!$B$14+Regression!$B$12*E88+Regression!$B$13*F88</f>
        <v>4982.55653687966</v>
      </c>
      <c r="J88" s="10" t="n">
        <f aca="false">H88-I88</f>
        <v>-31.1865368796598</v>
      </c>
    </row>
    <row r="89" customFormat="false" ht="15" hidden="false" customHeight="false" outlineLevel="0" collapsed="false">
      <c r="A89" s="9" t="s">
        <v>1157</v>
      </c>
      <c r="B89" s="9" t="n">
        <v>17346</v>
      </c>
      <c r="C89" s="9" t="s">
        <v>1906</v>
      </c>
      <c r="D89" s="11" t="n">
        <v>40513.6069444444</v>
      </c>
      <c r="E89" s="9" t="n">
        <f aca="false">COUNTIFS('Invoice Lines'!$A$5:$A$5059,A89)</f>
        <v>31</v>
      </c>
      <c r="F89" s="9" t="n">
        <f aca="false">SUMIFS('Invoice Lines'!$C$5:$C$5059,'Invoice Lines'!$A$5:$A$5059,A89)</f>
        <v>84</v>
      </c>
      <c r="G89" s="10" t="n">
        <f aca="false">AVERAGEIFS('Invoice Lines'!$D$5:$D$5059,'Invoice Lines'!$A$5:$A$5059,A89)</f>
        <v>2.13806451612903</v>
      </c>
      <c r="H89" s="10" t="n">
        <f aca="false">SUMIFS('Invoice Lines'!$E$5:$E$5059,'Invoice Lines'!$A$5:$A$5059,A89)</f>
        <v>134.11</v>
      </c>
      <c r="I89" s="10" t="n">
        <f aca="false">Regression!$B$14+Regression!$B$12*E89+Regression!$B$13*F89</f>
        <v>355.369031471797</v>
      </c>
      <c r="J89" s="10" t="n">
        <f aca="false">H89-I89</f>
        <v>-221.259031471797</v>
      </c>
    </row>
    <row r="90" customFormat="false" ht="15" hidden="false" customHeight="false" outlineLevel="0" collapsed="false">
      <c r="A90" s="9" t="s">
        <v>1161</v>
      </c>
      <c r="B90" s="9"/>
      <c r="C90" s="9"/>
      <c r="D90" s="11" t="n">
        <v>40513.6090277778</v>
      </c>
      <c r="E90" s="9" t="n">
        <f aca="false">COUNTIFS('Invoice Lines'!$A$5:$A$5059,A90)</f>
        <v>2</v>
      </c>
      <c r="F90" s="9" t="n">
        <f aca="false">SUMIFS('Invoice Lines'!$C$5:$C$5059,'Invoice Lines'!$A$5:$A$5059,A90)</f>
        <v>2</v>
      </c>
      <c r="G90" s="10" t="n">
        <f aca="false">AVERAGEIFS('Invoice Lines'!$D$5:$D$5059,'Invoice Lines'!$A$5:$A$5059,A90)</f>
        <v>1.485</v>
      </c>
      <c r="H90" s="10" t="n">
        <f aca="false">SUMIFS('Invoice Lines'!$E$5:$E$5059,'Invoice Lines'!$A$5:$A$5059,A90)</f>
        <v>2.97</v>
      </c>
      <c r="I90" s="10" t="n">
        <f aca="false">Regression!$B$14+Regression!$B$12*E90+Regression!$B$13*F90</f>
        <v>68.9473218833329</v>
      </c>
      <c r="J90" s="10" t="n">
        <f aca="false">H90-I90</f>
        <v>-65.9773218833329</v>
      </c>
    </row>
    <row r="91" customFormat="false" ht="15" hidden="false" customHeight="false" outlineLevel="0" collapsed="false">
      <c r="A91" s="9" t="s">
        <v>1163</v>
      </c>
      <c r="B91" s="9" t="n">
        <v>17643</v>
      </c>
      <c r="C91" s="9" t="s">
        <v>1906</v>
      </c>
      <c r="D91" s="11" t="n">
        <v>40513.6097222222</v>
      </c>
      <c r="E91" s="9" t="n">
        <f aca="false">COUNTIFS('Invoice Lines'!$A$5:$A$5059,A91)</f>
        <v>8</v>
      </c>
      <c r="F91" s="9" t="n">
        <f aca="false">SUMIFS('Invoice Lines'!$C$5:$C$5059,'Invoice Lines'!$A$5:$A$5059,A91)</f>
        <v>71</v>
      </c>
      <c r="G91" s="10" t="n">
        <f aca="false">AVERAGEIFS('Invoice Lines'!$D$5:$D$5059,'Invoice Lines'!$A$5:$A$5059,A91)</f>
        <v>4.01875</v>
      </c>
      <c r="H91" s="10" t="n">
        <f aca="false">SUMIFS('Invoice Lines'!$E$5:$E$5059,'Invoice Lines'!$A$5:$A$5059,A91)</f>
        <v>101.55</v>
      </c>
      <c r="I91" s="10" t="n">
        <f aca="false">Regression!$B$14+Regression!$B$12*E91+Regression!$B$13*F91</f>
        <v>177.435177564059</v>
      </c>
      <c r="J91" s="10" t="n">
        <f aca="false">H91-I91</f>
        <v>-75.885177564059</v>
      </c>
    </row>
    <row r="92" customFormat="false" ht="15" hidden="false" customHeight="false" outlineLevel="0" collapsed="false">
      <c r="A92" s="9" t="s">
        <v>1166</v>
      </c>
      <c r="B92" s="9" t="n">
        <v>17841</v>
      </c>
      <c r="C92" s="9" t="s">
        <v>1906</v>
      </c>
      <c r="D92" s="11" t="n">
        <v>40513.6118055556</v>
      </c>
      <c r="E92" s="9" t="n">
        <f aca="false">COUNTIFS('Invoice Lines'!$A$5:$A$5059,A92)</f>
        <v>64</v>
      </c>
      <c r="F92" s="9" t="n">
        <f aca="false">SUMIFS('Invoice Lines'!$C$5:$C$5059,'Invoice Lines'!$A$5:$A$5059,A92)</f>
        <v>198</v>
      </c>
      <c r="G92" s="10" t="n">
        <f aca="false">AVERAGEIFS('Invoice Lines'!$D$5:$D$5059,'Invoice Lines'!$A$5:$A$5059,A92)</f>
        <v>3.8553125</v>
      </c>
      <c r="H92" s="10" t="n">
        <f aca="false">SUMIFS('Invoice Lines'!$E$5:$E$5059,'Invoice Lines'!$A$5:$A$5059,A92)</f>
        <v>532.43</v>
      </c>
      <c r="I92" s="10" t="n">
        <f aca="false">Regression!$B$14+Regression!$B$12*E92+Regression!$B$13*F92</f>
        <v>700.871017411399</v>
      </c>
      <c r="J92" s="10" t="n">
        <f aca="false">H92-I92</f>
        <v>-168.441017411399</v>
      </c>
    </row>
    <row r="93" customFormat="false" ht="15" hidden="false" customHeight="false" outlineLevel="0" collapsed="false">
      <c r="A93" s="9" t="s">
        <v>1187</v>
      </c>
      <c r="B93" s="9"/>
      <c r="C93" s="9"/>
      <c r="D93" s="11" t="n">
        <v>40513.6166666667</v>
      </c>
      <c r="E93" s="9" t="n">
        <f aca="false">COUNTIFS('Invoice Lines'!$A$5:$A$5059,A93)</f>
        <v>1</v>
      </c>
      <c r="F93" s="9" t="n">
        <f aca="false">SUMIFS('Invoice Lines'!$C$5:$C$5059,'Invoice Lines'!$A$5:$A$5059,A93)</f>
        <v>5</v>
      </c>
      <c r="G93" s="10" t="n">
        <f aca="false">AVERAGEIFS('Invoice Lines'!$D$5:$D$5059,'Invoice Lines'!$A$5:$A$5059,A93)</f>
        <v>19.95</v>
      </c>
      <c r="H93" s="10" t="n">
        <f aca="false">SUMIFS('Invoice Lines'!$E$5:$E$5059,'Invoice Lines'!$A$5:$A$5059,A93)</f>
        <v>99.75</v>
      </c>
      <c r="I93" s="10" t="n">
        <f aca="false">Regression!$B$14+Regression!$B$12*E93+Regression!$B$13*F93</f>
        <v>64.5840076857493</v>
      </c>
      <c r="J93" s="10" t="n">
        <f aca="false">H93-I93</f>
        <v>35.1659923142507</v>
      </c>
    </row>
    <row r="94" customFormat="false" ht="15" hidden="false" customHeight="false" outlineLevel="0" collapsed="false">
      <c r="A94" s="9" t="s">
        <v>1189</v>
      </c>
      <c r="B94" s="9" t="n">
        <v>17873</v>
      </c>
      <c r="C94" s="9" t="s">
        <v>1906</v>
      </c>
      <c r="D94" s="11" t="n">
        <v>40513.6208333333</v>
      </c>
      <c r="E94" s="9" t="n">
        <f aca="false">COUNTIFS('Invoice Lines'!$A$5:$A$5059,A94)</f>
        <v>8</v>
      </c>
      <c r="F94" s="9" t="n">
        <f aca="false">SUMIFS('Invoice Lines'!$C$5:$C$5059,'Invoice Lines'!$A$5:$A$5059,A94)</f>
        <v>117</v>
      </c>
      <c r="G94" s="10" t="n">
        <f aca="false">AVERAGEIFS('Invoice Lines'!$D$5:$D$5059,'Invoice Lines'!$A$5:$A$5059,A94)</f>
        <v>2.1625</v>
      </c>
      <c r="H94" s="10" t="n">
        <f aca="false">SUMIFS('Invoice Lines'!$E$5:$E$5059,'Invoice Lines'!$A$5:$A$5059,A94)</f>
        <v>204.95</v>
      </c>
      <c r="I94" s="10" t="n">
        <f aca="false">Regression!$B$14+Regression!$B$12*E94+Regression!$B$13*F94</f>
        <v>220.954334377626</v>
      </c>
      <c r="J94" s="10" t="n">
        <f aca="false">H94-I94</f>
        <v>-16.0043343776259</v>
      </c>
    </row>
    <row r="95" customFormat="false" ht="15" hidden="false" customHeight="false" outlineLevel="0" collapsed="false">
      <c r="A95" s="9" t="s">
        <v>1195</v>
      </c>
      <c r="B95" s="9" t="n">
        <v>13093</v>
      </c>
      <c r="C95" s="9" t="s">
        <v>1906</v>
      </c>
      <c r="D95" s="11" t="n">
        <v>40513.625</v>
      </c>
      <c r="E95" s="9" t="n">
        <f aca="false">COUNTIFS('Invoice Lines'!$A$5:$A$5059,A95)</f>
        <v>13</v>
      </c>
      <c r="F95" s="9" t="n">
        <f aca="false">SUMIFS('Invoice Lines'!$C$5:$C$5059,'Invoice Lines'!$A$5:$A$5059,A95)</f>
        <v>256</v>
      </c>
      <c r="G95" s="10" t="n">
        <f aca="false">AVERAGEIFS('Invoice Lines'!$D$5:$D$5059,'Invoice Lines'!$A$5:$A$5059,A95)</f>
        <v>5.18076923076923</v>
      </c>
      <c r="H95" s="10" t="n">
        <f aca="false">SUMIFS('Invoice Lines'!$E$5:$E$5059,'Invoice Lines'!$A$5:$A$5059,A95)</f>
        <v>799.4</v>
      </c>
      <c r="I95" s="10" t="n">
        <f aca="false">Regression!$B$14+Regression!$B$12*E95+Regression!$B$13*F95</f>
        <v>388.465473828355</v>
      </c>
      <c r="J95" s="10" t="n">
        <f aca="false">H95-I95</f>
        <v>410.934526171645</v>
      </c>
    </row>
    <row r="96" customFormat="false" ht="15" hidden="false" customHeight="false" outlineLevel="0" collapsed="false">
      <c r="A96" s="9" t="s">
        <v>1201</v>
      </c>
      <c r="B96" s="9" t="n">
        <v>12921</v>
      </c>
      <c r="C96" s="9" t="s">
        <v>1906</v>
      </c>
      <c r="D96" s="11" t="n">
        <v>40513.6291666667</v>
      </c>
      <c r="E96" s="9" t="n">
        <f aca="false">COUNTIFS('Invoice Lines'!$A$5:$A$5059,A96)</f>
        <v>15</v>
      </c>
      <c r="F96" s="9" t="n">
        <f aca="false">SUMIFS('Invoice Lines'!$C$5:$C$5059,'Invoice Lines'!$A$5:$A$5059,A96)</f>
        <v>140</v>
      </c>
      <c r="G96" s="10" t="n">
        <f aca="false">AVERAGEIFS('Invoice Lines'!$D$5:$D$5059,'Invoice Lines'!$A$5:$A$5059,A96)</f>
        <v>2.48333333333333</v>
      </c>
      <c r="H96" s="10" t="n">
        <f aca="false">SUMIFS('Invoice Lines'!$E$5:$E$5059,'Invoice Lines'!$A$5:$A$5059,A96)</f>
        <v>322.4</v>
      </c>
      <c r="I96" s="10" t="n">
        <f aca="false">Regression!$B$14+Regression!$B$12*E96+Regression!$B$13*F96</f>
        <v>293.124553321514</v>
      </c>
      <c r="J96" s="10" t="n">
        <f aca="false">H96-I96</f>
        <v>29.2754466784857</v>
      </c>
    </row>
    <row r="97" customFormat="false" ht="15" hidden="false" customHeight="false" outlineLevel="0" collapsed="false">
      <c r="A97" s="9" t="s">
        <v>1202</v>
      </c>
      <c r="B97" s="9" t="n">
        <v>13468</v>
      </c>
      <c r="C97" s="9" t="s">
        <v>1906</v>
      </c>
      <c r="D97" s="11" t="n">
        <v>40513.6305555556</v>
      </c>
      <c r="E97" s="9" t="n">
        <f aca="false">COUNTIFS('Invoice Lines'!$A$5:$A$5059,A97)</f>
        <v>18</v>
      </c>
      <c r="F97" s="9" t="n">
        <f aca="false">SUMIFS('Invoice Lines'!$C$5:$C$5059,'Invoice Lines'!$A$5:$A$5059,A97)</f>
        <v>99</v>
      </c>
      <c r="G97" s="10" t="n">
        <f aca="false">AVERAGEIFS('Invoice Lines'!$D$5:$D$5059,'Invoice Lines'!$A$5:$A$5059,A97)</f>
        <v>5.01666666666667</v>
      </c>
      <c r="H97" s="10" t="n">
        <f aca="false">SUMIFS('Invoice Lines'!$E$5:$E$5059,'Invoice Lines'!$A$5:$A$5059,A97)</f>
        <v>308.65</v>
      </c>
      <c r="I97" s="10" t="n">
        <f aca="false">Regression!$B$14+Regression!$B$12*E97+Regression!$B$13*F97</f>
        <v>275.940299870045</v>
      </c>
      <c r="J97" s="10" t="n">
        <f aca="false">H97-I97</f>
        <v>32.7097001299552</v>
      </c>
    </row>
    <row r="98" customFormat="false" ht="15" hidden="false" customHeight="false" outlineLevel="0" collapsed="false">
      <c r="A98" s="9" t="s">
        <v>1208</v>
      </c>
      <c r="B98" s="9" t="n">
        <v>17760</v>
      </c>
      <c r="C98" s="9" t="s">
        <v>1906</v>
      </c>
      <c r="D98" s="11" t="n">
        <v>40513.6305555556</v>
      </c>
      <c r="E98" s="9" t="n">
        <f aca="false">COUNTIFS('Invoice Lines'!$A$5:$A$5059,A98)</f>
        <v>9</v>
      </c>
      <c r="F98" s="9" t="n">
        <f aca="false">SUMIFS('Invoice Lines'!$C$5:$C$5059,'Invoice Lines'!$A$5:$A$5059,A98)</f>
        <v>165</v>
      </c>
      <c r="G98" s="10" t="n">
        <f aca="false">AVERAGEIFS('Invoice Lines'!$D$5:$D$5059,'Invoice Lines'!$A$5:$A$5059,A98)</f>
        <v>2.62444444444444</v>
      </c>
      <c r="H98" s="10" t="n">
        <f aca="false">SUMIFS('Invoice Lines'!$E$5:$E$5059,'Invoice Lines'!$A$5:$A$5059,A98)</f>
        <v>172.54</v>
      </c>
      <c r="I98" s="10" t="n">
        <f aca="false">Regression!$B$14+Regression!$B$12*E98+Regression!$B$13*F98</f>
        <v>273.567148520686</v>
      </c>
      <c r="J98" s="10" t="n">
        <f aca="false">H98-I98</f>
        <v>-101.027148520686</v>
      </c>
    </row>
    <row r="99" customFormat="false" ht="15" hidden="false" customHeight="false" outlineLevel="0" collapsed="false">
      <c r="A99" s="9" t="s">
        <v>1210</v>
      </c>
      <c r="B99" s="9" t="n">
        <v>13468</v>
      </c>
      <c r="C99" s="9" t="s">
        <v>1906</v>
      </c>
      <c r="D99" s="11" t="n">
        <v>40513.6305555556</v>
      </c>
      <c r="E99" s="9" t="n">
        <f aca="false">COUNTIFS('Invoice Lines'!$A$5:$A$5059,A99)</f>
        <v>2</v>
      </c>
      <c r="F99" s="9" t="n">
        <f aca="false">SUMIFS('Invoice Lines'!$C$5:$C$5059,'Invoice Lines'!$A$5:$A$5059,A99)</f>
        <v>12</v>
      </c>
      <c r="G99" s="10" t="n">
        <f aca="false">AVERAGEIFS('Invoice Lines'!$D$5:$D$5059,'Invoice Lines'!$A$5:$A$5059,A99)</f>
        <v>5.7</v>
      </c>
      <c r="H99" s="10" t="n">
        <f aca="false">SUMIFS('Invoice Lines'!$E$5:$E$5059,'Invoice Lines'!$A$5:$A$5059,A99)</f>
        <v>51.4</v>
      </c>
      <c r="I99" s="10" t="n">
        <f aca="false">Regression!$B$14+Regression!$B$12*E99+Regression!$B$13*F99</f>
        <v>78.4080081471518</v>
      </c>
      <c r="J99" s="10" t="n">
        <f aca="false">H99-I99</f>
        <v>-27.0080081471518</v>
      </c>
    </row>
    <row r="100" customFormat="false" ht="15" hidden="false" customHeight="false" outlineLevel="0" collapsed="false">
      <c r="A100" s="9" t="s">
        <v>1211</v>
      </c>
      <c r="B100" s="9"/>
      <c r="C100" s="9"/>
      <c r="D100" s="11" t="n">
        <v>40513.6354166667</v>
      </c>
      <c r="E100" s="9" t="n">
        <f aca="false">COUNTIFS('Invoice Lines'!$A$5:$A$5059,A100)</f>
        <v>2</v>
      </c>
      <c r="F100" s="9" t="n">
        <f aca="false">SUMIFS('Invoice Lines'!$C$5:$C$5059,'Invoice Lines'!$A$5:$A$5059,A100)</f>
        <v>2</v>
      </c>
      <c r="G100" s="10" t="n">
        <f aca="false">AVERAGEIFS('Invoice Lines'!$D$5:$D$5059,'Invoice Lines'!$A$5:$A$5059,A100)</f>
        <v>3.35</v>
      </c>
      <c r="H100" s="10" t="n">
        <f aca="false">SUMIFS('Invoice Lines'!$E$5:$E$5059,'Invoice Lines'!$A$5:$A$5059,A100)</f>
        <v>6.7</v>
      </c>
      <c r="I100" s="10" t="n">
        <f aca="false">Regression!$B$14+Regression!$B$12*E100+Regression!$B$13*F100</f>
        <v>68.9473218833329</v>
      </c>
      <c r="J100" s="10" t="n">
        <f aca="false">H100-I100</f>
        <v>-62.2473218833329</v>
      </c>
    </row>
    <row r="101" customFormat="false" ht="15" hidden="false" customHeight="false" outlineLevel="0" collapsed="false">
      <c r="A101" s="9" t="s">
        <v>1212</v>
      </c>
      <c r="B101" s="9" t="n">
        <v>16928</v>
      </c>
      <c r="C101" s="9" t="s">
        <v>1906</v>
      </c>
      <c r="D101" s="11" t="n">
        <v>40513.6395833333</v>
      </c>
      <c r="E101" s="9" t="n">
        <f aca="false">COUNTIFS('Invoice Lines'!$A$5:$A$5059,A101)</f>
        <v>6</v>
      </c>
      <c r="F101" s="9" t="n">
        <f aca="false">SUMIFS('Invoice Lines'!$C$5:$C$5059,'Invoice Lines'!$A$5:$A$5059,A101)</f>
        <v>93</v>
      </c>
      <c r="G101" s="10" t="n">
        <f aca="false">AVERAGEIFS('Invoice Lines'!$D$5:$D$5059,'Invoice Lines'!$A$5:$A$5059,A101)</f>
        <v>1.25</v>
      </c>
      <c r="H101" s="10" t="n">
        <f aca="false">SUMIFS('Invoice Lines'!$E$5:$E$5059,'Invoice Lines'!$A$5:$A$5059,A101)</f>
        <v>116.25</v>
      </c>
      <c r="I101" s="10" t="n">
        <f aca="false">Regression!$B$14+Regression!$B$12*E101+Regression!$B$13*F101</f>
        <v>183.845647191002</v>
      </c>
      <c r="J101" s="10" t="n">
        <f aca="false">H101-I101</f>
        <v>-67.5956471910019</v>
      </c>
    </row>
    <row r="102" customFormat="false" ht="15" hidden="false" customHeight="false" outlineLevel="0" collapsed="false">
      <c r="A102" s="9" t="s">
        <v>1214</v>
      </c>
      <c r="B102" s="9" t="n">
        <v>16048</v>
      </c>
      <c r="C102" s="9" t="s">
        <v>1906</v>
      </c>
      <c r="D102" s="11" t="n">
        <v>40513.64375</v>
      </c>
      <c r="E102" s="9" t="n">
        <f aca="false">COUNTIFS('Invoice Lines'!$A$5:$A$5059,A102)</f>
        <v>7</v>
      </c>
      <c r="F102" s="9" t="n">
        <f aca="false">SUMIFS('Invoice Lines'!$C$5:$C$5059,'Invoice Lines'!$A$5:$A$5059,A102)</f>
        <v>132</v>
      </c>
      <c r="G102" s="10" t="n">
        <f aca="false">AVERAGEIFS('Invoice Lines'!$D$5:$D$5059,'Invoice Lines'!$A$5:$A$5059,A102)</f>
        <v>1.79285714285714</v>
      </c>
      <c r="H102" s="10" t="n">
        <f aca="false">SUMIFS('Invoice Lines'!$E$5:$E$5059,'Invoice Lines'!$A$5:$A$5059,A102)</f>
        <v>251.4</v>
      </c>
      <c r="I102" s="10" t="n">
        <f aca="false">Regression!$B$14+Regression!$B$12*E102+Regression!$B$13*F102</f>
        <v>227.943843696625</v>
      </c>
      <c r="J102" s="10" t="n">
        <f aca="false">H102-I102</f>
        <v>23.4561563033752</v>
      </c>
    </row>
    <row r="103" customFormat="false" ht="15" hidden="false" customHeight="false" outlineLevel="0" collapsed="false">
      <c r="A103" s="9" t="s">
        <v>1215</v>
      </c>
      <c r="B103" s="9" t="n">
        <v>16048</v>
      </c>
      <c r="C103" s="9" t="s">
        <v>1906</v>
      </c>
      <c r="D103" s="11" t="n">
        <v>40513.6444444444</v>
      </c>
      <c r="E103" s="9" t="n">
        <f aca="false">COUNTIFS('Invoice Lines'!$A$5:$A$5059,A103)</f>
        <v>1</v>
      </c>
      <c r="F103" s="9" t="n">
        <f aca="false">SUMIFS('Invoice Lines'!$C$5:$C$5059,'Invoice Lines'!$A$5:$A$5059,A103)</f>
        <v>12</v>
      </c>
      <c r="G103" s="10" t="n">
        <f aca="false">AVERAGEIFS('Invoice Lines'!$D$5:$D$5059,'Invoice Lines'!$A$5:$A$5059,A103)</f>
        <v>0.42</v>
      </c>
      <c r="H103" s="10" t="n">
        <f aca="false">SUMIFS('Invoice Lines'!$E$5:$E$5059,'Invoice Lines'!$A$5:$A$5059,A103)</f>
        <v>5.04</v>
      </c>
      <c r="I103" s="10" t="n">
        <f aca="false">Regression!$B$14+Regression!$B$12*E103+Regression!$B$13*F103</f>
        <v>71.2064880704225</v>
      </c>
      <c r="J103" s="10" t="n">
        <f aca="false">H103-I103</f>
        <v>-66.1664880704225</v>
      </c>
    </row>
    <row r="104" customFormat="false" ht="15" hidden="false" customHeight="false" outlineLevel="0" collapsed="false">
      <c r="A104" s="9" t="s">
        <v>1216</v>
      </c>
      <c r="B104" s="9" t="n">
        <v>16274</v>
      </c>
      <c r="C104" s="9" t="s">
        <v>1906</v>
      </c>
      <c r="D104" s="11" t="n">
        <v>40513.6493055556</v>
      </c>
      <c r="E104" s="9" t="n">
        <f aca="false">COUNTIFS('Invoice Lines'!$A$5:$A$5059,A104)</f>
        <v>63</v>
      </c>
      <c r="F104" s="9" t="n">
        <f aca="false">SUMIFS('Invoice Lines'!$C$5:$C$5059,'Invoice Lines'!$A$5:$A$5059,A104)</f>
        <v>151</v>
      </c>
      <c r="G104" s="10" t="n">
        <f aca="false">AVERAGEIFS('Invoice Lines'!$D$5:$D$5059,'Invoice Lines'!$A$5:$A$5059,A104)</f>
        <v>4.13015873015873</v>
      </c>
      <c r="H104" s="10" t="n">
        <f aca="false">SUMIFS('Invoice Lines'!$E$5:$E$5059,'Invoice Lines'!$A$5:$A$5059,A104)</f>
        <v>331.55</v>
      </c>
      <c r="I104" s="10" t="n">
        <f aca="false">Regression!$B$14+Regression!$B$12*E104+Regression!$B$13*F104</f>
        <v>649.204271894721</v>
      </c>
      <c r="J104" s="10" t="n">
        <f aca="false">H104-I104</f>
        <v>-317.654271894721</v>
      </c>
    </row>
    <row r="105" customFormat="false" ht="15" hidden="false" customHeight="false" outlineLevel="0" collapsed="false">
      <c r="A105" s="9" t="s">
        <v>1238</v>
      </c>
      <c r="B105" s="9" t="n">
        <v>14496</v>
      </c>
      <c r="C105" s="9" t="s">
        <v>1906</v>
      </c>
      <c r="D105" s="11" t="n">
        <v>40513.6493055556</v>
      </c>
      <c r="E105" s="9" t="n">
        <f aca="false">COUNTIFS('Invoice Lines'!$A$5:$A$5059,A105)</f>
        <v>5</v>
      </c>
      <c r="F105" s="9" t="n">
        <f aca="false">SUMIFS('Invoice Lines'!$C$5:$C$5059,'Invoice Lines'!$A$5:$A$5059,A105)</f>
        <v>86</v>
      </c>
      <c r="G105" s="10" t="n">
        <f aca="false">AVERAGEIFS('Invoice Lines'!$D$5:$D$5059,'Invoice Lines'!$A$5:$A$5059,A105)</f>
        <v>5.358</v>
      </c>
      <c r="H105" s="10" t="n">
        <f aca="false">SUMIFS('Invoice Lines'!$E$5:$E$5059,'Invoice Lines'!$A$5:$A$5059,A105)</f>
        <v>304.34</v>
      </c>
      <c r="I105" s="10" t="n">
        <f aca="false">Regression!$B$14+Regression!$B$12*E105+Regression!$B$13*F105</f>
        <v>170.021646729599</v>
      </c>
      <c r="J105" s="10" t="n">
        <f aca="false">H105-I105</f>
        <v>134.318353270401</v>
      </c>
    </row>
    <row r="106" customFormat="false" ht="15" hidden="false" customHeight="false" outlineLevel="0" collapsed="false">
      <c r="A106" s="9" t="s">
        <v>1240</v>
      </c>
      <c r="B106" s="9" t="n">
        <v>14696</v>
      </c>
      <c r="C106" s="9" t="s">
        <v>1906</v>
      </c>
      <c r="D106" s="11" t="n">
        <v>40513.6506944444</v>
      </c>
      <c r="E106" s="9" t="n">
        <f aca="false">COUNTIFS('Invoice Lines'!$A$5:$A$5059,A106)</f>
        <v>18</v>
      </c>
      <c r="F106" s="9" t="n">
        <f aca="false">SUMIFS('Invoice Lines'!$C$5:$C$5059,'Invoice Lines'!$A$5:$A$5059,A106)</f>
        <v>284</v>
      </c>
      <c r="G106" s="10" t="n">
        <f aca="false">AVERAGEIFS('Invoice Lines'!$D$5:$D$5059,'Invoice Lines'!$A$5:$A$5059,A106)</f>
        <v>2.32166666666667</v>
      </c>
      <c r="H106" s="10" t="n">
        <f aca="false">SUMIFS('Invoice Lines'!$E$5:$E$5059,'Invoice Lines'!$A$5:$A$5059,A106)</f>
        <v>294.62</v>
      </c>
      <c r="I106" s="10" t="n">
        <f aca="false">Regression!$B$14+Regression!$B$12*E106+Regression!$B$13*F106</f>
        <v>450.962995750694</v>
      </c>
      <c r="J106" s="10" t="n">
        <f aca="false">H106-I106</f>
        <v>-156.342995750694</v>
      </c>
    </row>
    <row r="107" customFormat="false" ht="15" hidden="false" customHeight="false" outlineLevel="0" collapsed="false">
      <c r="A107" s="9" t="s">
        <v>1247</v>
      </c>
      <c r="B107" s="9" t="n">
        <v>16539</v>
      </c>
      <c r="C107" s="9" t="s">
        <v>1906</v>
      </c>
      <c r="D107" s="11" t="n">
        <v>40513.6527777778</v>
      </c>
      <c r="E107" s="9" t="n">
        <f aca="false">COUNTIFS('Invoice Lines'!$A$5:$A$5059,A107)</f>
        <v>21</v>
      </c>
      <c r="F107" s="9" t="n">
        <f aca="false">SUMIFS('Invoice Lines'!$C$5:$C$5059,'Invoice Lines'!$A$5:$A$5059,A107)</f>
        <v>301</v>
      </c>
      <c r="G107" s="10" t="n">
        <f aca="false">AVERAGEIFS('Invoice Lines'!$D$5:$D$5059,'Invoice Lines'!$A$5:$A$5059,A107)</f>
        <v>2.40714285714286</v>
      </c>
      <c r="H107" s="10" t="n">
        <f aca="false">SUMIFS('Invoice Lines'!$E$5:$E$5059,'Invoice Lines'!$A$5:$A$5059,A107)</f>
        <v>442.35</v>
      </c>
      <c r="I107" s="10" t="n">
        <f aca="false">Regression!$B$14+Regression!$B$12*E107+Regression!$B$13*F107</f>
        <v>488.650722629374</v>
      </c>
      <c r="J107" s="10" t="n">
        <f aca="false">H107-I107</f>
        <v>-46.3007226293742</v>
      </c>
    </row>
    <row r="108" customFormat="false" ht="15" hidden="false" customHeight="false" outlineLevel="0" collapsed="false">
      <c r="A108" s="9" t="s">
        <v>1250</v>
      </c>
      <c r="B108" s="9" t="n">
        <v>17025</v>
      </c>
      <c r="C108" s="9" t="s">
        <v>1906</v>
      </c>
      <c r="D108" s="11" t="n">
        <v>40513.65625</v>
      </c>
      <c r="E108" s="9" t="n">
        <f aca="false">COUNTIFS('Invoice Lines'!$A$5:$A$5059,A108)</f>
        <v>4</v>
      </c>
      <c r="F108" s="9" t="n">
        <f aca="false">SUMIFS('Invoice Lines'!$C$5:$C$5059,'Invoice Lines'!$A$5:$A$5059,A108)</f>
        <v>136</v>
      </c>
      <c r="G108" s="10" t="n">
        <f aca="false">AVERAGEIFS('Invoice Lines'!$D$5:$D$5059,'Invoice Lines'!$A$5:$A$5059,A108)</f>
        <v>0.9775</v>
      </c>
      <c r="H108" s="10" t="n">
        <f aca="false">SUMIFS('Invoice Lines'!$E$5:$E$5059,'Invoice Lines'!$A$5:$A$5059,A108)</f>
        <v>143.12</v>
      </c>
      <c r="I108" s="10" t="n">
        <f aca="false">Regression!$B$14+Regression!$B$12*E108+Regression!$B$13*F108</f>
        <v>210.123557971965</v>
      </c>
      <c r="J108" s="10" t="n">
        <f aca="false">H108-I108</f>
        <v>-67.0035579719645</v>
      </c>
    </row>
    <row r="109" customFormat="false" ht="15" hidden="false" customHeight="false" outlineLevel="0" collapsed="false">
      <c r="A109" s="9" t="s">
        <v>1251</v>
      </c>
      <c r="B109" s="9" t="n">
        <v>17025</v>
      </c>
      <c r="C109" s="9" t="s">
        <v>1906</v>
      </c>
      <c r="D109" s="11" t="n">
        <v>40513.6569444445</v>
      </c>
      <c r="E109" s="9" t="n">
        <f aca="false">COUNTIFS('Invoice Lines'!$A$5:$A$5059,A109)</f>
        <v>1</v>
      </c>
      <c r="F109" s="9" t="n">
        <f aca="false">SUMIFS('Invoice Lines'!$C$5:$C$5059,'Invoice Lines'!$A$5:$A$5059,A109)</f>
        <v>3</v>
      </c>
      <c r="G109" s="10" t="n">
        <f aca="false">AVERAGEIFS('Invoice Lines'!$D$5:$D$5059,'Invoice Lines'!$A$5:$A$5059,A109)</f>
        <v>5.95</v>
      </c>
      <c r="H109" s="10" t="n">
        <f aca="false">SUMIFS('Invoice Lines'!$E$5:$E$5059,'Invoice Lines'!$A$5:$A$5059,A109)</f>
        <v>17.85</v>
      </c>
      <c r="I109" s="10" t="n">
        <f aca="false">Regression!$B$14+Regression!$B$12*E109+Regression!$B$13*F109</f>
        <v>62.6918704329855</v>
      </c>
      <c r="J109" s="10" t="n">
        <f aca="false">H109-I109</f>
        <v>-44.8418704329855</v>
      </c>
    </row>
    <row r="110" customFormat="false" ht="15" hidden="false" customHeight="false" outlineLevel="0" collapsed="false">
      <c r="A110" s="9" t="s">
        <v>1252</v>
      </c>
      <c r="B110" s="9" t="n">
        <v>13777</v>
      </c>
      <c r="C110" s="9" t="s">
        <v>1906</v>
      </c>
      <c r="D110" s="11" t="n">
        <v>40513.6673611111</v>
      </c>
      <c r="E110" s="9" t="n">
        <f aca="false">COUNTIFS('Invoice Lines'!$A$5:$A$5059,A110)</f>
        <v>8</v>
      </c>
      <c r="F110" s="9" t="n">
        <f aca="false">SUMIFS('Invoice Lines'!$C$5:$C$5059,'Invoice Lines'!$A$5:$A$5059,A110)</f>
        <v>858</v>
      </c>
      <c r="G110" s="10" t="n">
        <f aca="false">AVERAGEIFS('Invoice Lines'!$D$5:$D$5059,'Invoice Lines'!$A$5:$A$5059,A110)</f>
        <v>2.09875</v>
      </c>
      <c r="H110" s="10" t="n">
        <f aca="false">SUMIFS('Invoice Lines'!$E$5:$E$5059,'Invoice Lines'!$A$5:$A$5059,A110)</f>
        <v>1552.98</v>
      </c>
      <c r="I110" s="10" t="n">
        <f aca="false">Regression!$B$14+Regression!$B$12*E110+Regression!$B$13*F110</f>
        <v>921.991186526605</v>
      </c>
      <c r="J110" s="10" t="n">
        <f aca="false">H110-I110</f>
        <v>630.988813473395</v>
      </c>
    </row>
    <row r="111" customFormat="false" ht="15" hidden="false" customHeight="false" outlineLevel="0" collapsed="false">
      <c r="A111" s="9" t="s">
        <v>1255</v>
      </c>
      <c r="B111" s="9" t="n">
        <v>13777</v>
      </c>
      <c r="C111" s="9" t="s">
        <v>1906</v>
      </c>
      <c r="D111" s="11" t="n">
        <v>40513.6743055556</v>
      </c>
      <c r="E111" s="9" t="n">
        <f aca="false">COUNTIFS('Invoice Lines'!$A$5:$A$5059,A111)</f>
        <v>16</v>
      </c>
      <c r="F111" s="9" t="n">
        <f aca="false">SUMIFS('Invoice Lines'!$C$5:$C$5059,'Invoice Lines'!$A$5:$A$5059,A111)</f>
        <v>1122</v>
      </c>
      <c r="G111" s="10" t="n">
        <f aca="false">AVERAGEIFS('Invoice Lines'!$D$5:$D$5059,'Invoice Lines'!$A$5:$A$5059,A111)</f>
        <v>2.30625</v>
      </c>
      <c r="H111" s="10" t="n">
        <f aca="false">SUMIFS('Invoice Lines'!$E$5:$E$5059,'Invoice Lines'!$A$5:$A$5059,A111)</f>
        <v>2558.42</v>
      </c>
      <c r="I111" s="10" t="n">
        <f aca="false">Regression!$B$14+Regression!$B$12*E111+Regression!$B$13*F111</f>
        <v>1229.36546450526</v>
      </c>
      <c r="J111" s="10" t="n">
        <f aca="false">H111-I111</f>
        <v>1329.05453549474</v>
      </c>
    </row>
    <row r="112" customFormat="false" ht="15" hidden="false" customHeight="false" outlineLevel="0" collapsed="false">
      <c r="A112" s="9" t="s">
        <v>1259</v>
      </c>
      <c r="B112" s="9" t="n">
        <v>13777</v>
      </c>
      <c r="C112" s="9" t="s">
        <v>1906</v>
      </c>
      <c r="D112" s="11" t="n">
        <v>40513.6756944444</v>
      </c>
      <c r="E112" s="9" t="n">
        <f aca="false">COUNTIFS('Invoice Lines'!$A$5:$A$5059,A112)</f>
        <v>4</v>
      </c>
      <c r="F112" s="9" t="n">
        <f aca="false">SUMIFS('Invoice Lines'!$C$5:$C$5059,'Invoice Lines'!$A$5:$A$5059,A112)</f>
        <v>388</v>
      </c>
      <c r="G112" s="10" t="n">
        <f aca="false">AVERAGEIFS('Invoice Lines'!$D$5:$D$5059,'Invoice Lines'!$A$5:$A$5059,A112)</f>
        <v>1.3</v>
      </c>
      <c r="H112" s="10" t="n">
        <f aca="false">SUMIFS('Invoice Lines'!$E$5:$E$5059,'Invoice Lines'!$A$5:$A$5059,A112)</f>
        <v>497</v>
      </c>
      <c r="I112" s="10" t="n">
        <f aca="false">Regression!$B$14+Regression!$B$12*E112+Regression!$B$13*F112</f>
        <v>448.5328518202</v>
      </c>
      <c r="J112" s="10" t="n">
        <f aca="false">H112-I112</f>
        <v>48.4671481797996</v>
      </c>
    </row>
    <row r="113" customFormat="false" ht="15" hidden="false" customHeight="false" outlineLevel="0" collapsed="false">
      <c r="A113" s="9" t="s">
        <v>1260</v>
      </c>
      <c r="B113" s="9" t="n">
        <v>17690</v>
      </c>
      <c r="C113" s="9" t="s">
        <v>1906</v>
      </c>
      <c r="D113" s="11" t="n">
        <v>40513.6770833333</v>
      </c>
      <c r="E113" s="9" t="n">
        <f aca="false">COUNTIFS('Invoice Lines'!$A$5:$A$5059,A113)</f>
        <v>8</v>
      </c>
      <c r="F113" s="9" t="n">
        <f aca="false">SUMIFS('Invoice Lines'!$C$5:$C$5059,'Invoice Lines'!$A$5:$A$5059,A113)</f>
        <v>104</v>
      </c>
      <c r="G113" s="10" t="n">
        <f aca="false">AVERAGEIFS('Invoice Lines'!$D$5:$D$5059,'Invoice Lines'!$A$5:$A$5059,A113)</f>
        <v>3.20625</v>
      </c>
      <c r="H113" s="10" t="n">
        <f aca="false">SUMIFS('Invoice Lines'!$E$5:$E$5059,'Invoice Lines'!$A$5:$A$5059,A113)</f>
        <v>279.6</v>
      </c>
      <c r="I113" s="10" t="n">
        <f aca="false">Regression!$B$14+Regression!$B$12*E113+Regression!$B$13*F113</f>
        <v>208.655442234661</v>
      </c>
      <c r="J113" s="10" t="n">
        <f aca="false">H113-I113</f>
        <v>70.9445577653387</v>
      </c>
    </row>
    <row r="114" customFormat="false" ht="15" hidden="false" customHeight="false" outlineLevel="0" collapsed="false">
      <c r="A114" s="9" t="s">
        <v>1261</v>
      </c>
      <c r="B114" s="9" t="n">
        <v>13777</v>
      </c>
      <c r="C114" s="9" t="s">
        <v>1906</v>
      </c>
      <c r="D114" s="11" t="n">
        <v>40513.6777777778</v>
      </c>
      <c r="E114" s="9" t="n">
        <f aca="false">COUNTIFS('Invoice Lines'!$A$5:$A$5059,A114)</f>
        <v>2</v>
      </c>
      <c r="F114" s="9" t="n">
        <f aca="false">SUMIFS('Invoice Lines'!$C$5:$C$5059,'Invoice Lines'!$A$5:$A$5059,A114)</f>
        <v>276</v>
      </c>
      <c r="G114" s="10" t="n">
        <f aca="false">AVERAGEIFS('Invoice Lines'!$D$5:$D$5059,'Invoice Lines'!$A$5:$A$5059,A114)</f>
        <v>1.255</v>
      </c>
      <c r="H114" s="10" t="n">
        <f aca="false">SUMIFS('Invoice Lines'!$E$5:$E$5059,'Invoice Lines'!$A$5:$A$5059,A114)</f>
        <v>315.96</v>
      </c>
      <c r="I114" s="10" t="n">
        <f aca="false">Regression!$B$14+Regression!$B$12*E114+Regression!$B$13*F114</f>
        <v>328.17012551197</v>
      </c>
      <c r="J114" s="10" t="n">
        <f aca="false">H114-I114</f>
        <v>-12.2101255119702</v>
      </c>
    </row>
    <row r="115" customFormat="false" ht="15" hidden="false" customHeight="false" outlineLevel="0" collapsed="false">
      <c r="A115" s="9" t="s">
        <v>1262</v>
      </c>
      <c r="B115" s="9" t="n">
        <v>17690</v>
      </c>
      <c r="C115" s="9" t="s">
        <v>1906</v>
      </c>
      <c r="D115" s="11" t="n">
        <v>40513.6784722222</v>
      </c>
      <c r="E115" s="9" t="n">
        <f aca="false">COUNTIFS('Invoice Lines'!$A$5:$A$5059,A115)</f>
        <v>6</v>
      </c>
      <c r="F115" s="9" t="n">
        <f aca="false">SUMIFS('Invoice Lines'!$C$5:$C$5059,'Invoice Lines'!$A$5:$A$5059,A115)</f>
        <v>66</v>
      </c>
      <c r="G115" s="10" t="n">
        <f aca="false">AVERAGEIFS('Invoice Lines'!$D$5:$D$5059,'Invoice Lines'!$A$5:$A$5059,A115)</f>
        <v>1.525</v>
      </c>
      <c r="H115" s="10" t="n">
        <f aca="false">SUMIFS('Invoice Lines'!$E$5:$E$5059,'Invoice Lines'!$A$5:$A$5059,A115)</f>
        <v>97.2</v>
      </c>
      <c r="I115" s="10" t="n">
        <f aca="false">Regression!$B$14+Regression!$B$12*E115+Regression!$B$13*F115</f>
        <v>158.301794278691</v>
      </c>
      <c r="J115" s="10" t="n">
        <f aca="false">H115-I115</f>
        <v>-61.101794278691</v>
      </c>
    </row>
    <row r="116" customFormat="false" ht="15" hidden="false" customHeight="false" outlineLevel="0" collapsed="false">
      <c r="A116" s="9" t="s">
        <v>1264</v>
      </c>
      <c r="B116" s="9" t="n">
        <v>13777</v>
      </c>
      <c r="C116" s="9" t="s">
        <v>1906</v>
      </c>
      <c r="D116" s="11" t="n">
        <v>40513.6798611111</v>
      </c>
      <c r="E116" s="9" t="n">
        <f aca="false">COUNTIFS('Invoice Lines'!$A$5:$A$5059,A116)</f>
        <v>1</v>
      </c>
      <c r="F116" s="9" t="n">
        <f aca="false">SUMIFS('Invoice Lines'!$C$5:$C$5059,'Invoice Lines'!$A$5:$A$5059,A116)</f>
        <v>200</v>
      </c>
      <c r="G116" s="10" t="n">
        <f aca="false">AVERAGEIFS('Invoice Lines'!$D$5:$D$5059,'Invoice Lines'!$A$5:$A$5059,A116)</f>
        <v>1.65</v>
      </c>
      <c r="H116" s="10" t="n">
        <f aca="false">SUMIFS('Invoice Lines'!$E$5:$E$5059,'Invoice Lines'!$A$5:$A$5059,A116)</f>
        <v>330</v>
      </c>
      <c r="I116" s="10" t="n">
        <f aca="false">Regression!$B$14+Regression!$B$12*E116+Regression!$B$13*F116</f>
        <v>249.067389830218</v>
      </c>
      <c r="J116" s="10" t="n">
        <f aca="false">H116-I116</f>
        <v>80.9326101697825</v>
      </c>
    </row>
    <row r="117" customFormat="false" ht="15" hidden="false" customHeight="false" outlineLevel="0" collapsed="false">
      <c r="A117" s="9" t="s">
        <v>1265</v>
      </c>
      <c r="B117" s="9" t="n">
        <v>12947</v>
      </c>
      <c r="C117" s="9" t="s">
        <v>1906</v>
      </c>
      <c r="D117" s="11" t="n">
        <v>40513.68125</v>
      </c>
      <c r="E117" s="9" t="n">
        <f aca="false">COUNTIFS('Invoice Lines'!$A$5:$A$5059,A117)</f>
        <v>17</v>
      </c>
      <c r="F117" s="9" t="n">
        <f aca="false">SUMIFS('Invoice Lines'!$C$5:$C$5059,'Invoice Lines'!$A$5:$A$5059,A117)</f>
        <v>184</v>
      </c>
      <c r="G117" s="10" t="n">
        <f aca="false">AVERAGEIFS('Invoice Lines'!$D$5:$D$5059,'Invoice Lines'!$A$5:$A$5059,A117)</f>
        <v>2.96058823529412</v>
      </c>
      <c r="H117" s="10" t="n">
        <f aca="false">SUMIFS('Invoice Lines'!$E$5:$E$5059,'Invoice Lines'!$A$5:$A$5059,A117)</f>
        <v>304.04</v>
      </c>
      <c r="I117" s="10" t="n">
        <f aca="false">Regression!$B$14+Regression!$B$12*E117+Regression!$B$13*F117</f>
        <v>349.154613035776</v>
      </c>
      <c r="J117" s="10" t="n">
        <f aca="false">H117-I117</f>
        <v>-45.114613035776</v>
      </c>
    </row>
    <row r="118" customFormat="false" ht="15" hidden="false" customHeight="false" outlineLevel="0" collapsed="false">
      <c r="A118" s="9" t="s">
        <v>1269</v>
      </c>
      <c r="B118" s="9" t="n">
        <v>13777</v>
      </c>
      <c r="C118" s="9" t="s">
        <v>1906</v>
      </c>
      <c r="D118" s="11" t="n">
        <v>40513.68125</v>
      </c>
      <c r="E118" s="9" t="n">
        <f aca="false">COUNTIFS('Invoice Lines'!$A$5:$A$5059,A118)</f>
        <v>1</v>
      </c>
      <c r="F118" s="9" t="n">
        <f aca="false">SUMIFS('Invoice Lines'!$C$5:$C$5059,'Invoice Lines'!$A$5:$A$5059,A118)</f>
        <v>120</v>
      </c>
      <c r="G118" s="10" t="n">
        <f aca="false">AVERAGEIFS('Invoice Lines'!$D$5:$D$5059,'Invoice Lines'!$A$5:$A$5059,A118)</f>
        <v>1.65</v>
      </c>
      <c r="H118" s="10" t="n">
        <f aca="false">SUMIFS('Invoice Lines'!$E$5:$E$5059,'Invoice Lines'!$A$5:$A$5059,A118)</f>
        <v>198</v>
      </c>
      <c r="I118" s="10" t="n">
        <f aca="false">Regression!$B$14+Regression!$B$12*E118+Regression!$B$13*F118</f>
        <v>173.381899719666</v>
      </c>
      <c r="J118" s="10" t="n">
        <f aca="false">H118-I118</f>
        <v>24.6181002803336</v>
      </c>
    </row>
    <row r="119" customFormat="false" ht="15" hidden="false" customHeight="false" outlineLevel="0" collapsed="false">
      <c r="A119" s="9" t="s">
        <v>1270</v>
      </c>
      <c r="B119" s="9" t="n">
        <v>13777</v>
      </c>
      <c r="C119" s="9" t="s">
        <v>1906</v>
      </c>
      <c r="D119" s="11" t="n">
        <v>40513.6819444444</v>
      </c>
      <c r="E119" s="9" t="n">
        <f aca="false">COUNTIFS('Invoice Lines'!$A$5:$A$5059,A119)</f>
        <v>1</v>
      </c>
      <c r="F119" s="9" t="n">
        <f aca="false">SUMIFS('Invoice Lines'!$C$5:$C$5059,'Invoice Lines'!$A$5:$A$5059,A119)</f>
        <v>384</v>
      </c>
      <c r="G119" s="10" t="n">
        <f aca="false">AVERAGEIFS('Invoice Lines'!$D$5:$D$5059,'Invoice Lines'!$A$5:$A$5059,A119)</f>
        <v>2.95</v>
      </c>
      <c r="H119" s="10" t="n">
        <f aca="false">SUMIFS('Invoice Lines'!$E$5:$E$5059,'Invoice Lines'!$A$5:$A$5059,A119)</f>
        <v>1132.8</v>
      </c>
      <c r="I119" s="10" t="n">
        <f aca="false">Regression!$B$14+Regression!$B$12*E119+Regression!$B$13*F119</f>
        <v>423.144017084485</v>
      </c>
      <c r="J119" s="10" t="n">
        <f aca="false">H119-I119</f>
        <v>709.655982915515</v>
      </c>
    </row>
    <row r="120" customFormat="false" ht="15" hidden="false" customHeight="false" outlineLevel="0" collapsed="false">
      <c r="A120" s="9" t="s">
        <v>1271</v>
      </c>
      <c r="B120" s="9" t="n">
        <v>17460</v>
      </c>
      <c r="C120" s="9" t="s">
        <v>1906</v>
      </c>
      <c r="D120" s="11" t="n">
        <v>40513.6833333333</v>
      </c>
      <c r="E120" s="9" t="n">
        <f aca="false">COUNTIFS('Invoice Lines'!$A$5:$A$5059,A120)</f>
        <v>1</v>
      </c>
      <c r="F120" s="9" t="n">
        <f aca="false">SUMIFS('Invoice Lines'!$C$5:$C$5059,'Invoice Lines'!$A$5:$A$5059,A120)</f>
        <v>2</v>
      </c>
      <c r="G120" s="10" t="n">
        <f aca="false">AVERAGEIFS('Invoice Lines'!$D$5:$D$5059,'Invoice Lines'!$A$5:$A$5059,A120)</f>
        <v>9.95</v>
      </c>
      <c r="H120" s="10" t="n">
        <f aca="false">SUMIFS('Invoice Lines'!$E$5:$E$5059,'Invoice Lines'!$A$5:$A$5059,A120)</f>
        <v>19.9</v>
      </c>
      <c r="I120" s="10" t="n">
        <f aca="false">Regression!$B$14+Regression!$B$12*E120+Regression!$B$13*F120</f>
        <v>61.7458018066036</v>
      </c>
      <c r="J120" s="10" t="n">
        <f aca="false">H120-I120</f>
        <v>-41.8458018066036</v>
      </c>
    </row>
    <row r="121" customFormat="false" ht="15" hidden="false" customHeight="false" outlineLevel="0" collapsed="false">
      <c r="A121" s="9" t="s">
        <v>1272</v>
      </c>
      <c r="B121" s="9" t="n">
        <v>18229</v>
      </c>
      <c r="C121" s="9" t="s">
        <v>1906</v>
      </c>
      <c r="D121" s="11" t="n">
        <v>40513.6840277778</v>
      </c>
      <c r="E121" s="9" t="n">
        <f aca="false">COUNTIFS('Invoice Lines'!$A$5:$A$5059,A121)</f>
        <v>7</v>
      </c>
      <c r="F121" s="9" t="n">
        <f aca="false">SUMIFS('Invoice Lines'!$C$5:$C$5059,'Invoice Lines'!$A$5:$A$5059,A121)</f>
        <v>44</v>
      </c>
      <c r="G121" s="10" t="n">
        <f aca="false">AVERAGEIFS('Invoice Lines'!$D$5:$D$5059,'Invoice Lines'!$A$5:$A$5059,A121)</f>
        <v>6.95</v>
      </c>
      <c r="H121" s="10" t="n">
        <f aca="false">SUMIFS('Invoice Lines'!$E$5:$E$5059,'Invoice Lines'!$A$5:$A$5059,A121)</f>
        <v>344.2</v>
      </c>
      <c r="I121" s="10" t="n">
        <f aca="false">Regression!$B$14+Regression!$B$12*E121+Regression!$B$13*F121</f>
        <v>144.689804575019</v>
      </c>
      <c r="J121" s="10" t="n">
        <f aca="false">H121-I121</f>
        <v>199.510195424981</v>
      </c>
    </row>
    <row r="122" customFormat="false" ht="15" hidden="false" customHeight="false" outlineLevel="0" collapsed="false">
      <c r="A122" s="9" t="s">
        <v>1274</v>
      </c>
      <c r="B122" s="9" t="n">
        <v>14142</v>
      </c>
      <c r="C122" s="9" t="s">
        <v>1906</v>
      </c>
      <c r="D122" s="11" t="n">
        <v>40513.6895833333</v>
      </c>
      <c r="E122" s="9" t="n">
        <f aca="false">COUNTIFS('Invoice Lines'!$A$5:$A$5059,A122)</f>
        <v>22</v>
      </c>
      <c r="F122" s="9" t="n">
        <f aca="false">SUMIFS('Invoice Lines'!$C$5:$C$5059,'Invoice Lines'!$A$5:$A$5059,A122)</f>
        <v>313</v>
      </c>
      <c r="G122" s="10" t="n">
        <f aca="false">AVERAGEIFS('Invoice Lines'!$D$5:$D$5059,'Invoice Lines'!$A$5:$A$5059,A122)</f>
        <v>1.77045454545455</v>
      </c>
      <c r="H122" s="10" t="n">
        <f aca="false">SUMIFS('Invoice Lines'!$E$5:$E$5059,'Invoice Lines'!$A$5:$A$5059,A122)</f>
        <v>311.81</v>
      </c>
      <c r="I122" s="10" t="n">
        <f aca="false">Regression!$B$14+Regression!$B$12*E122+Regression!$B$13*F122</f>
        <v>507.205066222686</v>
      </c>
      <c r="J122" s="10" t="n">
        <f aca="false">H122-I122</f>
        <v>-195.395066222686</v>
      </c>
    </row>
    <row r="123" customFormat="false" ht="15" hidden="false" customHeight="false" outlineLevel="0" collapsed="false">
      <c r="A123" s="9" t="s">
        <v>1277</v>
      </c>
      <c r="B123" s="9" t="n">
        <v>17069</v>
      </c>
      <c r="C123" s="9" t="s">
        <v>1906</v>
      </c>
      <c r="D123" s="11" t="n">
        <v>40513.7006944444</v>
      </c>
      <c r="E123" s="9" t="n">
        <f aca="false">COUNTIFS('Invoice Lines'!$A$5:$A$5059,A123)</f>
        <v>11</v>
      </c>
      <c r="F123" s="9" t="n">
        <f aca="false">SUMIFS('Invoice Lines'!$C$5:$C$5059,'Invoice Lines'!$A$5:$A$5059,A123)</f>
        <v>103</v>
      </c>
      <c r="G123" s="10" t="n">
        <f aca="false">AVERAGEIFS('Invoice Lines'!$D$5:$D$5059,'Invoice Lines'!$A$5:$A$5059,A123)</f>
        <v>3.29545454545455</v>
      </c>
      <c r="H123" s="10" t="n">
        <f aca="false">SUMIFS('Invoice Lines'!$E$5:$E$5059,'Invoice Lines'!$A$5:$A$5059,A123)</f>
        <v>277.05</v>
      </c>
      <c r="I123" s="10" t="n">
        <f aca="false">Regression!$B$14+Regression!$B$12*E123+Regression!$B$13*F123</f>
        <v>229.313933838467</v>
      </c>
      <c r="J123" s="10" t="n">
        <f aca="false">H123-I123</f>
        <v>47.7360661615327</v>
      </c>
    </row>
    <row r="124" customFormat="false" ht="15" hidden="false" customHeight="false" outlineLevel="0" collapsed="false">
      <c r="A124" s="9" t="s">
        <v>1279</v>
      </c>
      <c r="B124" s="9" t="n">
        <v>13065</v>
      </c>
      <c r="C124" s="9" t="s">
        <v>1906</v>
      </c>
      <c r="D124" s="11" t="n">
        <v>40513.7027777778</v>
      </c>
      <c r="E124" s="9" t="n">
        <f aca="false">COUNTIFS('Invoice Lines'!$A$5:$A$5059,A124)</f>
        <v>14</v>
      </c>
      <c r="F124" s="9" t="n">
        <f aca="false">SUMIFS('Invoice Lines'!$C$5:$C$5059,'Invoice Lines'!$A$5:$A$5059,A124)</f>
        <v>74</v>
      </c>
      <c r="G124" s="10" t="n">
        <f aca="false">AVERAGEIFS('Invoice Lines'!$D$5:$D$5059,'Invoice Lines'!$A$5:$A$5059,A124)</f>
        <v>5.22214285714286</v>
      </c>
      <c r="H124" s="10" t="n">
        <f aca="false">SUMIFS('Invoice Lines'!$E$5:$E$5059,'Invoice Lines'!$A$5:$A$5059,A124)</f>
        <v>205.86</v>
      </c>
      <c r="I124" s="10" t="n">
        <f aca="false">Regression!$B$14+Regression!$B$12*E124+Regression!$B$13*F124</f>
        <v>223.48250390358</v>
      </c>
      <c r="J124" s="10" t="n">
        <f aca="false">H124-I124</f>
        <v>-17.6225039035804</v>
      </c>
    </row>
    <row r="125" customFormat="false" ht="15" hidden="false" customHeight="false" outlineLevel="0" collapsed="false">
      <c r="A125" s="9" t="s">
        <v>1283</v>
      </c>
      <c r="B125" s="9" t="n">
        <v>14606</v>
      </c>
      <c r="C125" s="9" t="s">
        <v>1906</v>
      </c>
      <c r="D125" s="11" t="n">
        <v>40513.70625</v>
      </c>
      <c r="E125" s="9" t="n">
        <f aca="false">COUNTIFS('Invoice Lines'!$A$5:$A$5059,A125)</f>
        <v>40</v>
      </c>
      <c r="F125" s="9" t="n">
        <f aca="false">SUMIFS('Invoice Lines'!$C$5:$C$5059,'Invoice Lines'!$A$5:$A$5059,A125)</f>
        <v>93</v>
      </c>
      <c r="G125" s="10" t="n">
        <f aca="false">AVERAGEIFS('Invoice Lines'!$D$5:$D$5059,'Invoice Lines'!$A$5:$A$5059,A125)</f>
        <v>2.94875</v>
      </c>
      <c r="H125" s="10" t="n">
        <f aca="false">SUMIFS('Invoice Lines'!$E$5:$E$5059,'Invoice Lines'!$A$5:$A$5059,A125)</f>
        <v>198.32</v>
      </c>
      <c r="I125" s="10" t="n">
        <f aca="false">Regression!$B$14+Regression!$B$12*E125+Regression!$B$13*F125</f>
        <v>428.697329799798</v>
      </c>
      <c r="J125" s="10" t="n">
        <f aca="false">H125-I125</f>
        <v>-230.377329799798</v>
      </c>
    </row>
    <row r="126" customFormat="false" ht="15" hidden="false" customHeight="false" outlineLevel="0" collapsed="false">
      <c r="A126" s="9" t="s">
        <v>1298</v>
      </c>
      <c r="B126" s="9"/>
      <c r="C126" s="9"/>
      <c r="D126" s="11" t="n">
        <v>40513.7125</v>
      </c>
      <c r="E126" s="9" t="n">
        <f aca="false">COUNTIFS('Invoice Lines'!$A$5:$A$5059,A126)</f>
        <v>591</v>
      </c>
      <c r="F126" s="9" t="n">
        <f aca="false">SUMIFS('Invoice Lines'!$C$5:$C$5059,'Invoice Lines'!$A$5:$A$5059,A126)</f>
        <v>1477</v>
      </c>
      <c r="G126" s="10" t="n">
        <f aca="false">AVERAGEIFS('Invoice Lines'!$D$5:$D$5059,'Invoice Lines'!$A$5:$A$5059,A126)</f>
        <v>5.0843654822335</v>
      </c>
      <c r="H126" s="10" t="n">
        <f aca="false">SUMIFS('Invoice Lines'!$E$5:$E$5059,'Invoice Lines'!$A$5:$A$5059,A126)</f>
        <v>6308.16</v>
      </c>
      <c r="I126" s="10" t="n">
        <f aca="false">Regression!$B$14+Regression!$B$12*E126+Regression!$B$13*F126</f>
        <v>5706.09387099018</v>
      </c>
      <c r="J126" s="10" t="n">
        <f aca="false">H126-I126</f>
        <v>602.066129009825</v>
      </c>
    </row>
    <row r="127" customFormat="false" ht="15" hidden="false" customHeight="false" outlineLevel="0" collapsed="false">
      <c r="A127" s="9" t="s">
        <v>1477</v>
      </c>
      <c r="B127" s="9" t="n">
        <v>16835</v>
      </c>
      <c r="C127" s="9" t="s">
        <v>1906</v>
      </c>
      <c r="D127" s="11" t="n">
        <v>40513.71875</v>
      </c>
      <c r="E127" s="9" t="n">
        <f aca="false">COUNTIFS('Invoice Lines'!$A$5:$A$5059,A127)</f>
        <v>5</v>
      </c>
      <c r="F127" s="9" t="n">
        <f aca="false">SUMIFS('Invoice Lines'!$C$5:$C$5059,'Invoice Lines'!$A$5:$A$5059,A127)</f>
        <v>19</v>
      </c>
      <c r="G127" s="10" t="n">
        <f aca="false">AVERAGEIFS('Invoice Lines'!$D$5:$D$5059,'Invoice Lines'!$A$5:$A$5059,A127)</f>
        <v>5.34</v>
      </c>
      <c r="H127" s="10" t="n">
        <f aca="false">SUMIFS('Invoice Lines'!$E$5:$E$5059,'Invoice Lines'!$A$5:$A$5059,A127)</f>
        <v>81.75</v>
      </c>
      <c r="I127" s="10" t="n">
        <f aca="false">Regression!$B$14+Regression!$B$12*E127+Regression!$B$13*F127</f>
        <v>106.635048762013</v>
      </c>
      <c r="J127" s="10" t="n">
        <f aca="false">H127-I127</f>
        <v>-24.8850487620129</v>
      </c>
    </row>
    <row r="128" customFormat="false" ht="15" hidden="false" customHeight="false" outlineLevel="0" collapsed="false">
      <c r="A128" s="9" t="s">
        <v>1479</v>
      </c>
      <c r="B128" s="9" t="n">
        <v>15235</v>
      </c>
      <c r="C128" s="9" t="s">
        <v>1906</v>
      </c>
      <c r="D128" s="11" t="n">
        <v>40513.7236111111</v>
      </c>
      <c r="E128" s="9" t="n">
        <f aca="false">COUNTIFS('Invoice Lines'!$A$5:$A$5059,A128)</f>
        <v>5</v>
      </c>
      <c r="F128" s="9" t="n">
        <f aca="false">SUMIFS('Invoice Lines'!$C$5:$C$5059,'Invoice Lines'!$A$5:$A$5059,A128)</f>
        <v>34</v>
      </c>
      <c r="G128" s="10" t="n">
        <f aca="false">AVERAGEIFS('Invoice Lines'!$D$5:$D$5059,'Invoice Lines'!$A$5:$A$5059,A128)</f>
        <v>2.71</v>
      </c>
      <c r="H128" s="10" t="n">
        <f aca="false">SUMIFS('Invoice Lines'!$E$5:$E$5059,'Invoice Lines'!$A$5:$A$5059,A128)</f>
        <v>79.5</v>
      </c>
      <c r="I128" s="10" t="n">
        <f aca="false">Regression!$B$14+Regression!$B$12*E128+Regression!$B$13*F128</f>
        <v>120.826078157741</v>
      </c>
      <c r="J128" s="10" t="n">
        <f aca="false">H128-I128</f>
        <v>-41.3260781577412</v>
      </c>
    </row>
    <row r="129" customFormat="false" ht="15" hidden="false" customHeight="false" outlineLevel="0" collapsed="false">
      <c r="A129" s="9" t="s">
        <v>1480</v>
      </c>
      <c r="B129" s="9" t="n">
        <v>13576</v>
      </c>
      <c r="C129" s="9" t="s">
        <v>1906</v>
      </c>
      <c r="D129" s="11" t="n">
        <v>40513.725</v>
      </c>
      <c r="E129" s="9" t="n">
        <f aca="false">COUNTIFS('Invoice Lines'!$A$5:$A$5059,A129)</f>
        <v>11</v>
      </c>
      <c r="F129" s="9" t="n">
        <f aca="false">SUMIFS('Invoice Lines'!$C$5:$C$5059,'Invoice Lines'!$A$5:$A$5059,A129)</f>
        <v>108</v>
      </c>
      <c r="G129" s="10" t="n">
        <f aca="false">AVERAGEIFS('Invoice Lines'!$D$5:$D$5059,'Invoice Lines'!$A$5:$A$5059,A129)</f>
        <v>3.27636363636364</v>
      </c>
      <c r="H129" s="10" t="n">
        <f aca="false">SUMIFS('Invoice Lines'!$E$5:$E$5059,'Invoice Lines'!$A$5:$A$5059,A129)</f>
        <v>349.15</v>
      </c>
      <c r="I129" s="10" t="n">
        <f aca="false">Regression!$B$14+Regression!$B$12*E129+Regression!$B$13*F129</f>
        <v>234.044276970377</v>
      </c>
      <c r="J129" s="10" t="n">
        <f aca="false">H129-I129</f>
        <v>115.105723029623</v>
      </c>
    </row>
    <row r="130" customFormat="false" ht="15" hidden="false" customHeight="false" outlineLevel="0" collapsed="false">
      <c r="A130" s="9" t="s">
        <v>1484</v>
      </c>
      <c r="B130" s="9"/>
      <c r="C130" s="9"/>
      <c r="D130" s="11" t="n">
        <v>40513.7284722222</v>
      </c>
      <c r="E130" s="9" t="n">
        <f aca="false">COUNTIFS('Invoice Lines'!$A$5:$A$5059,A130)</f>
        <v>6</v>
      </c>
      <c r="F130" s="9" t="n">
        <f aca="false">SUMIFS('Invoice Lines'!$C$5:$C$5059,'Invoice Lines'!$A$5:$A$5059,A130)</f>
        <v>9</v>
      </c>
      <c r="G130" s="10" t="n">
        <f aca="false">AVERAGEIFS('Invoice Lines'!$D$5:$D$5059,'Invoice Lines'!$A$5:$A$5059,A130)</f>
        <v>5.72333333333333</v>
      </c>
      <c r="H130" s="10" t="n">
        <f aca="false">SUMIFS('Invoice Lines'!$E$5:$E$5059,'Invoice Lines'!$A$5:$A$5059,A130)</f>
        <v>38.09</v>
      </c>
      <c r="I130" s="10" t="n">
        <f aca="false">Regression!$B$14+Regression!$B$12*E130+Regression!$B$13*F130</f>
        <v>104.375882574923</v>
      </c>
      <c r="J130" s="10" t="n">
        <f aca="false">H130-I130</f>
        <v>-66.2858825749233</v>
      </c>
    </row>
    <row r="131" customFormat="false" ht="15" hidden="false" customHeight="false" outlineLevel="0" collapsed="false">
      <c r="A131" s="9" t="s">
        <v>1487</v>
      </c>
      <c r="B131" s="9" t="n">
        <v>18011</v>
      </c>
      <c r="C131" s="9" t="s">
        <v>1906</v>
      </c>
      <c r="D131" s="11" t="n">
        <v>40513.7326388889</v>
      </c>
      <c r="E131" s="9" t="n">
        <f aca="false">COUNTIFS('Invoice Lines'!$A$5:$A$5059,A131)</f>
        <v>28</v>
      </c>
      <c r="F131" s="9" t="n">
        <f aca="false">SUMIFS('Invoice Lines'!$C$5:$C$5059,'Invoice Lines'!$A$5:$A$5059,A131)</f>
        <v>71</v>
      </c>
      <c r="G131" s="10" t="n">
        <f aca="false">AVERAGEIFS('Invoice Lines'!$D$5:$D$5059,'Invoice Lines'!$A$5:$A$5059,A131)</f>
        <v>2.36107142857143</v>
      </c>
      <c r="H131" s="10" t="n">
        <f aca="false">SUMIFS('Invoice Lines'!$E$5:$E$5059,'Invoice Lines'!$A$5:$A$5059,A131)</f>
        <v>102.79</v>
      </c>
      <c r="I131" s="10" t="n">
        <f aca="false">Regression!$B$14+Regression!$B$12*E131+Regression!$B$13*F131</f>
        <v>321.465579098645</v>
      </c>
      <c r="J131" s="10" t="n">
        <f aca="false">H131-I131</f>
        <v>-218.675579098645</v>
      </c>
    </row>
    <row r="132" customFormat="false" ht="15" hidden="false" customHeight="false" outlineLevel="0" collapsed="false">
      <c r="A132" s="9" t="s">
        <v>1499</v>
      </c>
      <c r="B132" s="9" t="n">
        <v>13090</v>
      </c>
      <c r="C132" s="9" t="s">
        <v>1906</v>
      </c>
      <c r="D132" s="11" t="n">
        <v>40514.325</v>
      </c>
      <c r="E132" s="9" t="n">
        <f aca="false">COUNTIFS('Invoice Lines'!$A$5:$A$5059,A132)</f>
        <v>4</v>
      </c>
      <c r="F132" s="9" t="n">
        <f aca="false">SUMIFS('Invoice Lines'!$C$5:$C$5059,'Invoice Lines'!$A$5:$A$5059,A132)</f>
        <v>76</v>
      </c>
      <c r="G132" s="10" t="n">
        <f aca="false">AVERAGEIFS('Invoice Lines'!$D$5:$D$5059,'Invoice Lines'!$A$5:$A$5059,A132)</f>
        <v>1.9</v>
      </c>
      <c r="H132" s="10" t="n">
        <f aca="false">SUMIFS('Invoice Lines'!$E$5:$E$5059,'Invoice Lines'!$A$5:$A$5059,A132)</f>
        <v>160.6</v>
      </c>
      <c r="I132" s="10" t="n">
        <f aca="false">Regression!$B$14+Regression!$B$12*E132+Regression!$B$13*F132</f>
        <v>153.359440389051</v>
      </c>
      <c r="J132" s="10" t="n">
        <f aca="false">H132-I132</f>
        <v>7.24055961094877</v>
      </c>
    </row>
    <row r="133" customFormat="false" ht="15" hidden="false" customHeight="false" outlineLevel="0" collapsed="false">
      <c r="A133" s="9" t="s">
        <v>1503</v>
      </c>
      <c r="B133" s="9" t="n">
        <v>15694</v>
      </c>
      <c r="C133" s="9" t="s">
        <v>1906</v>
      </c>
      <c r="D133" s="11" t="n">
        <v>40514.3256944444</v>
      </c>
      <c r="E133" s="9" t="n">
        <f aca="false">COUNTIFS('Invoice Lines'!$A$5:$A$5059,A133)</f>
        <v>6</v>
      </c>
      <c r="F133" s="9" t="n">
        <f aca="false">SUMIFS('Invoice Lines'!$C$5:$C$5059,'Invoice Lines'!$A$5:$A$5059,A133)</f>
        <v>80</v>
      </c>
      <c r="G133" s="10" t="n">
        <f aca="false">AVERAGEIFS('Invoice Lines'!$D$5:$D$5059,'Invoice Lines'!$A$5:$A$5059,A133)</f>
        <v>5.35833333333333</v>
      </c>
      <c r="H133" s="10" t="n">
        <f aca="false">SUMIFS('Invoice Lines'!$E$5:$E$5059,'Invoice Lines'!$A$5:$A$5059,A133)</f>
        <v>306.4</v>
      </c>
      <c r="I133" s="10" t="n">
        <f aca="false">Regression!$B$14+Regression!$B$12*E133+Regression!$B$13*F133</f>
        <v>171.546755048037</v>
      </c>
      <c r="J133" s="10" t="n">
        <f aca="false">H133-I133</f>
        <v>134.853244951963</v>
      </c>
    </row>
    <row r="134" customFormat="false" ht="15" hidden="false" customHeight="false" outlineLevel="0" collapsed="false">
      <c r="A134" s="9" t="s">
        <v>1504</v>
      </c>
      <c r="B134" s="9" t="n">
        <v>17850</v>
      </c>
      <c r="C134" s="9" t="s">
        <v>1906</v>
      </c>
      <c r="D134" s="11" t="n">
        <v>40514.3555555556</v>
      </c>
      <c r="E134" s="9" t="n">
        <f aca="false">COUNTIFS('Invoice Lines'!$A$5:$A$5059,A134)</f>
        <v>12</v>
      </c>
      <c r="F134" s="9" t="n">
        <f aca="false">SUMIFS('Invoice Lines'!$C$5:$C$5059,'Invoice Lines'!$A$5:$A$5059,A134)</f>
        <v>56</v>
      </c>
      <c r="G134" s="10" t="n">
        <f aca="false">AVERAGEIFS('Invoice Lines'!$D$5:$D$5059,'Invoice Lines'!$A$5:$A$5059,A134)</f>
        <v>6.5475</v>
      </c>
      <c r="H134" s="10" t="n">
        <f aca="false">SUMIFS('Invoice Lines'!$E$5:$E$5059,'Invoice Lines'!$A$5:$A$5059,A134)</f>
        <v>251.62</v>
      </c>
      <c r="I134" s="10" t="n">
        <f aca="false">Regression!$B$14+Regression!$B$12*E134+Regression!$B$13*F134</f>
        <v>192.050228475248</v>
      </c>
      <c r="J134" s="10" t="n">
        <f aca="false">H134-I134</f>
        <v>59.5697715247522</v>
      </c>
    </row>
    <row r="135" customFormat="false" ht="15" hidden="false" customHeight="false" outlineLevel="0" collapsed="false">
      <c r="A135" s="9" t="s">
        <v>1505</v>
      </c>
      <c r="B135" s="9" t="n">
        <v>17850</v>
      </c>
      <c r="C135" s="9" t="s">
        <v>1906</v>
      </c>
      <c r="D135" s="11" t="n">
        <v>40514.35625</v>
      </c>
      <c r="E135" s="9" t="n">
        <f aca="false">COUNTIFS('Invoice Lines'!$A$5:$A$5059,A135)</f>
        <v>2</v>
      </c>
      <c r="F135" s="9" t="n">
        <f aca="false">SUMIFS('Invoice Lines'!$C$5:$C$5059,'Invoice Lines'!$A$5:$A$5059,A135)</f>
        <v>12</v>
      </c>
      <c r="G135" s="10" t="n">
        <f aca="false">AVERAGEIFS('Invoice Lines'!$D$5:$D$5059,'Invoice Lines'!$A$5:$A$5059,A135)</f>
        <v>1.85</v>
      </c>
      <c r="H135" s="10" t="n">
        <f aca="false">SUMIFS('Invoice Lines'!$E$5:$E$5059,'Invoice Lines'!$A$5:$A$5059,A135)</f>
        <v>22.2</v>
      </c>
      <c r="I135" s="10" t="n">
        <f aca="false">Regression!$B$14+Regression!$B$12*E135+Regression!$B$13*F135</f>
        <v>78.4080081471518</v>
      </c>
      <c r="J135" s="10" t="n">
        <f aca="false">H135-I135</f>
        <v>-56.2080081471518</v>
      </c>
    </row>
    <row r="136" customFormat="false" ht="15" hidden="false" customHeight="false" outlineLevel="0" collapsed="false">
      <c r="A136" s="9" t="s">
        <v>1506</v>
      </c>
      <c r="B136" s="9" t="n">
        <v>17850</v>
      </c>
      <c r="C136" s="9" t="s">
        <v>1906</v>
      </c>
      <c r="D136" s="11" t="n">
        <v>40514.3569444444</v>
      </c>
      <c r="E136" s="9" t="n">
        <f aca="false">COUNTIFS('Invoice Lines'!$A$5:$A$5059,A136)</f>
        <v>12</v>
      </c>
      <c r="F136" s="9" t="n">
        <f aca="false">SUMIFS('Invoice Lines'!$C$5:$C$5059,'Invoice Lines'!$A$5:$A$5059,A136)</f>
        <v>64</v>
      </c>
      <c r="G136" s="10" t="n">
        <f aca="false">AVERAGEIFS('Invoice Lines'!$D$5:$D$5059,'Invoice Lines'!$A$5:$A$5059,A136)</f>
        <v>2.955</v>
      </c>
      <c r="H136" s="10" t="n">
        <f aca="false">SUMIFS('Invoice Lines'!$E$5:$E$5059,'Invoice Lines'!$A$5:$A$5059,A136)</f>
        <v>163.76</v>
      </c>
      <c r="I136" s="10" t="n">
        <f aca="false">Regression!$B$14+Regression!$B$12*E136+Regression!$B$13*F136</f>
        <v>199.618777486303</v>
      </c>
      <c r="J136" s="10" t="n">
        <f aca="false">H136-I136</f>
        <v>-35.858777486303</v>
      </c>
    </row>
    <row r="137" customFormat="false" ht="15" hidden="false" customHeight="false" outlineLevel="0" collapsed="false">
      <c r="A137" s="9" t="s">
        <v>1507</v>
      </c>
      <c r="B137" s="9" t="n">
        <v>17850</v>
      </c>
      <c r="C137" s="9" t="s">
        <v>1906</v>
      </c>
      <c r="D137" s="11" t="n">
        <v>40514.3611111111</v>
      </c>
      <c r="E137" s="9" t="n">
        <f aca="false">COUNTIFS('Invoice Lines'!$A$5:$A$5059,A137)</f>
        <v>2</v>
      </c>
      <c r="F137" s="9" t="n">
        <f aca="false">SUMIFS('Invoice Lines'!$C$5:$C$5059,'Invoice Lines'!$A$5:$A$5059,A137)</f>
        <v>12</v>
      </c>
      <c r="G137" s="10" t="n">
        <f aca="false">AVERAGEIFS('Invoice Lines'!$D$5:$D$5059,'Invoice Lines'!$A$5:$A$5059,A137)</f>
        <v>1.85</v>
      </c>
      <c r="H137" s="10" t="n">
        <f aca="false">SUMIFS('Invoice Lines'!$E$5:$E$5059,'Invoice Lines'!$A$5:$A$5059,A137)</f>
        <v>22.2</v>
      </c>
      <c r="I137" s="10" t="n">
        <f aca="false">Regression!$B$14+Regression!$B$12*E137+Regression!$B$13*F137</f>
        <v>78.4080081471518</v>
      </c>
      <c r="J137" s="10" t="n">
        <f aca="false">H137-I137</f>
        <v>-56.2080081471518</v>
      </c>
    </row>
    <row r="138" customFormat="false" ht="15" hidden="false" customHeight="false" outlineLevel="0" collapsed="false">
      <c r="A138" s="9" t="s">
        <v>1508</v>
      </c>
      <c r="B138" s="9" t="n">
        <v>14741</v>
      </c>
      <c r="C138" s="9" t="s">
        <v>1906</v>
      </c>
      <c r="D138" s="11" t="n">
        <v>40514.3631944444</v>
      </c>
      <c r="E138" s="9" t="n">
        <f aca="false">COUNTIFS('Invoice Lines'!$A$5:$A$5059,A138)</f>
        <v>9</v>
      </c>
      <c r="F138" s="9" t="n">
        <f aca="false">SUMIFS('Invoice Lines'!$C$5:$C$5059,'Invoice Lines'!$A$5:$A$5059,A138)</f>
        <v>114</v>
      </c>
      <c r="G138" s="10" t="n">
        <f aca="false">AVERAGEIFS('Invoice Lines'!$D$5:$D$5059,'Invoice Lines'!$A$5:$A$5059,A138)</f>
        <v>1.79444444444444</v>
      </c>
      <c r="H138" s="10" t="n">
        <f aca="false">SUMIFS('Invoice Lines'!$E$5:$E$5059,'Invoice Lines'!$A$5:$A$5059,A138)</f>
        <v>184.5</v>
      </c>
      <c r="I138" s="10" t="n">
        <f aca="false">Regression!$B$14+Regression!$B$12*E138+Regression!$B$13*F138</f>
        <v>225.31764857521</v>
      </c>
      <c r="J138" s="10" t="n">
        <f aca="false">H138-I138</f>
        <v>-40.8176485752095</v>
      </c>
    </row>
    <row r="139" customFormat="false" ht="15" hidden="false" customHeight="false" outlineLevel="0" collapsed="false">
      <c r="A139" s="9" t="s">
        <v>1509</v>
      </c>
      <c r="B139" s="9" t="n">
        <v>13715</v>
      </c>
      <c r="C139" s="9" t="s">
        <v>1906</v>
      </c>
      <c r="D139" s="11" t="n">
        <v>40514.3694444444</v>
      </c>
      <c r="E139" s="9" t="n">
        <f aca="false">COUNTIFS('Invoice Lines'!$A$5:$A$5059,A139)</f>
        <v>15</v>
      </c>
      <c r="F139" s="9" t="n">
        <f aca="false">SUMIFS('Invoice Lines'!$C$5:$C$5059,'Invoice Lines'!$A$5:$A$5059,A139)</f>
        <v>107</v>
      </c>
      <c r="G139" s="10" t="n">
        <f aca="false">AVERAGEIFS('Invoice Lines'!$D$5:$D$5059,'Invoice Lines'!$A$5:$A$5059,A139)</f>
        <v>3.32</v>
      </c>
      <c r="H139" s="10" t="n">
        <f aca="false">SUMIFS('Invoice Lines'!$E$5:$E$5059,'Invoice Lines'!$A$5:$A$5059,A139)</f>
        <v>272.65</v>
      </c>
      <c r="I139" s="10" t="n">
        <f aca="false">Regression!$B$14+Regression!$B$12*E139+Regression!$B$13*F139</f>
        <v>261.904288650912</v>
      </c>
      <c r="J139" s="10" t="n">
        <f aca="false">H139-I139</f>
        <v>10.745711349088</v>
      </c>
    </row>
    <row r="140" customFormat="false" ht="15" hidden="false" customHeight="false" outlineLevel="0" collapsed="false">
      <c r="A140" s="9" t="s">
        <v>1514</v>
      </c>
      <c r="B140" s="9" t="n">
        <v>17732</v>
      </c>
      <c r="C140" s="9" t="s">
        <v>1906</v>
      </c>
      <c r="D140" s="11" t="n">
        <v>40514.3951388889</v>
      </c>
      <c r="E140" s="9" t="n">
        <f aca="false">COUNTIFS('Invoice Lines'!$A$5:$A$5059,A140)</f>
        <v>18</v>
      </c>
      <c r="F140" s="9" t="n">
        <f aca="false">SUMIFS('Invoice Lines'!$C$5:$C$5059,'Invoice Lines'!$A$5:$A$5059,A140)</f>
        <v>93</v>
      </c>
      <c r="G140" s="10" t="n">
        <f aca="false">AVERAGEIFS('Invoice Lines'!$D$5:$D$5059,'Invoice Lines'!$A$5:$A$5059,A140)</f>
        <v>4.94944444444444</v>
      </c>
      <c r="H140" s="10" t="n">
        <f aca="false">SUMIFS('Invoice Lines'!$E$5:$E$5059,'Invoice Lines'!$A$5:$A$5059,A140)</f>
        <v>303.97</v>
      </c>
      <c r="I140" s="10" t="n">
        <f aca="false">Regression!$B$14+Regression!$B$12*E140+Regression!$B$13*F140</f>
        <v>270.263888111754</v>
      </c>
      <c r="J140" s="10" t="n">
        <f aca="false">H140-I140</f>
        <v>33.7061118882465</v>
      </c>
    </row>
    <row r="141" customFormat="false" ht="15" hidden="false" customHeight="false" outlineLevel="0" collapsed="false">
      <c r="A141" s="9" t="s">
        <v>1518</v>
      </c>
      <c r="B141" s="9" t="n">
        <v>12855</v>
      </c>
      <c r="C141" s="9" t="s">
        <v>1906</v>
      </c>
      <c r="D141" s="11" t="n">
        <v>40514.4006944444</v>
      </c>
      <c r="E141" s="9" t="n">
        <f aca="false">COUNTIFS('Invoice Lines'!$A$5:$A$5059,A141)</f>
        <v>3</v>
      </c>
      <c r="F141" s="9" t="n">
        <f aca="false">SUMIFS('Invoice Lines'!$C$5:$C$5059,'Invoice Lines'!$A$5:$A$5059,A141)</f>
        <v>30</v>
      </c>
      <c r="G141" s="10" t="n">
        <f aca="false">AVERAGEIFS('Invoice Lines'!$D$5:$D$5059,'Invoice Lines'!$A$5:$A$5059,A141)</f>
        <v>1.55</v>
      </c>
      <c r="H141" s="10" t="n">
        <f aca="false">SUMIFS('Invoice Lines'!$E$5:$E$5059,'Invoice Lines'!$A$5:$A$5059,A141)</f>
        <v>38.1</v>
      </c>
      <c r="I141" s="10" t="n">
        <f aca="false">Regression!$B$14+Regression!$B$12*E141+Regression!$B$13*F141</f>
        <v>102.638763498755</v>
      </c>
      <c r="J141" s="10" t="n">
        <f aca="false">H141-I141</f>
        <v>-64.5387634987551</v>
      </c>
    </row>
    <row r="142" customFormat="false" ht="15" hidden="false" customHeight="false" outlineLevel="0" collapsed="false">
      <c r="A142" s="9" t="s">
        <v>1519</v>
      </c>
      <c r="B142" s="9" t="n">
        <v>17850</v>
      </c>
      <c r="C142" s="9" t="s">
        <v>1906</v>
      </c>
      <c r="D142" s="11" t="n">
        <v>40514.4034722222</v>
      </c>
      <c r="E142" s="9" t="n">
        <f aca="false">COUNTIFS('Invoice Lines'!$A$5:$A$5059,A142)</f>
        <v>16</v>
      </c>
      <c r="F142" s="9" t="n">
        <f aca="false">SUMIFS('Invoice Lines'!$C$5:$C$5059,'Invoice Lines'!$A$5:$A$5059,A142)</f>
        <v>88</v>
      </c>
      <c r="G142" s="10" t="n">
        <f aca="false">AVERAGEIFS('Invoice Lines'!$D$5:$D$5059,'Invoice Lines'!$A$5:$A$5059,A142)</f>
        <v>3.113125</v>
      </c>
      <c r="H142" s="10" t="n">
        <f aca="false">SUMIFS('Invoice Lines'!$E$5:$E$5059,'Invoice Lines'!$A$5:$A$5059,A142)</f>
        <v>244.46</v>
      </c>
      <c r="I142" s="10" t="n">
        <f aca="false">Regression!$B$14+Regression!$B$12*E142+Regression!$B$13*F142</f>
        <v>251.130504826385</v>
      </c>
      <c r="J142" s="10" t="n">
        <f aca="false">H142-I142</f>
        <v>-6.67050482638544</v>
      </c>
    </row>
    <row r="143" customFormat="false" ht="15" hidden="false" customHeight="false" outlineLevel="0" collapsed="false">
      <c r="A143" s="9" t="s">
        <v>1520</v>
      </c>
      <c r="B143" s="9" t="n">
        <v>17850</v>
      </c>
      <c r="C143" s="9" t="s">
        <v>1906</v>
      </c>
      <c r="D143" s="11" t="n">
        <v>40514.4041666667</v>
      </c>
      <c r="E143" s="9" t="n">
        <f aca="false">COUNTIFS('Invoice Lines'!$A$5:$A$5059,A143)</f>
        <v>2</v>
      </c>
      <c r="F143" s="9" t="n">
        <f aca="false">SUMIFS('Invoice Lines'!$C$5:$C$5059,'Invoice Lines'!$A$5:$A$5059,A143)</f>
        <v>12</v>
      </c>
      <c r="G143" s="10" t="n">
        <f aca="false">AVERAGEIFS('Invoice Lines'!$D$5:$D$5059,'Invoice Lines'!$A$5:$A$5059,A143)</f>
        <v>1.85</v>
      </c>
      <c r="H143" s="10" t="n">
        <f aca="false">SUMIFS('Invoice Lines'!$E$5:$E$5059,'Invoice Lines'!$A$5:$A$5059,A143)</f>
        <v>22.2</v>
      </c>
      <c r="I143" s="10" t="n">
        <f aca="false">Regression!$B$14+Regression!$B$12*E143+Regression!$B$13*F143</f>
        <v>78.4080081471518</v>
      </c>
      <c r="J143" s="10" t="n">
        <f aca="false">H143-I143</f>
        <v>-56.2080081471518</v>
      </c>
    </row>
    <row r="144" customFormat="false" ht="15" hidden="false" customHeight="false" outlineLevel="0" collapsed="false">
      <c r="A144" s="9" t="s">
        <v>1521</v>
      </c>
      <c r="B144" s="9" t="n">
        <v>15752</v>
      </c>
      <c r="C144" s="9" t="s">
        <v>1906</v>
      </c>
      <c r="D144" s="11" t="n">
        <v>40514.4048611111</v>
      </c>
      <c r="E144" s="9" t="n">
        <f aca="false">COUNTIFS('Invoice Lines'!$A$5:$A$5059,A144)</f>
        <v>14</v>
      </c>
      <c r="F144" s="9" t="n">
        <f aca="false">SUMIFS('Invoice Lines'!$C$5:$C$5059,'Invoice Lines'!$A$5:$A$5059,A144)</f>
        <v>153</v>
      </c>
      <c r="G144" s="10" t="n">
        <f aca="false">AVERAGEIFS('Invoice Lines'!$D$5:$D$5059,'Invoice Lines'!$A$5:$A$5059,A144)</f>
        <v>1.88571428571429</v>
      </c>
      <c r="H144" s="10" t="n">
        <f aca="false">SUMIFS('Invoice Lines'!$E$5:$E$5059,'Invoice Lines'!$A$5:$A$5059,A144)</f>
        <v>259.65</v>
      </c>
      <c r="I144" s="10" t="n">
        <f aca="false">Regression!$B$14+Regression!$B$12*E144+Regression!$B$13*F144</f>
        <v>298.22192538775</v>
      </c>
      <c r="J144" s="10" t="n">
        <f aca="false">H144-I144</f>
        <v>-38.5719253877496</v>
      </c>
    </row>
    <row r="145" customFormat="false" ht="15" hidden="false" customHeight="false" outlineLevel="0" collapsed="false">
      <c r="A145" s="9" t="s">
        <v>1524</v>
      </c>
      <c r="B145" s="9" t="n">
        <v>17850</v>
      </c>
      <c r="C145" s="9" t="s">
        <v>1906</v>
      </c>
      <c r="D145" s="11" t="n">
        <v>40514.4055555556</v>
      </c>
      <c r="E145" s="9" t="n">
        <f aca="false">COUNTIFS('Invoice Lines'!$A$5:$A$5059,A145)</f>
        <v>15</v>
      </c>
      <c r="F145" s="9" t="n">
        <f aca="false">SUMIFS('Invoice Lines'!$C$5:$C$5059,'Invoice Lines'!$A$5:$A$5059,A145)</f>
        <v>82</v>
      </c>
      <c r="G145" s="10" t="n">
        <f aca="false">AVERAGEIFS('Invoice Lines'!$D$5:$D$5059,'Invoice Lines'!$A$5:$A$5059,A145)</f>
        <v>2.81066666666667</v>
      </c>
      <c r="H145" s="10" t="n">
        <f aca="false">SUMIFS('Invoice Lines'!$E$5:$E$5059,'Invoice Lines'!$A$5:$A$5059,A145)</f>
        <v>206.76</v>
      </c>
      <c r="I145" s="10" t="n">
        <f aca="false">Regression!$B$14+Regression!$B$12*E145+Regression!$B$13*F145</f>
        <v>238.252572991365</v>
      </c>
      <c r="J145" s="10" t="n">
        <f aca="false">H145-I145</f>
        <v>-31.4925729913649</v>
      </c>
    </row>
    <row r="146" customFormat="false" ht="15" hidden="false" customHeight="false" outlineLevel="0" collapsed="false">
      <c r="A146" s="9" t="s">
        <v>1525</v>
      </c>
      <c r="B146" s="9" t="n">
        <v>17855</v>
      </c>
      <c r="C146" s="9" t="s">
        <v>1906</v>
      </c>
      <c r="D146" s="11" t="n">
        <v>40514.4055555556</v>
      </c>
      <c r="E146" s="9" t="n">
        <f aca="false">COUNTIFS('Invoice Lines'!$A$5:$A$5059,A146)</f>
        <v>17</v>
      </c>
      <c r="F146" s="9" t="n">
        <f aca="false">SUMIFS('Invoice Lines'!$C$5:$C$5059,'Invoice Lines'!$A$5:$A$5059,A146)</f>
        <v>197</v>
      </c>
      <c r="G146" s="10" t="n">
        <f aca="false">AVERAGEIFS('Invoice Lines'!$D$5:$D$5059,'Invoice Lines'!$A$5:$A$5059,A146)</f>
        <v>1.76588235294118</v>
      </c>
      <c r="H146" s="10" t="n">
        <f aca="false">SUMIFS('Invoice Lines'!$E$5:$E$5059,'Invoice Lines'!$A$5:$A$5059,A146)</f>
        <v>208.97</v>
      </c>
      <c r="I146" s="10" t="n">
        <f aca="false">Regression!$B$14+Regression!$B$12*E146+Regression!$B$13*F146</f>
        <v>361.453505178741</v>
      </c>
      <c r="J146" s="10" t="n">
        <f aca="false">H146-I146</f>
        <v>-152.483505178741</v>
      </c>
    </row>
    <row r="147" customFormat="false" ht="15" hidden="false" customHeight="false" outlineLevel="0" collapsed="false">
      <c r="A147" s="9" t="s">
        <v>1530</v>
      </c>
      <c r="B147" s="9" t="n">
        <v>17850</v>
      </c>
      <c r="C147" s="9" t="s">
        <v>1906</v>
      </c>
      <c r="D147" s="11" t="n">
        <v>40514.4055555556</v>
      </c>
      <c r="E147" s="9" t="n">
        <f aca="false">COUNTIFS('Invoice Lines'!$A$5:$A$5059,A147)</f>
        <v>2</v>
      </c>
      <c r="F147" s="9" t="n">
        <f aca="false">SUMIFS('Invoice Lines'!$C$5:$C$5059,'Invoice Lines'!$A$5:$A$5059,A147)</f>
        <v>12</v>
      </c>
      <c r="G147" s="10" t="n">
        <f aca="false">AVERAGEIFS('Invoice Lines'!$D$5:$D$5059,'Invoice Lines'!$A$5:$A$5059,A147)</f>
        <v>1.85</v>
      </c>
      <c r="H147" s="10" t="n">
        <f aca="false">SUMIFS('Invoice Lines'!$E$5:$E$5059,'Invoice Lines'!$A$5:$A$5059,A147)</f>
        <v>22.2</v>
      </c>
      <c r="I147" s="10" t="n">
        <f aca="false">Regression!$B$14+Regression!$B$12*E147+Regression!$B$13*F147</f>
        <v>78.4080081471518</v>
      </c>
      <c r="J147" s="10" t="n">
        <f aca="false">H147-I147</f>
        <v>-56.2080081471518</v>
      </c>
    </row>
    <row r="148" customFormat="false" ht="15" hidden="false" customHeight="false" outlineLevel="0" collapsed="false">
      <c r="A148" s="9" t="s">
        <v>1531</v>
      </c>
      <c r="B148" s="9" t="n">
        <v>14047</v>
      </c>
      <c r="C148" s="9" t="s">
        <v>1906</v>
      </c>
      <c r="D148" s="11" t="n">
        <v>40514.4229166667</v>
      </c>
      <c r="E148" s="9" t="n">
        <f aca="false">COUNTIFS('Invoice Lines'!$A$5:$A$5059,A148)</f>
        <v>12</v>
      </c>
      <c r="F148" s="9" t="n">
        <f aca="false">SUMIFS('Invoice Lines'!$C$5:$C$5059,'Invoice Lines'!$A$5:$A$5059,A148)</f>
        <v>108</v>
      </c>
      <c r="G148" s="10" t="n">
        <f aca="false">AVERAGEIFS('Invoice Lines'!$D$5:$D$5059,'Invoice Lines'!$A$5:$A$5059,A148)</f>
        <v>5.66583333333333</v>
      </c>
      <c r="H148" s="10" t="n">
        <f aca="false">SUMIFS('Invoice Lines'!$E$5:$E$5059,'Invoice Lines'!$A$5:$A$5059,A148)</f>
        <v>286.92</v>
      </c>
      <c r="I148" s="10" t="n">
        <f aca="false">Regression!$B$14+Regression!$B$12*E148+Regression!$B$13*F148</f>
        <v>241.245797047106</v>
      </c>
      <c r="J148" s="10" t="n">
        <f aca="false">H148-I148</f>
        <v>45.674202952894</v>
      </c>
    </row>
    <row r="149" customFormat="false" ht="15" hidden="false" customHeight="false" outlineLevel="0" collapsed="false">
      <c r="A149" s="9" t="s">
        <v>1534</v>
      </c>
      <c r="B149" s="9" t="n">
        <v>17925</v>
      </c>
      <c r="C149" s="9" t="s">
        <v>1906</v>
      </c>
      <c r="D149" s="11" t="n">
        <v>40514.4236111111</v>
      </c>
      <c r="E149" s="9" t="n">
        <f aca="false">COUNTIFS('Invoice Lines'!$A$5:$A$5059,A149)</f>
        <v>1</v>
      </c>
      <c r="F149" s="9" t="n">
        <f aca="false">SUMIFS('Invoice Lines'!$C$5:$C$5059,'Invoice Lines'!$A$5:$A$5059,A149)</f>
        <v>72</v>
      </c>
      <c r="G149" s="10" t="n">
        <f aca="false">AVERAGEIFS('Invoice Lines'!$D$5:$D$5059,'Invoice Lines'!$A$5:$A$5059,A149)</f>
        <v>3.39</v>
      </c>
      <c r="H149" s="10" t="n">
        <f aca="false">SUMIFS('Invoice Lines'!$E$5:$E$5059,'Invoice Lines'!$A$5:$A$5059,A149)</f>
        <v>244.08</v>
      </c>
      <c r="I149" s="10" t="n">
        <f aca="false">Regression!$B$14+Regression!$B$12*E149+Regression!$B$13*F149</f>
        <v>127.970605653336</v>
      </c>
      <c r="J149" s="10" t="n">
        <f aca="false">H149-I149</f>
        <v>116.109394346664</v>
      </c>
    </row>
    <row r="150" customFormat="false" ht="15" hidden="false" customHeight="false" outlineLevel="0" collapsed="false">
      <c r="A150" s="9" t="s">
        <v>1535</v>
      </c>
      <c r="B150" s="9" t="n">
        <v>13941</v>
      </c>
      <c r="C150" s="9" t="s">
        <v>1906</v>
      </c>
      <c r="D150" s="11" t="n">
        <v>40514.4284722222</v>
      </c>
      <c r="E150" s="9" t="n">
        <f aca="false">COUNTIFS('Invoice Lines'!$A$5:$A$5059,A150)</f>
        <v>11</v>
      </c>
      <c r="F150" s="9" t="n">
        <f aca="false">SUMIFS('Invoice Lines'!$C$5:$C$5059,'Invoice Lines'!$A$5:$A$5059,A150)</f>
        <v>644</v>
      </c>
      <c r="G150" s="10" t="n">
        <f aca="false">AVERAGEIFS('Invoice Lines'!$D$5:$D$5059,'Invoice Lines'!$A$5:$A$5059,A150)</f>
        <v>2.13363636363636</v>
      </c>
      <c r="H150" s="10" t="n">
        <f aca="false">SUMIFS('Invoice Lines'!$E$5:$E$5059,'Invoice Lines'!$A$5:$A$5059,A150)</f>
        <v>1095.12</v>
      </c>
      <c r="I150" s="10" t="n">
        <f aca="false">Regression!$B$14+Regression!$B$12*E150+Regression!$B$13*F150</f>
        <v>741.137060711069</v>
      </c>
      <c r="J150" s="10" t="n">
        <f aca="false">H150-I150</f>
        <v>353.982939288931</v>
      </c>
    </row>
    <row r="151" customFormat="false" ht="15" hidden="false" customHeight="false" outlineLevel="0" collapsed="false">
      <c r="A151" s="9" t="s">
        <v>1538</v>
      </c>
      <c r="B151" s="9" t="n">
        <v>17017</v>
      </c>
      <c r="C151" s="9" t="s">
        <v>1906</v>
      </c>
      <c r="D151" s="11" t="n">
        <v>40514.4284722222</v>
      </c>
      <c r="E151" s="9" t="n">
        <f aca="false">COUNTIFS('Invoice Lines'!$A$5:$A$5059,A151)</f>
        <v>21</v>
      </c>
      <c r="F151" s="9" t="n">
        <f aca="false">SUMIFS('Invoice Lines'!$C$5:$C$5059,'Invoice Lines'!$A$5:$A$5059,A151)</f>
        <v>600</v>
      </c>
      <c r="G151" s="10" t="n">
        <f aca="false">AVERAGEIFS('Invoice Lines'!$D$5:$D$5059,'Invoice Lines'!$A$5:$A$5059,A151)</f>
        <v>1.43380952380952</v>
      </c>
      <c r="H151" s="10" t="n">
        <f aca="false">SUMIFS('Invoice Lines'!$E$5:$E$5059,'Invoice Lines'!$A$5:$A$5059,A151)</f>
        <v>780.12</v>
      </c>
      <c r="I151" s="10" t="n">
        <f aca="false">Regression!$B$14+Regression!$B$12*E151+Regression!$B$13*F151</f>
        <v>771.525241917559</v>
      </c>
      <c r="J151" s="10" t="n">
        <f aca="false">H151-I151</f>
        <v>8.59475808244122</v>
      </c>
    </row>
    <row r="152" customFormat="false" ht="15" hidden="false" customHeight="false" outlineLevel="0" collapsed="false">
      <c r="A152" s="9" t="s">
        <v>1542</v>
      </c>
      <c r="B152" s="9" t="n">
        <v>17017</v>
      </c>
      <c r="C152" s="9" t="s">
        <v>1906</v>
      </c>
      <c r="D152" s="11" t="n">
        <v>40514.4291666667</v>
      </c>
      <c r="E152" s="9" t="n">
        <f aca="false">COUNTIFS('Invoice Lines'!$A$5:$A$5059,A152)</f>
        <v>2</v>
      </c>
      <c r="F152" s="9" t="n">
        <f aca="false">SUMIFS('Invoice Lines'!$C$5:$C$5059,'Invoice Lines'!$A$5:$A$5059,A152)</f>
        <v>48</v>
      </c>
      <c r="G152" s="10" t="n">
        <f aca="false">AVERAGEIFS('Invoice Lines'!$D$5:$D$5059,'Invoice Lines'!$A$5:$A$5059,A152)</f>
        <v>2.6</v>
      </c>
      <c r="H152" s="10" t="n">
        <f aca="false">SUMIFS('Invoice Lines'!$E$5:$E$5059,'Invoice Lines'!$A$5:$A$5059,A152)</f>
        <v>97.2</v>
      </c>
      <c r="I152" s="10" t="n">
        <f aca="false">Regression!$B$14+Regression!$B$12*E152+Regression!$B$13*F152</f>
        <v>112.4664786969</v>
      </c>
      <c r="J152" s="10" t="n">
        <f aca="false">H152-I152</f>
        <v>-15.2664786968998</v>
      </c>
    </row>
    <row r="153" customFormat="false" ht="15" hidden="false" customHeight="false" outlineLevel="0" collapsed="false">
      <c r="A153" s="9" t="s">
        <v>1543</v>
      </c>
      <c r="B153" s="9" t="n">
        <v>14135</v>
      </c>
      <c r="C153" s="9" t="s">
        <v>1906</v>
      </c>
      <c r="D153" s="11" t="n">
        <v>40514.4354166667</v>
      </c>
      <c r="E153" s="9" t="n">
        <f aca="false">COUNTIFS('Invoice Lines'!$A$5:$A$5059,A153)</f>
        <v>23</v>
      </c>
      <c r="F153" s="9" t="n">
        <f aca="false">SUMIFS('Invoice Lines'!$C$5:$C$5059,'Invoice Lines'!$A$5:$A$5059,A153)</f>
        <v>741</v>
      </c>
      <c r="G153" s="10" t="n">
        <f aca="false">AVERAGEIFS('Invoice Lines'!$D$5:$D$5059,'Invoice Lines'!$A$5:$A$5059,A153)</f>
        <v>1.26</v>
      </c>
      <c r="H153" s="10" t="n">
        <f aca="false">SUMIFS('Invoice Lines'!$E$5:$E$5059,'Invoice Lines'!$A$5:$A$5059,A153)</f>
        <v>485.25</v>
      </c>
      <c r="I153" s="10" t="n">
        <f aca="false">Regression!$B$14+Regression!$B$12*E153+Regression!$B$13*F153</f>
        <v>919.323958390864</v>
      </c>
      <c r="J153" s="10" t="n">
        <f aca="false">H153-I153</f>
        <v>-434.073958390864</v>
      </c>
    </row>
    <row r="154" customFormat="false" ht="15" hidden="false" customHeight="false" outlineLevel="0" collapsed="false">
      <c r="A154" s="9" t="s">
        <v>1550</v>
      </c>
      <c r="B154" s="9" t="n">
        <v>13108</v>
      </c>
      <c r="C154" s="9" t="s">
        <v>1906</v>
      </c>
      <c r="D154" s="11" t="n">
        <v>40514.4409722222</v>
      </c>
      <c r="E154" s="9" t="n">
        <f aca="false">COUNTIFS('Invoice Lines'!$A$5:$A$5059,A154)</f>
        <v>10</v>
      </c>
      <c r="F154" s="9" t="n">
        <f aca="false">SUMIFS('Invoice Lines'!$C$5:$C$5059,'Invoice Lines'!$A$5:$A$5059,A154)</f>
        <v>298</v>
      </c>
      <c r="G154" s="10" t="n">
        <f aca="false">AVERAGEIFS('Invoice Lines'!$D$5:$D$5059,'Invoice Lines'!$A$5:$A$5059,A154)</f>
        <v>1.752</v>
      </c>
      <c r="H154" s="10" t="n">
        <f aca="false">SUMIFS('Invoice Lines'!$E$5:$E$5059,'Invoice Lines'!$A$5:$A$5059,A154)</f>
        <v>350.06</v>
      </c>
      <c r="I154" s="10" t="n">
        <f aca="false">Regression!$B$14+Regression!$B$12*E154+Regression!$B$13*F154</f>
        <v>406.595795906206</v>
      </c>
      <c r="J154" s="10" t="n">
        <f aca="false">H154-I154</f>
        <v>-56.5357959062062</v>
      </c>
    </row>
    <row r="155" customFormat="false" ht="15" hidden="false" customHeight="false" outlineLevel="0" collapsed="false">
      <c r="A155" s="9" t="s">
        <v>1552</v>
      </c>
      <c r="B155" s="9" t="n">
        <v>15601</v>
      </c>
      <c r="C155" s="9" t="s">
        <v>1906</v>
      </c>
      <c r="D155" s="11" t="n">
        <v>40514.44375</v>
      </c>
      <c r="E155" s="9" t="n">
        <f aca="false">COUNTIFS('Invoice Lines'!$A$5:$A$5059,A155)</f>
        <v>48</v>
      </c>
      <c r="F155" s="9" t="n">
        <f aca="false">SUMIFS('Invoice Lines'!$C$5:$C$5059,'Invoice Lines'!$A$5:$A$5059,A155)</f>
        <v>666</v>
      </c>
      <c r="G155" s="10" t="n">
        <f aca="false">AVERAGEIFS('Invoice Lines'!$D$5:$D$5059,'Invoice Lines'!$A$5:$A$5059,A155)</f>
        <v>1.71916666666667</v>
      </c>
      <c r="H155" s="10" t="n">
        <f aca="false">SUMIFS('Invoice Lines'!$E$5:$E$5059,'Invoice Lines'!$A$5:$A$5059,A155)</f>
        <v>768.38</v>
      </c>
      <c r="I155" s="10" t="n">
        <f aca="false">Regression!$B$14+Regression!$B$12*E155+Regression!$B$13*F155</f>
        <v>1028.40681333045</v>
      </c>
      <c r="J155" s="10" t="n">
        <f aca="false">H155-I155</f>
        <v>-260.026813330455</v>
      </c>
    </row>
    <row r="156" customFormat="false" ht="15" hidden="false" customHeight="false" outlineLevel="0" collapsed="false">
      <c r="A156" s="9" t="s">
        <v>1566</v>
      </c>
      <c r="B156" s="9" t="n">
        <v>13418</v>
      </c>
      <c r="C156" s="9" t="s">
        <v>1906</v>
      </c>
      <c r="D156" s="11" t="n">
        <v>40514.4479166667</v>
      </c>
      <c r="E156" s="9" t="n">
        <f aca="false">COUNTIFS('Invoice Lines'!$A$5:$A$5059,A156)</f>
        <v>22</v>
      </c>
      <c r="F156" s="9" t="n">
        <f aca="false">SUMIFS('Invoice Lines'!$C$5:$C$5059,'Invoice Lines'!$A$5:$A$5059,A156)</f>
        <v>228</v>
      </c>
      <c r="G156" s="10" t="n">
        <f aca="false">AVERAGEIFS('Invoice Lines'!$D$5:$D$5059,'Invoice Lines'!$A$5:$A$5059,A156)</f>
        <v>3.45181818181818</v>
      </c>
      <c r="H156" s="10" t="n">
        <f aca="false">SUMIFS('Invoice Lines'!$E$5:$E$5059,'Invoice Lines'!$A$5:$A$5059,A156)</f>
        <v>610.64</v>
      </c>
      <c r="I156" s="10" t="n">
        <f aca="false">Regression!$B$14+Regression!$B$12*E156+Regression!$B$13*F156</f>
        <v>426.789232980226</v>
      </c>
      <c r="J156" s="10" t="n">
        <f aca="false">H156-I156</f>
        <v>183.850767019774</v>
      </c>
    </row>
    <row r="157" customFormat="false" ht="15" hidden="false" customHeight="false" outlineLevel="0" collapsed="false">
      <c r="A157" s="9" t="s">
        <v>1569</v>
      </c>
      <c r="B157" s="9" t="n">
        <v>13418</v>
      </c>
      <c r="C157" s="9" t="s">
        <v>1906</v>
      </c>
      <c r="D157" s="11" t="n">
        <v>40514.4486111111</v>
      </c>
      <c r="E157" s="9" t="n">
        <f aca="false">COUNTIFS('Invoice Lines'!$A$5:$A$5059,A157)</f>
        <v>1</v>
      </c>
      <c r="F157" s="9" t="n">
        <f aca="false">SUMIFS('Invoice Lines'!$C$5:$C$5059,'Invoice Lines'!$A$5:$A$5059,A157)</f>
        <v>6</v>
      </c>
      <c r="G157" s="10" t="n">
        <f aca="false">AVERAGEIFS('Invoice Lines'!$D$5:$D$5059,'Invoice Lines'!$A$5:$A$5059,A157)</f>
        <v>2.1</v>
      </c>
      <c r="H157" s="10" t="n">
        <f aca="false">SUMIFS('Invoice Lines'!$E$5:$E$5059,'Invoice Lines'!$A$5:$A$5059,A157)</f>
        <v>12.6</v>
      </c>
      <c r="I157" s="10" t="n">
        <f aca="false">Regression!$B$14+Regression!$B$12*E157+Regression!$B$13*F157</f>
        <v>65.5300763121312</v>
      </c>
      <c r="J157" s="10" t="n">
        <f aca="false">H157-I157</f>
        <v>-52.9300763121312</v>
      </c>
    </row>
    <row r="158" customFormat="false" ht="15" hidden="false" customHeight="false" outlineLevel="0" collapsed="false">
      <c r="A158" s="9" t="s">
        <v>1570</v>
      </c>
      <c r="B158" s="9" t="n">
        <v>15658</v>
      </c>
      <c r="C158" s="9" t="s">
        <v>1906</v>
      </c>
      <c r="D158" s="11" t="n">
        <v>40514.4534722222</v>
      </c>
      <c r="E158" s="9" t="n">
        <f aca="false">COUNTIFS('Invoice Lines'!$A$5:$A$5059,A158)</f>
        <v>14</v>
      </c>
      <c r="F158" s="9" t="n">
        <f aca="false">SUMIFS('Invoice Lines'!$C$5:$C$5059,'Invoice Lines'!$A$5:$A$5059,A158)</f>
        <v>64</v>
      </c>
      <c r="G158" s="10" t="n">
        <f aca="false">AVERAGEIFS('Invoice Lines'!$D$5:$D$5059,'Invoice Lines'!$A$5:$A$5059,A158)</f>
        <v>7.19285714285714</v>
      </c>
      <c r="H158" s="10" t="n">
        <f aca="false">SUMIFS('Invoice Lines'!$E$5:$E$5059,'Invoice Lines'!$A$5:$A$5059,A158)</f>
        <v>306.2</v>
      </c>
      <c r="I158" s="10" t="n">
        <f aca="false">Regression!$B$14+Regression!$B$12*E158+Regression!$B$13*F158</f>
        <v>214.021817639762</v>
      </c>
      <c r="J158" s="10" t="n">
        <f aca="false">H158-I158</f>
        <v>92.1781823602385</v>
      </c>
    </row>
    <row r="159" customFormat="false" ht="15" hidden="false" customHeight="false" outlineLevel="0" collapsed="false">
      <c r="A159" s="9" t="s">
        <v>1572</v>
      </c>
      <c r="B159" s="9" t="n">
        <v>17850</v>
      </c>
      <c r="C159" s="9" t="s">
        <v>1906</v>
      </c>
      <c r="D159" s="11" t="n">
        <v>40514.4541666667</v>
      </c>
      <c r="E159" s="9" t="n">
        <f aca="false">COUNTIFS('Invoice Lines'!$A$5:$A$5059,A159)</f>
        <v>16</v>
      </c>
      <c r="F159" s="9" t="n">
        <f aca="false">SUMIFS('Invoice Lines'!$C$5:$C$5059,'Invoice Lines'!$A$5:$A$5059,A159)</f>
        <v>86</v>
      </c>
      <c r="G159" s="10" t="n">
        <f aca="false">AVERAGEIFS('Invoice Lines'!$D$5:$D$5059,'Invoice Lines'!$A$5:$A$5059,A159)</f>
        <v>3.113125</v>
      </c>
      <c r="H159" s="10" t="n">
        <f aca="false">SUMIFS('Invoice Lines'!$E$5:$E$5059,'Invoice Lines'!$A$5:$A$5059,A159)</f>
        <v>230.56</v>
      </c>
      <c r="I159" s="10" t="n">
        <f aca="false">Regression!$B$14+Regression!$B$12*E159+Regression!$B$13*F159</f>
        <v>249.238367573622</v>
      </c>
      <c r="J159" s="10" t="n">
        <f aca="false">H159-I159</f>
        <v>-18.6783675736217</v>
      </c>
    </row>
    <row r="160" customFormat="false" ht="15" hidden="false" customHeight="false" outlineLevel="0" collapsed="false">
      <c r="A160" s="9" t="s">
        <v>1573</v>
      </c>
      <c r="B160" s="9" t="n">
        <v>17850</v>
      </c>
      <c r="C160" s="9" t="s">
        <v>1906</v>
      </c>
      <c r="D160" s="11" t="n">
        <v>40514.4548611111</v>
      </c>
      <c r="E160" s="9" t="n">
        <f aca="false">COUNTIFS('Invoice Lines'!$A$5:$A$5059,A160)</f>
        <v>2</v>
      </c>
      <c r="F160" s="9" t="n">
        <f aca="false">SUMIFS('Invoice Lines'!$C$5:$C$5059,'Invoice Lines'!$A$5:$A$5059,A160)</f>
        <v>12</v>
      </c>
      <c r="G160" s="10" t="n">
        <f aca="false">AVERAGEIFS('Invoice Lines'!$D$5:$D$5059,'Invoice Lines'!$A$5:$A$5059,A160)</f>
        <v>1.85</v>
      </c>
      <c r="H160" s="10" t="n">
        <f aca="false">SUMIFS('Invoice Lines'!$E$5:$E$5059,'Invoice Lines'!$A$5:$A$5059,A160)</f>
        <v>22.2</v>
      </c>
      <c r="I160" s="10" t="n">
        <f aca="false">Regression!$B$14+Regression!$B$12*E160+Regression!$B$13*F160</f>
        <v>78.4080081471518</v>
      </c>
      <c r="J160" s="10" t="n">
        <f aca="false">H160-I160</f>
        <v>-56.2080081471518</v>
      </c>
    </row>
    <row r="161" customFormat="false" ht="15" hidden="false" customHeight="false" outlineLevel="0" collapsed="false">
      <c r="A161" s="9" t="s">
        <v>1574</v>
      </c>
      <c r="B161" s="9" t="n">
        <v>17850</v>
      </c>
      <c r="C161" s="9" t="s">
        <v>1906</v>
      </c>
      <c r="D161" s="11" t="n">
        <v>40514.4555555556</v>
      </c>
      <c r="E161" s="9" t="n">
        <f aca="false">COUNTIFS('Invoice Lines'!$A$5:$A$5059,A161)</f>
        <v>16</v>
      </c>
      <c r="F161" s="9" t="n">
        <f aca="false">SUMIFS('Invoice Lines'!$C$5:$C$5059,'Invoice Lines'!$A$5:$A$5059,A161)</f>
        <v>88</v>
      </c>
      <c r="G161" s="10" t="n">
        <f aca="false">AVERAGEIFS('Invoice Lines'!$D$5:$D$5059,'Invoice Lines'!$A$5:$A$5059,A161)</f>
        <v>3.113125</v>
      </c>
      <c r="H161" s="10" t="n">
        <f aca="false">SUMIFS('Invoice Lines'!$E$5:$E$5059,'Invoice Lines'!$A$5:$A$5059,A161)</f>
        <v>244.46</v>
      </c>
      <c r="I161" s="10" t="n">
        <f aca="false">Regression!$B$14+Regression!$B$12*E161+Regression!$B$13*F161</f>
        <v>251.130504826385</v>
      </c>
      <c r="J161" s="10" t="n">
        <f aca="false">H161-I161</f>
        <v>-6.67050482638544</v>
      </c>
    </row>
    <row r="162" customFormat="false" ht="15" hidden="false" customHeight="false" outlineLevel="0" collapsed="false">
      <c r="A162" s="9" t="s">
        <v>1575</v>
      </c>
      <c r="B162" s="9" t="n">
        <v>17850</v>
      </c>
      <c r="C162" s="9" t="s">
        <v>1906</v>
      </c>
      <c r="D162" s="11" t="n">
        <v>40514.4569444444</v>
      </c>
      <c r="E162" s="9" t="n">
        <f aca="false">COUNTIFS('Invoice Lines'!$A$5:$A$5059,A162)</f>
        <v>2</v>
      </c>
      <c r="F162" s="9" t="n">
        <f aca="false">SUMIFS('Invoice Lines'!$C$5:$C$5059,'Invoice Lines'!$A$5:$A$5059,A162)</f>
        <v>12</v>
      </c>
      <c r="G162" s="10" t="n">
        <f aca="false">AVERAGEIFS('Invoice Lines'!$D$5:$D$5059,'Invoice Lines'!$A$5:$A$5059,A162)</f>
        <v>1.85</v>
      </c>
      <c r="H162" s="10" t="n">
        <f aca="false">SUMIFS('Invoice Lines'!$E$5:$E$5059,'Invoice Lines'!$A$5:$A$5059,A162)</f>
        <v>22.2</v>
      </c>
      <c r="I162" s="10" t="n">
        <f aca="false">Regression!$B$14+Regression!$B$12*E162+Regression!$B$13*F162</f>
        <v>78.4080081471518</v>
      </c>
      <c r="J162" s="10" t="n">
        <f aca="false">H162-I162</f>
        <v>-56.2080081471518</v>
      </c>
    </row>
    <row r="163" customFormat="false" ht="15" hidden="false" customHeight="false" outlineLevel="0" collapsed="false">
      <c r="A163" s="9" t="s">
        <v>1576</v>
      </c>
      <c r="B163" s="9" t="n">
        <v>14388</v>
      </c>
      <c r="C163" s="9" t="s">
        <v>1906</v>
      </c>
      <c r="D163" s="11" t="n">
        <v>40514.4597222222</v>
      </c>
      <c r="E163" s="9" t="n">
        <f aca="false">COUNTIFS('Invoice Lines'!$A$5:$A$5059,A163)</f>
        <v>21</v>
      </c>
      <c r="F163" s="9" t="n">
        <f aca="false">SUMIFS('Invoice Lines'!$C$5:$C$5059,'Invoice Lines'!$A$5:$A$5059,A163)</f>
        <v>170</v>
      </c>
      <c r="G163" s="10" t="n">
        <f aca="false">AVERAGEIFS('Invoice Lines'!$D$5:$D$5059,'Invoice Lines'!$A$5:$A$5059,A163)</f>
        <v>3.00952380952381</v>
      </c>
      <c r="H163" s="10" t="n">
        <f aca="false">SUMIFS('Invoice Lines'!$E$5:$E$5059,'Invoice Lines'!$A$5:$A$5059,A163)</f>
        <v>312.8</v>
      </c>
      <c r="I163" s="10" t="n">
        <f aca="false">Regression!$B$14+Regression!$B$12*E163+Regression!$B$13*F163</f>
        <v>364.715732573347</v>
      </c>
      <c r="J163" s="10" t="n">
        <f aca="false">H163-I163</f>
        <v>-51.9157325733468</v>
      </c>
    </row>
    <row r="164" customFormat="false" ht="15" hidden="false" customHeight="false" outlineLevel="0" collapsed="false">
      <c r="A164" s="9" t="s">
        <v>1578</v>
      </c>
      <c r="B164" s="9" t="n">
        <v>14901</v>
      </c>
      <c r="C164" s="9" t="s">
        <v>1906</v>
      </c>
      <c r="D164" s="11" t="n">
        <v>40514.4722222222</v>
      </c>
      <c r="E164" s="9" t="n">
        <f aca="false">COUNTIFS('Invoice Lines'!$A$5:$A$5059,A164)</f>
        <v>18</v>
      </c>
      <c r="F164" s="9" t="n">
        <f aca="false">SUMIFS('Invoice Lines'!$C$5:$C$5059,'Invoice Lines'!$A$5:$A$5059,A164)</f>
        <v>105</v>
      </c>
      <c r="G164" s="10" t="n">
        <f aca="false">AVERAGEIFS('Invoice Lines'!$D$5:$D$5059,'Invoice Lines'!$A$5:$A$5059,A164)</f>
        <v>2.51666666666667</v>
      </c>
      <c r="H164" s="10" t="n">
        <f aca="false">SUMIFS('Invoice Lines'!$E$5:$E$5059,'Invoice Lines'!$A$5:$A$5059,A164)</f>
        <v>204.15</v>
      </c>
      <c r="I164" s="10" t="n">
        <f aca="false">Regression!$B$14+Regression!$B$12*E164+Regression!$B$13*F164</f>
        <v>281.616711628336</v>
      </c>
      <c r="J164" s="10" t="n">
        <f aca="false">H164-I164</f>
        <v>-77.4667116283361</v>
      </c>
    </row>
    <row r="165" customFormat="false" ht="15" hidden="false" customHeight="false" outlineLevel="0" collapsed="false">
      <c r="A165" s="9" t="s">
        <v>1580</v>
      </c>
      <c r="B165" s="9" t="n">
        <v>18041</v>
      </c>
      <c r="C165" s="9" t="s">
        <v>1906</v>
      </c>
      <c r="D165" s="11" t="n">
        <v>40514.4729166667</v>
      </c>
      <c r="E165" s="9" t="n">
        <f aca="false">COUNTIFS('Invoice Lines'!$A$5:$A$5059,A165)</f>
        <v>14</v>
      </c>
      <c r="F165" s="9" t="n">
        <f aca="false">SUMIFS('Invoice Lines'!$C$5:$C$5059,'Invoice Lines'!$A$5:$A$5059,A165)</f>
        <v>159</v>
      </c>
      <c r="G165" s="10" t="n">
        <f aca="false">AVERAGEIFS('Invoice Lines'!$D$5:$D$5059,'Invoice Lines'!$A$5:$A$5059,A165)</f>
        <v>2.04571428571429</v>
      </c>
      <c r="H165" s="10" t="n">
        <f aca="false">SUMIFS('Invoice Lines'!$E$5:$E$5059,'Invoice Lines'!$A$5:$A$5059,A165)</f>
        <v>193.78</v>
      </c>
      <c r="I165" s="10" t="n">
        <f aca="false">Regression!$B$14+Regression!$B$12*E165+Regression!$B$13*F165</f>
        <v>303.898337146041</v>
      </c>
      <c r="J165" s="10" t="n">
        <f aca="false">H165-I165</f>
        <v>-110.118337146041</v>
      </c>
    </row>
    <row r="166" customFormat="false" ht="15" hidden="false" customHeight="false" outlineLevel="0" collapsed="false">
      <c r="A166" s="9" t="s">
        <v>1583</v>
      </c>
      <c r="B166" s="9" t="n">
        <v>15955</v>
      </c>
      <c r="C166" s="9" t="s">
        <v>1906</v>
      </c>
      <c r="D166" s="11" t="n">
        <v>40514.4736111111</v>
      </c>
      <c r="E166" s="9" t="n">
        <f aca="false">COUNTIFS('Invoice Lines'!$A$5:$A$5059,A166)</f>
        <v>20</v>
      </c>
      <c r="F166" s="9" t="n">
        <f aca="false">SUMIFS('Invoice Lines'!$C$5:$C$5059,'Invoice Lines'!$A$5:$A$5059,A166)</f>
        <v>246</v>
      </c>
      <c r="G166" s="10" t="n">
        <f aca="false">AVERAGEIFS('Invoice Lines'!$D$5:$D$5059,'Invoice Lines'!$A$5:$A$5059,A166)</f>
        <v>2.9455</v>
      </c>
      <c r="H166" s="10" t="n">
        <f aca="false">SUMIFS('Invoice Lines'!$E$5:$E$5059,'Invoice Lines'!$A$5:$A$5059,A166)</f>
        <v>572.38</v>
      </c>
      <c r="I166" s="10" t="n">
        <f aca="false">Regression!$B$14+Regression!$B$12*E166+Regression!$B$13*F166</f>
        <v>429.415428101641</v>
      </c>
      <c r="J166" s="10" t="n">
        <f aca="false">H166-I166</f>
        <v>142.964571898359</v>
      </c>
    </row>
    <row r="167" customFormat="false" ht="15" hidden="false" customHeight="false" outlineLevel="0" collapsed="false">
      <c r="A167" s="9" t="s">
        <v>1586</v>
      </c>
      <c r="B167" s="9" t="n">
        <v>15070</v>
      </c>
      <c r="C167" s="9" t="s">
        <v>1906</v>
      </c>
      <c r="D167" s="11" t="n">
        <v>40514.4743055556</v>
      </c>
      <c r="E167" s="9" t="n">
        <f aca="false">COUNTIFS('Invoice Lines'!$A$5:$A$5059,A167)</f>
        <v>1</v>
      </c>
      <c r="F167" s="9" t="n">
        <f aca="false">SUMIFS('Invoice Lines'!$C$5:$C$5059,'Invoice Lines'!$A$5:$A$5059,A167)</f>
        <v>36</v>
      </c>
      <c r="G167" s="10" t="n">
        <f aca="false">AVERAGEIFS('Invoice Lines'!$D$5:$D$5059,'Invoice Lines'!$A$5:$A$5059,A167)</f>
        <v>2.95</v>
      </c>
      <c r="H167" s="10" t="n">
        <f aca="false">SUMIFS('Invoice Lines'!$E$5:$E$5059,'Invoice Lines'!$A$5:$A$5059,A167)</f>
        <v>106.2</v>
      </c>
      <c r="I167" s="10" t="n">
        <f aca="false">Regression!$B$14+Regression!$B$12*E167+Regression!$B$13*F167</f>
        <v>93.9121351035878</v>
      </c>
      <c r="J167" s="10" t="n">
        <f aca="false">H167-I167</f>
        <v>12.2878648964122</v>
      </c>
    </row>
    <row r="168" customFormat="false" ht="15" hidden="false" customHeight="false" outlineLevel="0" collapsed="false">
      <c r="A168" s="9" t="s">
        <v>1587</v>
      </c>
      <c r="B168" s="9" t="n">
        <v>18041</v>
      </c>
      <c r="C168" s="9" t="s">
        <v>1906</v>
      </c>
      <c r="D168" s="11" t="n">
        <v>40514.4826388889</v>
      </c>
      <c r="E168" s="9" t="n">
        <f aca="false">COUNTIFS('Invoice Lines'!$A$5:$A$5059,A168)</f>
        <v>59</v>
      </c>
      <c r="F168" s="9" t="n">
        <f aca="false">SUMIFS('Invoice Lines'!$C$5:$C$5059,'Invoice Lines'!$A$5:$A$5059,A168)</f>
        <v>157</v>
      </c>
      <c r="G168" s="10" t="n">
        <f aca="false">AVERAGEIFS('Invoice Lines'!$D$5:$D$5059,'Invoice Lines'!$A$5:$A$5059,A168)</f>
        <v>1.93610169491525</v>
      </c>
      <c r="H168" s="10" t="n">
        <f aca="false">SUMIFS('Invoice Lines'!$E$5:$E$5059,'Invoice Lines'!$A$5:$A$5059,A168)</f>
        <v>219.66</v>
      </c>
      <c r="I168" s="10" t="n">
        <f aca="false">Regression!$B$14+Regression!$B$12*E168+Regression!$B$13*F168</f>
        <v>626.074603346096</v>
      </c>
      <c r="J168" s="10" t="n">
        <f aca="false">H168-I168</f>
        <v>-406.414603346096</v>
      </c>
    </row>
    <row r="169" customFormat="false" ht="15" hidden="false" customHeight="false" outlineLevel="0" collapsed="false">
      <c r="A169" s="9" t="s">
        <v>1596</v>
      </c>
      <c r="B169" s="9" t="n">
        <v>16244</v>
      </c>
      <c r="C169" s="9" t="s">
        <v>1906</v>
      </c>
      <c r="D169" s="11" t="n">
        <v>40514.4868055556</v>
      </c>
      <c r="E169" s="9" t="n">
        <f aca="false">COUNTIFS('Invoice Lines'!$A$5:$A$5059,A169)</f>
        <v>63</v>
      </c>
      <c r="F169" s="9" t="n">
        <f aca="false">SUMIFS('Invoice Lines'!$C$5:$C$5059,'Invoice Lines'!$A$5:$A$5059,A169)</f>
        <v>619</v>
      </c>
      <c r="G169" s="10" t="n">
        <f aca="false">AVERAGEIFS('Invoice Lines'!$D$5:$D$5059,'Invoice Lines'!$A$5:$A$5059,A169)</f>
        <v>2.6331746031746</v>
      </c>
      <c r="H169" s="10" t="n">
        <f aca="false">SUMIFS('Invoice Lines'!$E$5:$E$5059,'Invoice Lines'!$A$5:$A$5059,A169)</f>
        <v>1056.63</v>
      </c>
      <c r="I169" s="10" t="n">
        <f aca="false">Regression!$B$14+Regression!$B$12*E169+Regression!$B$13*F169</f>
        <v>1091.96438904145</v>
      </c>
      <c r="J169" s="10" t="n">
        <f aca="false">H169-I169</f>
        <v>-35.3343890414449</v>
      </c>
    </row>
    <row r="170" customFormat="false" ht="15" hidden="false" customHeight="false" outlineLevel="0" collapsed="false">
      <c r="A170" s="9" t="s">
        <v>1614</v>
      </c>
      <c r="B170" s="9" t="n">
        <v>15111</v>
      </c>
      <c r="C170" s="9" t="s">
        <v>1906</v>
      </c>
      <c r="D170" s="11" t="n">
        <v>40514.4895833333</v>
      </c>
      <c r="E170" s="9" t="n">
        <f aca="false">COUNTIFS('Invoice Lines'!$A$5:$A$5059,A170)</f>
        <v>16</v>
      </c>
      <c r="F170" s="9" t="n">
        <f aca="false">SUMIFS('Invoice Lines'!$C$5:$C$5059,'Invoice Lines'!$A$5:$A$5059,A170)</f>
        <v>106</v>
      </c>
      <c r="G170" s="10" t="n">
        <f aca="false">AVERAGEIFS('Invoice Lines'!$D$5:$D$5059,'Invoice Lines'!$A$5:$A$5059,A170)</f>
        <v>4.05</v>
      </c>
      <c r="H170" s="10" t="n">
        <f aca="false">SUMIFS('Invoice Lines'!$E$5:$E$5059,'Invoice Lines'!$A$5:$A$5059,A170)</f>
        <v>288.5</v>
      </c>
      <c r="I170" s="10" t="n">
        <f aca="false">Regression!$B$14+Regression!$B$12*E170+Regression!$B$13*F170</f>
        <v>268.159740101259</v>
      </c>
      <c r="J170" s="10" t="n">
        <f aca="false">H170-I170</f>
        <v>20.3402598987406</v>
      </c>
    </row>
    <row r="171" customFormat="false" ht="15" hidden="false" customHeight="false" outlineLevel="0" collapsed="false">
      <c r="A171" s="9" t="s">
        <v>1616</v>
      </c>
      <c r="B171" s="9"/>
      <c r="C171" s="9"/>
      <c r="D171" s="11" t="n">
        <v>40514.4895833333</v>
      </c>
      <c r="E171" s="9" t="n">
        <f aca="false">COUNTIFS('Invoice Lines'!$A$5:$A$5059,A171)</f>
        <v>11</v>
      </c>
      <c r="F171" s="9" t="n">
        <f aca="false">SUMIFS('Invoice Lines'!$C$5:$C$5059,'Invoice Lines'!$A$5:$A$5059,A171)</f>
        <v>11</v>
      </c>
      <c r="G171" s="10" t="n">
        <f aca="false">AVERAGEIFS('Invoice Lines'!$D$5:$D$5059,'Invoice Lines'!$A$5:$A$5059,A171)</f>
        <v>4.16818181818182</v>
      </c>
      <c r="H171" s="10" t="n">
        <f aca="false">SUMIFS('Invoice Lines'!$E$5:$E$5059,'Invoice Lines'!$A$5:$A$5059,A171)</f>
        <v>45.85</v>
      </c>
      <c r="I171" s="10" t="n">
        <f aca="false">Regression!$B$14+Regression!$B$12*E171+Regression!$B$13*F171</f>
        <v>142.275620211334</v>
      </c>
      <c r="J171" s="10" t="n">
        <f aca="false">H171-I171</f>
        <v>-96.4256202113336</v>
      </c>
    </row>
    <row r="172" customFormat="false" ht="15" hidden="false" customHeight="false" outlineLevel="0" collapsed="false">
      <c r="A172" s="9" t="s">
        <v>1619</v>
      </c>
      <c r="B172" s="9" t="n">
        <v>12748</v>
      </c>
      <c r="C172" s="9" t="s">
        <v>1906</v>
      </c>
      <c r="D172" s="11" t="n">
        <v>40514.4902777778</v>
      </c>
      <c r="E172" s="9" t="n">
        <f aca="false">COUNTIFS('Invoice Lines'!$A$5:$A$5059,A172)</f>
        <v>1</v>
      </c>
      <c r="F172" s="9" t="n">
        <f aca="false">SUMIFS('Invoice Lines'!$C$5:$C$5059,'Invoice Lines'!$A$5:$A$5059,A172)</f>
        <v>1</v>
      </c>
      <c r="G172" s="10" t="n">
        <f aca="false">AVERAGEIFS('Invoice Lines'!$D$5:$D$5059,'Invoice Lines'!$A$5:$A$5059,A172)</f>
        <v>4.25</v>
      </c>
      <c r="H172" s="10" t="n">
        <f aca="false">SUMIFS('Invoice Lines'!$E$5:$E$5059,'Invoice Lines'!$A$5:$A$5059,A172)</f>
        <v>4.25</v>
      </c>
      <c r="I172" s="10" t="n">
        <f aca="false">Regression!$B$14+Regression!$B$12*E172+Regression!$B$13*F172</f>
        <v>60.7997331802217</v>
      </c>
      <c r="J172" s="10" t="n">
        <f aca="false">H172-I172</f>
        <v>-56.5497331802217</v>
      </c>
    </row>
    <row r="173" customFormat="false" ht="15" hidden="false" customHeight="false" outlineLevel="0" collapsed="false">
      <c r="A173" s="9" t="s">
        <v>1620</v>
      </c>
      <c r="B173" s="9" t="n">
        <v>14390</v>
      </c>
      <c r="C173" s="9" t="s">
        <v>1906</v>
      </c>
      <c r="D173" s="11" t="n">
        <v>40514.4979166667</v>
      </c>
      <c r="E173" s="9" t="n">
        <f aca="false">COUNTIFS('Invoice Lines'!$A$5:$A$5059,A173)</f>
        <v>27</v>
      </c>
      <c r="F173" s="9" t="n">
        <f aca="false">SUMIFS('Invoice Lines'!$C$5:$C$5059,'Invoice Lines'!$A$5:$A$5059,A173)</f>
        <v>74</v>
      </c>
      <c r="G173" s="10" t="n">
        <f aca="false">AVERAGEIFS('Invoice Lines'!$D$5:$D$5059,'Invoice Lines'!$A$5:$A$5059,A173)</f>
        <v>3.25740740740741</v>
      </c>
      <c r="H173" s="10" t="n">
        <f aca="false">SUMIFS('Invoice Lines'!$E$5:$E$5059,'Invoice Lines'!$A$5:$A$5059,A173)</f>
        <v>223.7</v>
      </c>
      <c r="I173" s="10" t="n">
        <f aca="false">Regression!$B$14+Regression!$B$12*E173+Regression!$B$13*F173</f>
        <v>317.102264901061</v>
      </c>
      <c r="J173" s="10" t="n">
        <f aca="false">H173-I173</f>
        <v>-93.4022649010613</v>
      </c>
    </row>
    <row r="174" customFormat="false" ht="15" hidden="false" customHeight="false" outlineLevel="0" collapsed="false">
      <c r="A174" s="9" t="s">
        <v>1623</v>
      </c>
      <c r="B174" s="9" t="n">
        <v>16546</v>
      </c>
      <c r="C174" s="9" t="s">
        <v>1906</v>
      </c>
      <c r="D174" s="11" t="n">
        <v>40514.5048611111</v>
      </c>
      <c r="E174" s="9" t="n">
        <f aca="false">COUNTIFS('Invoice Lines'!$A$5:$A$5059,A174)</f>
        <v>6</v>
      </c>
      <c r="F174" s="9" t="n">
        <f aca="false">SUMIFS('Invoice Lines'!$C$5:$C$5059,'Invoice Lines'!$A$5:$A$5059,A174)</f>
        <v>156</v>
      </c>
      <c r="G174" s="10" t="n">
        <f aca="false">AVERAGEIFS('Invoice Lines'!$D$5:$D$5059,'Invoice Lines'!$A$5:$A$5059,A174)</f>
        <v>1.84166666666667</v>
      </c>
      <c r="H174" s="10" t="n">
        <f aca="false">SUMIFS('Invoice Lines'!$E$5:$E$5059,'Invoice Lines'!$A$5:$A$5059,A174)</f>
        <v>299.4</v>
      </c>
      <c r="I174" s="10" t="n">
        <f aca="false">Regression!$B$14+Regression!$B$12*E174+Regression!$B$13*F174</f>
        <v>243.447970653061</v>
      </c>
      <c r="J174" s="10" t="n">
        <f aca="false">H174-I174</f>
        <v>55.9520293469391</v>
      </c>
    </row>
    <row r="175" customFormat="false" ht="15" hidden="false" customHeight="false" outlineLevel="0" collapsed="false">
      <c r="A175" s="9" t="s">
        <v>1624</v>
      </c>
      <c r="B175" s="9" t="n">
        <v>15260</v>
      </c>
      <c r="C175" s="9" t="s">
        <v>1906</v>
      </c>
      <c r="D175" s="11" t="n">
        <v>40514.50625</v>
      </c>
      <c r="E175" s="9" t="n">
        <f aca="false">COUNTIFS('Invoice Lines'!$A$5:$A$5059,A175)</f>
        <v>16</v>
      </c>
      <c r="F175" s="9" t="n">
        <f aca="false">SUMIFS('Invoice Lines'!$C$5:$C$5059,'Invoice Lines'!$A$5:$A$5059,A175)</f>
        <v>214</v>
      </c>
      <c r="G175" s="10" t="n">
        <f aca="false">AVERAGEIFS('Invoice Lines'!$D$5:$D$5059,'Invoice Lines'!$A$5:$A$5059,A175)</f>
        <v>3.18125</v>
      </c>
      <c r="H175" s="10" t="n">
        <f aca="false">SUMIFS('Invoice Lines'!$E$5:$E$5059,'Invoice Lines'!$A$5:$A$5059,A175)</f>
        <v>362.5</v>
      </c>
      <c r="I175" s="10" t="n">
        <f aca="false">Regression!$B$14+Regression!$B$12*E175+Regression!$B$13*F175</f>
        <v>370.335151750503</v>
      </c>
      <c r="J175" s="10" t="n">
        <f aca="false">H175-I175</f>
        <v>-7.83515175050337</v>
      </c>
    </row>
    <row r="176" customFormat="false" ht="15" hidden="false" customHeight="false" outlineLevel="0" collapsed="false">
      <c r="A176" s="9" t="s">
        <v>1626</v>
      </c>
      <c r="B176" s="9" t="n">
        <v>15260</v>
      </c>
      <c r="C176" s="9" t="s">
        <v>1906</v>
      </c>
      <c r="D176" s="11" t="n">
        <v>40514.50625</v>
      </c>
      <c r="E176" s="9" t="n">
        <f aca="false">COUNTIFS('Invoice Lines'!$A$5:$A$5059,A176)</f>
        <v>1</v>
      </c>
      <c r="F176" s="9" t="n">
        <f aca="false">SUMIFS('Invoice Lines'!$C$5:$C$5059,'Invoice Lines'!$A$5:$A$5059,A176)</f>
        <v>40</v>
      </c>
      <c r="G176" s="10" t="n">
        <f aca="false">AVERAGEIFS('Invoice Lines'!$D$5:$D$5059,'Invoice Lines'!$A$5:$A$5059,A176)</f>
        <v>1.45</v>
      </c>
      <c r="H176" s="10" t="n">
        <f aca="false">SUMIFS('Invoice Lines'!$E$5:$E$5059,'Invoice Lines'!$A$5:$A$5059,A176)</f>
        <v>58</v>
      </c>
      <c r="I176" s="10" t="n">
        <f aca="false">Regression!$B$14+Regression!$B$12*E176+Regression!$B$13*F176</f>
        <v>97.6964096091154</v>
      </c>
      <c r="J176" s="10" t="n">
        <f aca="false">H176-I176</f>
        <v>-39.6964096091154</v>
      </c>
    </row>
    <row r="177" customFormat="false" ht="15" hidden="false" customHeight="false" outlineLevel="0" collapsed="false">
      <c r="A177" s="9" t="s">
        <v>1627</v>
      </c>
      <c r="B177" s="9" t="n">
        <v>13305</v>
      </c>
      <c r="C177" s="9" t="s">
        <v>1906</v>
      </c>
      <c r="D177" s="11" t="n">
        <v>40514.5069444445</v>
      </c>
      <c r="E177" s="9" t="n">
        <f aca="false">COUNTIFS('Invoice Lines'!$A$5:$A$5059,A177)</f>
        <v>5</v>
      </c>
      <c r="F177" s="9" t="n">
        <f aca="false">SUMIFS('Invoice Lines'!$C$5:$C$5059,'Invoice Lines'!$A$5:$A$5059,A177)</f>
        <v>132</v>
      </c>
      <c r="G177" s="10" t="n">
        <f aca="false">AVERAGEIFS('Invoice Lines'!$D$5:$D$5059,'Invoice Lines'!$A$5:$A$5059,A177)</f>
        <v>1.09</v>
      </c>
      <c r="H177" s="10" t="n">
        <f aca="false">SUMIFS('Invoice Lines'!$E$5:$E$5059,'Invoice Lines'!$A$5:$A$5059,A177)</f>
        <v>136.2</v>
      </c>
      <c r="I177" s="10" t="n">
        <f aca="false">Regression!$B$14+Regression!$B$12*E177+Regression!$B$13*F177</f>
        <v>213.540803543166</v>
      </c>
      <c r="J177" s="10" t="n">
        <f aca="false">H177-I177</f>
        <v>-77.3408035431663</v>
      </c>
    </row>
    <row r="178" customFormat="false" ht="15" hidden="false" customHeight="false" outlineLevel="0" collapsed="false">
      <c r="A178" s="9" t="s">
        <v>1629</v>
      </c>
      <c r="B178" s="9" t="n">
        <v>14491</v>
      </c>
      <c r="C178" s="9" t="s">
        <v>1906</v>
      </c>
      <c r="D178" s="11" t="n">
        <v>40514.5069444445</v>
      </c>
      <c r="E178" s="9" t="n">
        <f aca="false">COUNTIFS('Invoice Lines'!$A$5:$A$5059,A178)</f>
        <v>4</v>
      </c>
      <c r="F178" s="9" t="n">
        <f aca="false">SUMIFS('Invoice Lines'!$C$5:$C$5059,'Invoice Lines'!$A$5:$A$5059,A178)</f>
        <v>40</v>
      </c>
      <c r="G178" s="10" t="n">
        <f aca="false">AVERAGEIFS('Invoice Lines'!$D$5:$D$5059,'Invoice Lines'!$A$5:$A$5059,A178)</f>
        <v>4.15</v>
      </c>
      <c r="H178" s="10" t="n">
        <f aca="false">SUMIFS('Invoice Lines'!$E$5:$E$5059,'Invoice Lines'!$A$5:$A$5059,A178)</f>
        <v>127.2</v>
      </c>
      <c r="I178" s="10" t="n">
        <f aca="false">Regression!$B$14+Regression!$B$12*E178+Regression!$B$13*F178</f>
        <v>119.300969839303</v>
      </c>
      <c r="J178" s="10" t="n">
        <f aca="false">H178-I178</f>
        <v>7.89903016069675</v>
      </c>
    </row>
    <row r="179" customFormat="false" ht="15" hidden="false" customHeight="false" outlineLevel="0" collapsed="false">
      <c r="A179" s="9" t="s">
        <v>1630</v>
      </c>
      <c r="B179" s="9" t="n">
        <v>14060</v>
      </c>
      <c r="C179" s="9" t="s">
        <v>1906</v>
      </c>
      <c r="D179" s="11" t="n">
        <v>40514.5076388889</v>
      </c>
      <c r="E179" s="9" t="n">
        <f aca="false">COUNTIFS('Invoice Lines'!$A$5:$A$5059,A179)</f>
        <v>8</v>
      </c>
      <c r="F179" s="9" t="n">
        <f aca="false">SUMIFS('Invoice Lines'!$C$5:$C$5059,'Invoice Lines'!$A$5:$A$5059,A179)</f>
        <v>504</v>
      </c>
      <c r="G179" s="10" t="n">
        <f aca="false">AVERAGEIFS('Invoice Lines'!$D$5:$D$5059,'Invoice Lines'!$A$5:$A$5059,A179)</f>
        <v>0.73875</v>
      </c>
      <c r="H179" s="10" t="n">
        <f aca="false">SUMIFS('Invoice Lines'!$E$5:$E$5059,'Invoice Lines'!$A$5:$A$5059,A179)</f>
        <v>339.84</v>
      </c>
      <c r="I179" s="10" t="n">
        <f aca="false">Regression!$B$14+Regression!$B$12*E179+Regression!$B$13*F179</f>
        <v>587.082892787417</v>
      </c>
      <c r="J179" s="10" t="n">
        <f aca="false">H179-I179</f>
        <v>-247.242892787417</v>
      </c>
    </row>
    <row r="180" customFormat="false" ht="15" hidden="false" customHeight="false" outlineLevel="0" collapsed="false">
      <c r="A180" s="9" t="s">
        <v>1632</v>
      </c>
      <c r="B180" s="9" t="n">
        <v>15923</v>
      </c>
      <c r="C180" s="9" t="s">
        <v>1906</v>
      </c>
      <c r="D180" s="11" t="n">
        <v>40514.5111111111</v>
      </c>
      <c r="E180" s="9" t="n">
        <f aca="false">COUNTIFS('Invoice Lines'!$A$5:$A$5059,A180)</f>
        <v>21</v>
      </c>
      <c r="F180" s="9" t="n">
        <f aca="false">SUMIFS('Invoice Lines'!$C$5:$C$5059,'Invoice Lines'!$A$5:$A$5059,A180)</f>
        <v>122</v>
      </c>
      <c r="G180" s="10" t="n">
        <f aca="false">AVERAGEIFS('Invoice Lines'!$D$5:$D$5059,'Invoice Lines'!$A$5:$A$5059,A180)</f>
        <v>2.81476190476191</v>
      </c>
      <c r="H180" s="10" t="n">
        <f aca="false">SUMIFS('Invoice Lines'!$E$5:$E$5059,'Invoice Lines'!$A$5:$A$5059,A180)</f>
        <v>127.08</v>
      </c>
      <c r="I180" s="10" t="n">
        <f aca="false">Regression!$B$14+Regression!$B$12*E180+Regression!$B$13*F180</f>
        <v>319.304438507016</v>
      </c>
      <c r="J180" s="10" t="n">
        <f aca="false">H180-I180</f>
        <v>-192.224438507016</v>
      </c>
    </row>
    <row r="181" customFormat="false" ht="15" hidden="false" customHeight="false" outlineLevel="0" collapsed="false">
      <c r="A181" s="9" t="s">
        <v>1640</v>
      </c>
      <c r="B181" s="9" t="n">
        <v>16752</v>
      </c>
      <c r="C181" s="9" t="s">
        <v>1906</v>
      </c>
      <c r="D181" s="11" t="n">
        <v>40514.5125</v>
      </c>
      <c r="E181" s="9" t="n">
        <f aca="false">COUNTIFS('Invoice Lines'!$A$5:$A$5059,A181)</f>
        <v>9</v>
      </c>
      <c r="F181" s="9" t="n">
        <f aca="false">SUMIFS('Invoice Lines'!$C$5:$C$5059,'Invoice Lines'!$A$5:$A$5059,A181)</f>
        <v>54</v>
      </c>
      <c r="G181" s="10" t="n">
        <f aca="false">AVERAGEIFS('Invoice Lines'!$D$5:$D$5059,'Invoice Lines'!$A$5:$A$5059,A181)</f>
        <v>13.5944444444444</v>
      </c>
      <c r="H181" s="10" t="n">
        <f aca="false">SUMIFS('Invoice Lines'!$E$5:$E$5059,'Invoice Lines'!$A$5:$A$5059,A181)</f>
        <v>207.5</v>
      </c>
      <c r="I181" s="10" t="n">
        <f aca="false">Regression!$B$14+Regression!$B$12*E181+Regression!$B$13*F181</f>
        <v>168.553530992296</v>
      </c>
      <c r="J181" s="10" t="n">
        <f aca="false">H181-I181</f>
        <v>38.9464690077038</v>
      </c>
    </row>
    <row r="182" customFormat="false" ht="15" hidden="false" customHeight="false" outlineLevel="0" collapsed="false">
      <c r="A182" s="9" t="s">
        <v>1644</v>
      </c>
      <c r="B182" s="9" t="n">
        <v>17287</v>
      </c>
      <c r="C182" s="9" t="s">
        <v>1906</v>
      </c>
      <c r="D182" s="11" t="n">
        <v>40514.5152777778</v>
      </c>
      <c r="E182" s="9" t="n">
        <f aca="false">COUNTIFS('Invoice Lines'!$A$5:$A$5059,A182)</f>
        <v>13</v>
      </c>
      <c r="F182" s="9" t="n">
        <f aca="false">SUMIFS('Invoice Lines'!$C$5:$C$5059,'Invoice Lines'!$A$5:$A$5059,A182)</f>
        <v>46</v>
      </c>
      <c r="G182" s="10" t="n">
        <f aca="false">AVERAGEIFS('Invoice Lines'!$D$5:$D$5059,'Invoice Lines'!$A$5:$A$5059,A182)</f>
        <v>2.81076923076923</v>
      </c>
      <c r="H182" s="10" t="n">
        <f aca="false">SUMIFS('Invoice Lines'!$E$5:$E$5059,'Invoice Lines'!$A$5:$A$5059,A182)</f>
        <v>113.92</v>
      </c>
      <c r="I182" s="10" t="n">
        <f aca="false">Regression!$B$14+Regression!$B$12*E182+Regression!$B$13*F182</f>
        <v>189.791062288158</v>
      </c>
      <c r="J182" s="10" t="n">
        <f aca="false">H182-I182</f>
        <v>-75.8710622881583</v>
      </c>
    </row>
    <row r="183" customFormat="false" ht="15" hidden="false" customHeight="false" outlineLevel="0" collapsed="false">
      <c r="A183" s="9" t="s">
        <v>1645</v>
      </c>
      <c r="B183" s="9" t="n">
        <v>17850</v>
      </c>
      <c r="C183" s="9" t="s">
        <v>1906</v>
      </c>
      <c r="D183" s="11" t="n">
        <v>40514.5159722222</v>
      </c>
      <c r="E183" s="9" t="n">
        <f aca="false">COUNTIFS('Invoice Lines'!$A$5:$A$5059,A183)</f>
        <v>17</v>
      </c>
      <c r="F183" s="9" t="n">
        <f aca="false">SUMIFS('Invoice Lines'!$C$5:$C$5059,'Invoice Lines'!$A$5:$A$5059,A183)</f>
        <v>108</v>
      </c>
      <c r="G183" s="10" t="n">
        <f aca="false">AVERAGEIFS('Invoice Lines'!$D$5:$D$5059,'Invoice Lines'!$A$5:$A$5059,A183)</f>
        <v>5.03294117647059</v>
      </c>
      <c r="H183" s="10" t="n">
        <f aca="false">SUMIFS('Invoice Lines'!$E$5:$E$5059,'Invoice Lines'!$A$5:$A$5059,A183)</f>
        <v>380.46</v>
      </c>
      <c r="I183" s="10" t="n">
        <f aca="false">Regression!$B$14+Regression!$B$12*E183+Regression!$B$13*F183</f>
        <v>277.253397430753</v>
      </c>
      <c r="J183" s="10" t="n">
        <f aca="false">H183-I183</f>
        <v>103.206602569247</v>
      </c>
    </row>
    <row r="184" customFormat="false" ht="15" hidden="false" customHeight="false" outlineLevel="0" collapsed="false">
      <c r="A184" s="9" t="s">
        <v>1646</v>
      </c>
      <c r="B184" s="9" t="n">
        <v>17850</v>
      </c>
      <c r="C184" s="9" t="s">
        <v>1906</v>
      </c>
      <c r="D184" s="11" t="n">
        <v>40514.5166666667</v>
      </c>
      <c r="E184" s="9" t="n">
        <f aca="false">COUNTIFS('Invoice Lines'!$A$5:$A$5059,A184)</f>
        <v>2</v>
      </c>
      <c r="F184" s="9" t="n">
        <f aca="false">SUMIFS('Invoice Lines'!$C$5:$C$5059,'Invoice Lines'!$A$5:$A$5059,A184)</f>
        <v>12</v>
      </c>
      <c r="G184" s="10" t="n">
        <f aca="false">AVERAGEIFS('Invoice Lines'!$D$5:$D$5059,'Invoice Lines'!$A$5:$A$5059,A184)</f>
        <v>1.85</v>
      </c>
      <c r="H184" s="10" t="n">
        <f aca="false">SUMIFS('Invoice Lines'!$E$5:$E$5059,'Invoice Lines'!$A$5:$A$5059,A184)</f>
        <v>22.2</v>
      </c>
      <c r="I184" s="10" t="n">
        <f aca="false">Regression!$B$14+Regression!$B$12*E184+Regression!$B$13*F184</f>
        <v>78.4080081471518</v>
      </c>
      <c r="J184" s="10" t="n">
        <f aca="false">H184-I184</f>
        <v>-56.2080081471518</v>
      </c>
    </row>
    <row r="185" customFormat="false" ht="15" hidden="false" customHeight="false" outlineLevel="0" collapsed="false">
      <c r="A185" s="9" t="s">
        <v>1647</v>
      </c>
      <c r="B185" s="9" t="n">
        <v>17850</v>
      </c>
      <c r="C185" s="9" t="s">
        <v>1906</v>
      </c>
      <c r="D185" s="11" t="n">
        <v>40514.5173611111</v>
      </c>
      <c r="E185" s="9" t="n">
        <f aca="false">COUNTIFS('Invoice Lines'!$A$5:$A$5059,A185)</f>
        <v>17</v>
      </c>
      <c r="F185" s="9" t="n">
        <f aca="false">SUMIFS('Invoice Lines'!$C$5:$C$5059,'Invoice Lines'!$A$5:$A$5059,A185)</f>
        <v>92</v>
      </c>
      <c r="G185" s="10" t="n">
        <f aca="false">AVERAGEIFS('Invoice Lines'!$D$5:$D$5059,'Invoice Lines'!$A$5:$A$5059,A185)</f>
        <v>5.03294117647059</v>
      </c>
      <c r="H185" s="10" t="n">
        <f aca="false">SUMIFS('Invoice Lines'!$E$5:$E$5059,'Invoice Lines'!$A$5:$A$5059,A185)</f>
        <v>331.26</v>
      </c>
      <c r="I185" s="10" t="n">
        <f aca="false">Regression!$B$14+Regression!$B$12*E185+Regression!$B$13*F185</f>
        <v>262.116299408642</v>
      </c>
      <c r="J185" s="10" t="n">
        <f aca="false">H185-I185</f>
        <v>69.1437005913577</v>
      </c>
    </row>
    <row r="186" customFormat="false" ht="15" hidden="false" customHeight="false" outlineLevel="0" collapsed="false">
      <c r="A186" s="9" t="s">
        <v>1648</v>
      </c>
      <c r="B186" s="9" t="n">
        <v>17850</v>
      </c>
      <c r="C186" s="9" t="s">
        <v>1906</v>
      </c>
      <c r="D186" s="11" t="n">
        <v>40514.5180555556</v>
      </c>
      <c r="E186" s="9" t="n">
        <f aca="false">COUNTIFS('Invoice Lines'!$A$5:$A$5059,A186)</f>
        <v>2</v>
      </c>
      <c r="F186" s="9" t="n">
        <f aca="false">SUMIFS('Invoice Lines'!$C$5:$C$5059,'Invoice Lines'!$A$5:$A$5059,A186)</f>
        <v>12</v>
      </c>
      <c r="G186" s="10" t="n">
        <f aca="false">AVERAGEIFS('Invoice Lines'!$D$5:$D$5059,'Invoice Lines'!$A$5:$A$5059,A186)</f>
        <v>1.85</v>
      </c>
      <c r="H186" s="10" t="n">
        <f aca="false">SUMIFS('Invoice Lines'!$E$5:$E$5059,'Invoice Lines'!$A$5:$A$5059,A186)</f>
        <v>22.2</v>
      </c>
      <c r="I186" s="10" t="n">
        <f aca="false">Regression!$B$14+Regression!$B$12*E186+Regression!$B$13*F186</f>
        <v>78.4080081471518</v>
      </c>
      <c r="J186" s="10" t="n">
        <f aca="false">H186-I186</f>
        <v>-56.2080081471518</v>
      </c>
    </row>
    <row r="187" customFormat="false" ht="15" hidden="false" customHeight="false" outlineLevel="0" collapsed="false">
      <c r="A187" s="9" t="s">
        <v>1649</v>
      </c>
      <c r="B187" s="9" t="n">
        <v>15363</v>
      </c>
      <c r="C187" s="9" t="s">
        <v>1906</v>
      </c>
      <c r="D187" s="11" t="n">
        <v>40514.5194444444</v>
      </c>
      <c r="E187" s="9" t="n">
        <f aca="false">COUNTIFS('Invoice Lines'!$A$5:$A$5059,A187)</f>
        <v>16</v>
      </c>
      <c r="F187" s="9" t="n">
        <f aca="false">SUMIFS('Invoice Lines'!$C$5:$C$5059,'Invoice Lines'!$A$5:$A$5059,A187)</f>
        <v>144</v>
      </c>
      <c r="G187" s="10" t="n">
        <f aca="false">AVERAGEIFS('Invoice Lines'!$D$5:$D$5059,'Invoice Lines'!$A$5:$A$5059,A187)</f>
        <v>2.9875</v>
      </c>
      <c r="H187" s="10" t="n">
        <f aca="false">SUMIFS('Invoice Lines'!$E$5:$E$5059,'Invoice Lines'!$A$5:$A$5059,A187)</f>
        <v>326</v>
      </c>
      <c r="I187" s="10" t="n">
        <f aca="false">Regression!$B$14+Regression!$B$12*E187+Regression!$B$13*F187</f>
        <v>304.110347903771</v>
      </c>
      <c r="J187" s="10" t="n">
        <f aca="false">H187-I187</f>
        <v>21.8896520962288</v>
      </c>
    </row>
    <row r="188" customFormat="false" ht="15" hidden="false" customHeight="false" outlineLevel="0" collapsed="false">
      <c r="A188" s="9" t="s">
        <v>1653</v>
      </c>
      <c r="B188" s="9" t="n">
        <v>12915</v>
      </c>
      <c r="C188" s="9" t="s">
        <v>1906</v>
      </c>
      <c r="D188" s="11" t="n">
        <v>40514.5229166667</v>
      </c>
      <c r="E188" s="9" t="n">
        <f aca="false">COUNTIFS('Invoice Lines'!$A$5:$A$5059,A188)</f>
        <v>13</v>
      </c>
      <c r="F188" s="9" t="n">
        <f aca="false">SUMIFS('Invoice Lines'!$C$5:$C$5059,'Invoice Lines'!$A$5:$A$5059,A188)</f>
        <v>41</v>
      </c>
      <c r="G188" s="10" t="n">
        <f aca="false">AVERAGEIFS('Invoice Lines'!$D$5:$D$5059,'Invoice Lines'!$A$5:$A$5059,A188)</f>
        <v>7.69230769230769</v>
      </c>
      <c r="H188" s="10" t="n">
        <f aca="false">SUMIFS('Invoice Lines'!$E$5:$E$5059,'Invoice Lines'!$A$5:$A$5059,A188)</f>
        <v>199.65</v>
      </c>
      <c r="I188" s="10" t="n">
        <f aca="false">Regression!$B$14+Regression!$B$12*E188+Regression!$B$13*F188</f>
        <v>185.060719156249</v>
      </c>
      <c r="J188" s="10" t="n">
        <f aca="false">H188-I188</f>
        <v>14.5892808437512</v>
      </c>
    </row>
    <row r="189" customFormat="false" ht="15" hidden="false" customHeight="false" outlineLevel="0" collapsed="false">
      <c r="A189" s="9" t="s">
        <v>1657</v>
      </c>
      <c r="B189" s="9" t="n">
        <v>15544</v>
      </c>
      <c r="C189" s="9" t="s">
        <v>1906</v>
      </c>
      <c r="D189" s="11" t="n">
        <v>40514.5326388889</v>
      </c>
      <c r="E189" s="9" t="n">
        <f aca="false">COUNTIFS('Invoice Lines'!$A$5:$A$5059,A189)</f>
        <v>26</v>
      </c>
      <c r="F189" s="9" t="n">
        <f aca="false">SUMIFS('Invoice Lines'!$C$5:$C$5059,'Invoice Lines'!$A$5:$A$5059,A189)</f>
        <v>274</v>
      </c>
      <c r="G189" s="10" t="n">
        <f aca="false">AVERAGEIFS('Invoice Lines'!$D$5:$D$5059,'Invoice Lines'!$A$5:$A$5059,A189)</f>
        <v>1.95307692307692</v>
      </c>
      <c r="H189" s="10" t="n">
        <f aca="false">SUMIFS('Invoice Lines'!$E$5:$E$5059,'Invoice Lines'!$A$5:$A$5059,A189)</f>
        <v>354.54</v>
      </c>
      <c r="I189" s="10" t="n">
        <f aca="false">Regression!$B$14+Regression!$B$12*E189+Regression!$B$13*F189</f>
        <v>499.11447010071</v>
      </c>
      <c r="J189" s="10" t="n">
        <f aca="false">H189-I189</f>
        <v>-144.57447010071</v>
      </c>
    </row>
    <row r="190" customFormat="false" ht="15" hidden="false" customHeight="false" outlineLevel="0" collapsed="false">
      <c r="A190" s="9" t="s">
        <v>1665</v>
      </c>
      <c r="B190" s="9" t="n">
        <v>15738</v>
      </c>
      <c r="C190" s="9" t="s">
        <v>1906</v>
      </c>
      <c r="D190" s="11" t="n">
        <v>40514.5347222222</v>
      </c>
      <c r="E190" s="9" t="n">
        <f aca="false">COUNTIFS('Invoice Lines'!$A$5:$A$5059,A190)</f>
        <v>14</v>
      </c>
      <c r="F190" s="9" t="n">
        <f aca="false">SUMIFS('Invoice Lines'!$C$5:$C$5059,'Invoice Lines'!$A$5:$A$5059,A190)</f>
        <v>255</v>
      </c>
      <c r="G190" s="10" t="n">
        <f aca="false">AVERAGEIFS('Invoice Lines'!$D$5:$D$5059,'Invoice Lines'!$A$5:$A$5059,A190)</f>
        <v>1.84642857142857</v>
      </c>
      <c r="H190" s="10" t="n">
        <f aca="false">SUMIFS('Invoice Lines'!$E$5:$E$5059,'Invoice Lines'!$A$5:$A$5059,A190)</f>
        <v>329.65</v>
      </c>
      <c r="I190" s="10" t="n">
        <f aca="false">Regression!$B$14+Regression!$B$12*E190+Regression!$B$13*F190</f>
        <v>394.720925278702</v>
      </c>
      <c r="J190" s="10" t="n">
        <f aca="false">H190-I190</f>
        <v>-65.0709252787022</v>
      </c>
    </row>
    <row r="191" customFormat="false" ht="15" hidden="false" customHeight="false" outlineLevel="0" collapsed="false">
      <c r="A191" s="9" t="s">
        <v>1668</v>
      </c>
      <c r="B191" s="9" t="n">
        <v>17381</v>
      </c>
      <c r="C191" s="9" t="s">
        <v>1906</v>
      </c>
      <c r="D191" s="11" t="n">
        <v>40514.5402777778</v>
      </c>
      <c r="E191" s="9" t="n">
        <f aca="false">COUNTIFS('Invoice Lines'!$A$5:$A$5059,A191)</f>
        <v>1</v>
      </c>
      <c r="F191" s="9" t="n">
        <f aca="false">SUMIFS('Invoice Lines'!$C$5:$C$5059,'Invoice Lines'!$A$5:$A$5059,A191)</f>
        <v>128</v>
      </c>
      <c r="G191" s="10" t="n">
        <f aca="false">AVERAGEIFS('Invoice Lines'!$D$5:$D$5059,'Invoice Lines'!$A$5:$A$5059,A191)</f>
        <v>1.65</v>
      </c>
      <c r="H191" s="10" t="n">
        <f aca="false">SUMIFS('Invoice Lines'!$E$5:$E$5059,'Invoice Lines'!$A$5:$A$5059,A191)</f>
        <v>211.2</v>
      </c>
      <c r="I191" s="10" t="n">
        <f aca="false">Regression!$B$14+Regression!$B$12*E191+Regression!$B$13*F191</f>
        <v>180.950448730722</v>
      </c>
      <c r="J191" s="10" t="n">
        <f aca="false">H191-I191</f>
        <v>30.2495512692785</v>
      </c>
    </row>
    <row r="192" customFormat="false" ht="15" hidden="false" customHeight="false" outlineLevel="0" collapsed="false">
      <c r="A192" s="9" t="s">
        <v>1669</v>
      </c>
      <c r="B192" s="9" t="n">
        <v>17381</v>
      </c>
      <c r="C192" s="9" t="s">
        <v>1906</v>
      </c>
      <c r="D192" s="11" t="n">
        <v>40514.5409722222</v>
      </c>
      <c r="E192" s="9" t="n">
        <f aca="false">COUNTIFS('Invoice Lines'!$A$5:$A$5059,A192)</f>
        <v>5</v>
      </c>
      <c r="F192" s="9" t="n">
        <f aca="false">SUMIFS('Invoice Lines'!$C$5:$C$5059,'Invoice Lines'!$A$5:$A$5059,A192)</f>
        <v>1296</v>
      </c>
      <c r="G192" s="10" t="n">
        <f aca="false">AVERAGEIFS('Invoice Lines'!$D$5:$D$5059,'Invoice Lines'!$A$5:$A$5059,A192)</f>
        <v>0.828</v>
      </c>
      <c r="H192" s="10" t="n">
        <f aca="false">SUMIFS('Invoice Lines'!$E$5:$E$5059,'Invoice Lines'!$A$5:$A$5059,A192)</f>
        <v>824.88</v>
      </c>
      <c r="I192" s="10" t="n">
        <f aca="false">Regression!$B$14+Regression!$B$12*E192+Regression!$B$13*F192</f>
        <v>1314.76468465168</v>
      </c>
      <c r="J192" s="10" t="n">
        <f aca="false">H192-I192</f>
        <v>-489.884684651684</v>
      </c>
    </row>
    <row r="193" customFormat="false" ht="15" hidden="false" customHeight="false" outlineLevel="0" collapsed="false">
      <c r="A193" s="9" t="s">
        <v>1670</v>
      </c>
      <c r="B193" s="9" t="n">
        <v>15827</v>
      </c>
      <c r="C193" s="9" t="s">
        <v>1906</v>
      </c>
      <c r="D193" s="11" t="n">
        <v>40514.5458333333</v>
      </c>
      <c r="E193" s="9" t="n">
        <f aca="false">COUNTIFS('Invoice Lines'!$A$5:$A$5059,A193)</f>
        <v>7</v>
      </c>
      <c r="F193" s="9" t="n">
        <f aca="false">SUMIFS('Invoice Lines'!$C$5:$C$5059,'Invoice Lines'!$A$5:$A$5059,A193)</f>
        <v>42</v>
      </c>
      <c r="G193" s="10" t="n">
        <f aca="false">AVERAGEIFS('Invoice Lines'!$D$5:$D$5059,'Invoice Lines'!$A$5:$A$5059,A193)</f>
        <v>6.16</v>
      </c>
      <c r="H193" s="10" t="n">
        <f aca="false">SUMIFS('Invoice Lines'!$E$5:$E$5059,'Invoice Lines'!$A$5:$A$5059,A193)</f>
        <v>98.18</v>
      </c>
      <c r="I193" s="10" t="n">
        <f aca="false">Regression!$B$14+Regression!$B$12*E193+Regression!$B$13*F193</f>
        <v>142.797667322255</v>
      </c>
      <c r="J193" s="10" t="n">
        <f aca="false">H193-I193</f>
        <v>-44.6176673222549</v>
      </c>
    </row>
    <row r="194" customFormat="false" ht="15" hidden="false" customHeight="false" outlineLevel="0" collapsed="false">
      <c r="A194" s="9" t="s">
        <v>1673</v>
      </c>
      <c r="B194" s="9" t="n">
        <v>14180</v>
      </c>
      <c r="C194" s="9" t="s">
        <v>1906</v>
      </c>
      <c r="D194" s="11" t="n">
        <v>40514.5472222222</v>
      </c>
      <c r="E194" s="9" t="n">
        <f aca="false">COUNTIFS('Invoice Lines'!$A$5:$A$5059,A194)</f>
        <v>12</v>
      </c>
      <c r="F194" s="9" t="n">
        <f aca="false">SUMIFS('Invoice Lines'!$C$5:$C$5059,'Invoice Lines'!$A$5:$A$5059,A194)</f>
        <v>31</v>
      </c>
      <c r="G194" s="10" t="n">
        <f aca="false">AVERAGEIFS('Invoice Lines'!$D$5:$D$5059,'Invoice Lines'!$A$5:$A$5059,A194)</f>
        <v>8.65</v>
      </c>
      <c r="H194" s="10" t="n">
        <f aca="false">SUMIFS('Invoice Lines'!$E$5:$E$5059,'Invoice Lines'!$A$5:$A$5059,A194)</f>
        <v>201.75</v>
      </c>
      <c r="I194" s="10" t="n">
        <f aca="false">Regression!$B$14+Regression!$B$12*E194+Regression!$B$13*F194</f>
        <v>168.398512815701</v>
      </c>
      <c r="J194" s="10" t="n">
        <f aca="false">H194-I194</f>
        <v>33.3514871842993</v>
      </c>
    </row>
    <row r="195" customFormat="false" ht="15" hidden="false" customHeight="false" outlineLevel="0" collapsed="false">
      <c r="A195" s="9" t="s">
        <v>1677</v>
      </c>
      <c r="B195" s="9" t="n">
        <v>15827</v>
      </c>
      <c r="C195" s="9" t="s">
        <v>1906</v>
      </c>
      <c r="D195" s="11" t="n">
        <v>40514.5472222222</v>
      </c>
      <c r="E195" s="9" t="n">
        <f aca="false">COUNTIFS('Invoice Lines'!$A$5:$A$5059,A195)</f>
        <v>7</v>
      </c>
      <c r="F195" s="9" t="n">
        <f aca="false">SUMIFS('Invoice Lines'!$C$5:$C$5059,'Invoice Lines'!$A$5:$A$5059,A195)</f>
        <v>67</v>
      </c>
      <c r="G195" s="10" t="n">
        <f aca="false">AVERAGEIFS('Invoice Lines'!$D$5:$D$5059,'Invoice Lines'!$A$5:$A$5059,A195)</f>
        <v>2.55714285714286</v>
      </c>
      <c r="H195" s="10" t="n">
        <f aca="false">SUMIFS('Invoice Lines'!$E$5:$E$5059,'Invoice Lines'!$A$5:$A$5059,A195)</f>
        <v>92.75</v>
      </c>
      <c r="I195" s="10" t="n">
        <f aca="false">Regression!$B$14+Regression!$B$12*E195+Regression!$B$13*F195</f>
        <v>166.449382981802</v>
      </c>
      <c r="J195" s="10" t="n">
        <f aca="false">H195-I195</f>
        <v>-73.6993829818021</v>
      </c>
    </row>
    <row r="196" customFormat="false" ht="15" hidden="false" customHeight="false" outlineLevel="0" collapsed="false">
      <c r="A196" s="9" t="s">
        <v>1678</v>
      </c>
      <c r="B196" s="9" t="n">
        <v>13117</v>
      </c>
      <c r="C196" s="9" t="s">
        <v>1906</v>
      </c>
      <c r="D196" s="11" t="n">
        <v>40514.5493055556</v>
      </c>
      <c r="E196" s="9" t="n">
        <f aca="false">COUNTIFS('Invoice Lines'!$A$5:$A$5059,A196)</f>
        <v>15</v>
      </c>
      <c r="F196" s="9" t="n">
        <f aca="false">SUMIFS('Invoice Lines'!$C$5:$C$5059,'Invoice Lines'!$A$5:$A$5059,A196)</f>
        <v>130</v>
      </c>
      <c r="G196" s="10" t="n">
        <f aca="false">AVERAGEIFS('Invoice Lines'!$D$5:$D$5059,'Invoice Lines'!$A$5:$A$5059,A196)</f>
        <v>1.70266666666667</v>
      </c>
      <c r="H196" s="10" t="n">
        <f aca="false">SUMIFS('Invoice Lines'!$E$5:$E$5059,'Invoice Lines'!$A$5:$A$5059,A196)</f>
        <v>202.12</v>
      </c>
      <c r="I196" s="10" t="n">
        <f aca="false">Regression!$B$14+Regression!$B$12*E196+Regression!$B$13*F196</f>
        <v>283.663867057696</v>
      </c>
      <c r="J196" s="10" t="n">
        <f aca="false">H196-I196</f>
        <v>-81.5438670576955</v>
      </c>
    </row>
    <row r="197" customFormat="false" ht="15" hidden="false" customHeight="false" outlineLevel="0" collapsed="false">
      <c r="A197" s="9" t="s">
        <v>1684</v>
      </c>
      <c r="B197" s="9" t="n">
        <v>16916</v>
      </c>
      <c r="C197" s="9" t="s">
        <v>1906</v>
      </c>
      <c r="D197" s="11" t="n">
        <v>40514.5513888889</v>
      </c>
      <c r="E197" s="9" t="n">
        <f aca="false">COUNTIFS('Invoice Lines'!$A$5:$A$5059,A197)</f>
        <v>49</v>
      </c>
      <c r="F197" s="9" t="n">
        <f aca="false">SUMIFS('Invoice Lines'!$C$5:$C$5059,'Invoice Lines'!$A$5:$A$5059,A197)</f>
        <v>102</v>
      </c>
      <c r="G197" s="10" t="n">
        <f aca="false">AVERAGEIFS('Invoice Lines'!$D$5:$D$5059,'Invoice Lines'!$A$5:$A$5059,A197)</f>
        <v>2.56</v>
      </c>
      <c r="H197" s="10" t="n">
        <f aca="false">SUMIFS('Invoice Lines'!$E$5:$E$5059,'Invoice Lines'!$A$5:$A$5059,A197)</f>
        <v>196.43</v>
      </c>
      <c r="I197" s="10" t="n">
        <f aca="false">Regression!$B$14+Regression!$B$12*E197+Regression!$B$13*F197</f>
        <v>502.025628127799</v>
      </c>
      <c r="J197" s="10" t="n">
        <f aca="false">H197-I197</f>
        <v>-305.595628127799</v>
      </c>
    </row>
    <row r="198" customFormat="false" ht="15" hidden="false" customHeight="false" outlineLevel="0" collapsed="false">
      <c r="A198" s="9" t="s">
        <v>1693</v>
      </c>
      <c r="B198" s="9" t="n">
        <v>17964</v>
      </c>
      <c r="C198" s="9" t="s">
        <v>1906</v>
      </c>
      <c r="D198" s="11" t="n">
        <v>40514.5638888889</v>
      </c>
      <c r="E198" s="9" t="n">
        <f aca="false">COUNTIFS('Invoice Lines'!$A$5:$A$5059,A198)</f>
        <v>35</v>
      </c>
      <c r="F198" s="9" t="n">
        <f aca="false">SUMIFS('Invoice Lines'!$C$5:$C$5059,'Invoice Lines'!$A$5:$A$5059,A198)</f>
        <v>195</v>
      </c>
      <c r="G198" s="10" t="n">
        <f aca="false">AVERAGEIFS('Invoice Lines'!$D$5:$D$5059,'Invoice Lines'!$A$5:$A$5059,A198)</f>
        <v>3.56171428571429</v>
      </c>
      <c r="H198" s="10" t="n">
        <f aca="false">SUMIFS('Invoice Lines'!$E$5:$E$5059,'Invoice Lines'!$A$5:$A$5059,A198)</f>
        <v>261.76</v>
      </c>
      <c r="I198" s="10" t="n">
        <f aca="false">Regression!$B$14+Regression!$B$12*E198+Regression!$B$13*F198</f>
        <v>489.188729307104</v>
      </c>
      <c r="J198" s="10" t="n">
        <f aca="false">H198-I198</f>
        <v>-227.428729307104</v>
      </c>
    </row>
    <row r="199" customFormat="false" ht="15" hidden="false" customHeight="false" outlineLevel="0" collapsed="false">
      <c r="A199" s="9" t="s">
        <v>1710</v>
      </c>
      <c r="B199" s="9" t="n">
        <v>14466</v>
      </c>
      <c r="C199" s="9" t="s">
        <v>1906</v>
      </c>
      <c r="D199" s="11" t="n">
        <v>40514.5666666667</v>
      </c>
      <c r="E199" s="9" t="n">
        <f aca="false">COUNTIFS('Invoice Lines'!$A$5:$A$5059,A199)</f>
        <v>10</v>
      </c>
      <c r="F199" s="9" t="n">
        <f aca="false">SUMIFS('Invoice Lines'!$C$5:$C$5059,'Invoice Lines'!$A$5:$A$5059,A199)</f>
        <v>137</v>
      </c>
      <c r="G199" s="10" t="n">
        <f aca="false">AVERAGEIFS('Invoice Lines'!$D$5:$D$5059,'Invoice Lines'!$A$5:$A$5059,A199)</f>
        <v>5.73</v>
      </c>
      <c r="H199" s="10" t="n">
        <f aca="false">SUMIFS('Invoice Lines'!$E$5:$E$5059,'Invoice Lines'!$A$5:$A$5059,A199)</f>
        <v>379.75</v>
      </c>
      <c r="I199" s="10" t="n">
        <f aca="false">Regression!$B$14+Regression!$B$12*E199+Regression!$B$13*F199</f>
        <v>254.278747058722</v>
      </c>
      <c r="J199" s="10" t="n">
        <f aca="false">H199-I199</f>
        <v>125.471252941278</v>
      </c>
    </row>
    <row r="200" customFormat="false" ht="15" hidden="false" customHeight="false" outlineLevel="0" collapsed="false">
      <c r="A200" s="9" t="s">
        <v>1711</v>
      </c>
      <c r="B200" s="9" t="n">
        <v>17235</v>
      </c>
      <c r="C200" s="9" t="s">
        <v>1906</v>
      </c>
      <c r="D200" s="11" t="n">
        <v>40514.5680555556</v>
      </c>
      <c r="E200" s="9" t="n">
        <f aca="false">COUNTIFS('Invoice Lines'!$A$5:$A$5059,A200)</f>
        <v>10</v>
      </c>
      <c r="F200" s="9" t="n">
        <f aca="false">SUMIFS('Invoice Lines'!$C$5:$C$5059,'Invoice Lines'!$A$5:$A$5059,A200)</f>
        <v>126</v>
      </c>
      <c r="G200" s="10" t="n">
        <f aca="false">AVERAGEIFS('Invoice Lines'!$D$5:$D$5059,'Invoice Lines'!$A$5:$A$5059,A200)</f>
        <v>3.43</v>
      </c>
      <c r="H200" s="10" t="n">
        <f aca="false">SUMIFS('Invoice Lines'!$E$5:$E$5059,'Invoice Lines'!$A$5:$A$5059,A200)</f>
        <v>341.9</v>
      </c>
      <c r="I200" s="10" t="n">
        <f aca="false">Regression!$B$14+Regression!$B$12*E200+Regression!$B$13*F200</f>
        <v>243.871992168521</v>
      </c>
      <c r="J200" s="10" t="n">
        <f aca="false">H200-I200</f>
        <v>98.0280078314785</v>
      </c>
    </row>
    <row r="201" customFormat="false" ht="15" hidden="false" customHeight="false" outlineLevel="0" collapsed="false">
      <c r="A201" s="9" t="s">
        <v>1712</v>
      </c>
      <c r="B201" s="9" t="n">
        <v>16510</v>
      </c>
      <c r="C201" s="9" t="s">
        <v>1906</v>
      </c>
      <c r="D201" s="11" t="n">
        <v>40514.56875</v>
      </c>
      <c r="E201" s="9" t="n">
        <f aca="false">COUNTIFS('Invoice Lines'!$A$5:$A$5059,A201)</f>
        <v>13</v>
      </c>
      <c r="F201" s="9" t="n">
        <f aca="false">SUMIFS('Invoice Lines'!$C$5:$C$5059,'Invoice Lines'!$A$5:$A$5059,A201)</f>
        <v>92</v>
      </c>
      <c r="G201" s="10" t="n">
        <f aca="false">AVERAGEIFS('Invoice Lines'!$D$5:$D$5059,'Invoice Lines'!$A$5:$A$5059,A201)</f>
        <v>5.34615384615385</v>
      </c>
      <c r="H201" s="10" t="n">
        <f aca="false">SUMIFS('Invoice Lines'!$E$5:$E$5059,'Invoice Lines'!$A$5:$A$5059,A201)</f>
        <v>248.1</v>
      </c>
      <c r="I201" s="10" t="n">
        <f aca="false">Regression!$B$14+Regression!$B$12*E201+Regression!$B$13*F201</f>
        <v>233.310219101725</v>
      </c>
      <c r="J201" s="10" t="n">
        <f aca="false">H201-I201</f>
        <v>14.7897808982749</v>
      </c>
    </row>
    <row r="202" customFormat="false" ht="15" hidden="false" customHeight="false" outlineLevel="0" collapsed="false">
      <c r="A202" s="9" t="s">
        <v>1713</v>
      </c>
      <c r="B202" s="9" t="n">
        <v>17802</v>
      </c>
      <c r="C202" s="9" t="s">
        <v>1906</v>
      </c>
      <c r="D202" s="11" t="n">
        <v>40514.5722222222</v>
      </c>
      <c r="E202" s="9" t="n">
        <f aca="false">COUNTIFS('Invoice Lines'!$A$5:$A$5059,A202)</f>
        <v>12</v>
      </c>
      <c r="F202" s="9" t="n">
        <f aca="false">SUMIFS('Invoice Lines'!$C$5:$C$5059,'Invoice Lines'!$A$5:$A$5059,A202)</f>
        <v>75</v>
      </c>
      <c r="G202" s="10" t="n">
        <f aca="false">AVERAGEIFS('Invoice Lines'!$D$5:$D$5059,'Invoice Lines'!$A$5:$A$5059,A202)</f>
        <v>1.535</v>
      </c>
      <c r="H202" s="10" t="n">
        <f aca="false">SUMIFS('Invoice Lines'!$E$5:$E$5059,'Invoice Lines'!$A$5:$A$5059,A202)</f>
        <v>100.2</v>
      </c>
      <c r="I202" s="10" t="n">
        <f aca="false">Regression!$B$14+Regression!$B$12*E202+Regression!$B$13*F202</f>
        <v>210.025532376504</v>
      </c>
      <c r="J202" s="10" t="n">
        <f aca="false">H202-I202</f>
        <v>-109.825532376504</v>
      </c>
    </row>
    <row r="203" customFormat="false" ht="15" hidden="false" customHeight="false" outlineLevel="0" collapsed="false">
      <c r="A203" s="9" t="s">
        <v>1716</v>
      </c>
      <c r="B203" s="9" t="n">
        <v>15107</v>
      </c>
      <c r="C203" s="9" t="s">
        <v>1906</v>
      </c>
      <c r="D203" s="11" t="n">
        <v>40514.5729166667</v>
      </c>
      <c r="E203" s="9" t="n">
        <f aca="false">COUNTIFS('Invoice Lines'!$A$5:$A$5059,A203)</f>
        <v>5</v>
      </c>
      <c r="F203" s="9" t="n">
        <f aca="false">SUMIFS('Invoice Lines'!$C$5:$C$5059,'Invoice Lines'!$A$5:$A$5059,A203)</f>
        <v>26</v>
      </c>
      <c r="G203" s="10" t="n">
        <f aca="false">AVERAGEIFS('Invoice Lines'!$D$5:$D$5059,'Invoice Lines'!$A$5:$A$5059,A203)</f>
        <v>6.6</v>
      </c>
      <c r="H203" s="10" t="n">
        <f aca="false">SUMIFS('Invoice Lines'!$E$5:$E$5059,'Invoice Lines'!$A$5:$A$5059,A203)</f>
        <v>116</v>
      </c>
      <c r="I203" s="10" t="n">
        <f aca="false">Regression!$B$14+Regression!$B$12*E203+Regression!$B$13*F203</f>
        <v>113.257529146686</v>
      </c>
      <c r="J203" s="10" t="n">
        <f aca="false">H203-I203</f>
        <v>2.74247085331388</v>
      </c>
    </row>
    <row r="204" customFormat="false" ht="15" hidden="false" customHeight="false" outlineLevel="0" collapsed="false">
      <c r="A204" s="9" t="s">
        <v>1718</v>
      </c>
      <c r="B204" s="9" t="n">
        <v>17976</v>
      </c>
      <c r="C204" s="9" t="s">
        <v>1906</v>
      </c>
      <c r="D204" s="11" t="n">
        <v>40514.5756944444</v>
      </c>
      <c r="E204" s="9" t="n">
        <f aca="false">COUNTIFS('Invoice Lines'!$A$5:$A$5059,A204)</f>
        <v>57</v>
      </c>
      <c r="F204" s="9" t="n">
        <f aca="false">SUMIFS('Invoice Lines'!$C$5:$C$5059,'Invoice Lines'!$A$5:$A$5059,A204)</f>
        <v>93</v>
      </c>
      <c r="G204" s="10" t="n">
        <f aca="false">AVERAGEIFS('Invoice Lines'!$D$5:$D$5059,'Invoice Lines'!$A$5:$A$5059,A204)</f>
        <v>3.65315789473684</v>
      </c>
      <c r="H204" s="10" t="n">
        <f aca="false">SUMIFS('Invoice Lines'!$E$5:$E$5059,'Invoice Lines'!$A$5:$A$5059,A204)</f>
        <v>321.79</v>
      </c>
      <c r="I204" s="10" t="n">
        <f aca="false">Regression!$B$14+Regression!$B$12*E204+Regression!$B$13*F204</f>
        <v>551.123171104196</v>
      </c>
      <c r="J204" s="10" t="n">
        <f aca="false">H204-I204</f>
        <v>-229.333171104196</v>
      </c>
    </row>
    <row r="205" customFormat="false" ht="15" hidden="false" customHeight="false" outlineLevel="0" collapsed="false">
      <c r="A205" s="9" t="s">
        <v>1739</v>
      </c>
      <c r="B205" s="9" t="n">
        <v>17850</v>
      </c>
      <c r="C205" s="9" t="s">
        <v>1906</v>
      </c>
      <c r="D205" s="11" t="n">
        <v>40514.5861111111</v>
      </c>
      <c r="E205" s="9" t="n">
        <f aca="false">COUNTIFS('Invoice Lines'!$A$5:$A$5059,A205)</f>
        <v>19</v>
      </c>
      <c r="F205" s="9" t="n">
        <f aca="false">SUMIFS('Invoice Lines'!$C$5:$C$5059,'Invoice Lines'!$A$5:$A$5059,A205)</f>
        <v>118</v>
      </c>
      <c r="G205" s="10" t="n">
        <f aca="false">AVERAGEIFS('Invoice Lines'!$D$5:$D$5059,'Invoice Lines'!$A$5:$A$5059,A205)</f>
        <v>5.02421052631579</v>
      </c>
      <c r="H205" s="10" t="n">
        <f aca="false">SUMIFS('Invoice Lines'!$E$5:$E$5059,'Invoice Lines'!$A$5:$A$5059,A205)</f>
        <v>434.8</v>
      </c>
      <c r="I205" s="10" t="n">
        <f aca="false">Regression!$B$14+Regression!$B$12*E205+Regression!$B$13*F205</f>
        <v>301.11712384803</v>
      </c>
      <c r="J205" s="10" t="n">
        <f aca="false">H205-I205</f>
        <v>133.68287615197</v>
      </c>
    </row>
    <row r="206" customFormat="false" ht="15" hidden="false" customHeight="false" outlineLevel="0" collapsed="false">
      <c r="A206" s="9" t="s">
        <v>1740</v>
      </c>
      <c r="B206" s="9" t="n">
        <v>17850</v>
      </c>
      <c r="C206" s="9" t="s">
        <v>1906</v>
      </c>
      <c r="D206" s="11" t="n">
        <v>40514.5868055556</v>
      </c>
      <c r="E206" s="9" t="n">
        <f aca="false">COUNTIFS('Invoice Lines'!$A$5:$A$5059,A206)</f>
        <v>2</v>
      </c>
      <c r="F206" s="9" t="n">
        <f aca="false">SUMIFS('Invoice Lines'!$C$5:$C$5059,'Invoice Lines'!$A$5:$A$5059,A206)</f>
        <v>12</v>
      </c>
      <c r="G206" s="10" t="n">
        <f aca="false">AVERAGEIFS('Invoice Lines'!$D$5:$D$5059,'Invoice Lines'!$A$5:$A$5059,A206)</f>
        <v>1.85</v>
      </c>
      <c r="H206" s="10" t="n">
        <f aca="false">SUMIFS('Invoice Lines'!$E$5:$E$5059,'Invoice Lines'!$A$5:$A$5059,A206)</f>
        <v>22.2</v>
      </c>
      <c r="I206" s="10" t="n">
        <f aca="false">Regression!$B$14+Regression!$B$12*E206+Regression!$B$13*F206</f>
        <v>78.4080081471518</v>
      </c>
      <c r="J206" s="10" t="n">
        <f aca="false">H206-I206</f>
        <v>-56.2080081471518</v>
      </c>
    </row>
    <row r="207" customFormat="false" ht="15" hidden="false" customHeight="false" outlineLevel="0" collapsed="false">
      <c r="A207" s="9" t="s">
        <v>1741</v>
      </c>
      <c r="B207" s="9" t="n">
        <v>17850</v>
      </c>
      <c r="C207" s="9" t="s">
        <v>1906</v>
      </c>
      <c r="D207" s="11" t="n">
        <v>40514.5875</v>
      </c>
      <c r="E207" s="9" t="n">
        <f aca="false">COUNTIFS('Invoice Lines'!$A$5:$A$5059,A207)</f>
        <v>19</v>
      </c>
      <c r="F207" s="9" t="n">
        <f aca="false">SUMIFS('Invoice Lines'!$C$5:$C$5059,'Invoice Lines'!$A$5:$A$5059,A207)</f>
        <v>104</v>
      </c>
      <c r="G207" s="10" t="n">
        <f aca="false">AVERAGEIFS('Invoice Lines'!$D$5:$D$5059,'Invoice Lines'!$A$5:$A$5059,A207)</f>
        <v>5.02421052631579</v>
      </c>
      <c r="H207" s="10" t="n">
        <f aca="false">SUMIFS('Invoice Lines'!$E$5:$E$5059,'Invoice Lines'!$A$5:$A$5059,A207)</f>
        <v>390.66</v>
      </c>
      <c r="I207" s="10" t="n">
        <f aca="false">Regression!$B$14+Regression!$B$12*E207+Regression!$B$13*F207</f>
        <v>287.872163078684</v>
      </c>
      <c r="J207" s="10" t="n">
        <f aca="false">H207-I207</f>
        <v>102.787836921316</v>
      </c>
    </row>
    <row r="208" customFormat="false" ht="15" hidden="false" customHeight="false" outlineLevel="0" collapsed="false">
      <c r="A208" s="9" t="s">
        <v>1742</v>
      </c>
      <c r="B208" s="9" t="n">
        <v>17850</v>
      </c>
      <c r="C208" s="9" t="s">
        <v>1906</v>
      </c>
      <c r="D208" s="11" t="n">
        <v>40514.5881944444</v>
      </c>
      <c r="E208" s="9" t="n">
        <f aca="false">COUNTIFS('Invoice Lines'!$A$5:$A$5059,A208)</f>
        <v>2</v>
      </c>
      <c r="F208" s="9" t="n">
        <f aca="false">SUMIFS('Invoice Lines'!$C$5:$C$5059,'Invoice Lines'!$A$5:$A$5059,A208)</f>
        <v>12</v>
      </c>
      <c r="G208" s="10" t="n">
        <f aca="false">AVERAGEIFS('Invoice Lines'!$D$5:$D$5059,'Invoice Lines'!$A$5:$A$5059,A208)</f>
        <v>1.85</v>
      </c>
      <c r="H208" s="10" t="n">
        <f aca="false">SUMIFS('Invoice Lines'!$E$5:$E$5059,'Invoice Lines'!$A$5:$A$5059,A208)</f>
        <v>22.2</v>
      </c>
      <c r="I208" s="10" t="n">
        <f aca="false">Regression!$B$14+Regression!$B$12*E208+Regression!$B$13*F208</f>
        <v>78.4080081471518</v>
      </c>
      <c r="J208" s="10" t="n">
        <f aca="false">H208-I208</f>
        <v>-56.2080081471518</v>
      </c>
    </row>
    <row r="209" customFormat="false" ht="15" hidden="false" customHeight="false" outlineLevel="0" collapsed="false">
      <c r="A209" s="9" t="s">
        <v>1743</v>
      </c>
      <c r="B209" s="9" t="n">
        <v>14449</v>
      </c>
      <c r="C209" s="9" t="s">
        <v>1906</v>
      </c>
      <c r="D209" s="11" t="n">
        <v>40514.5895833333</v>
      </c>
      <c r="E209" s="9" t="n">
        <f aca="false">COUNTIFS('Invoice Lines'!$A$5:$A$5059,A209)</f>
        <v>50</v>
      </c>
      <c r="F209" s="9" t="n">
        <f aca="false">SUMIFS('Invoice Lines'!$C$5:$C$5059,'Invoice Lines'!$A$5:$A$5059,A209)</f>
        <v>142</v>
      </c>
      <c r="G209" s="10" t="n">
        <f aca="false">AVERAGEIFS('Invoice Lines'!$D$5:$D$5059,'Invoice Lines'!$A$5:$A$5059,A209)</f>
        <v>1.7358</v>
      </c>
      <c r="H209" s="10" t="n">
        <f aca="false">SUMIFS('Invoice Lines'!$E$5:$E$5059,'Invoice Lines'!$A$5:$A$5059,A209)</f>
        <v>210.24</v>
      </c>
      <c r="I209" s="10" t="n">
        <f aca="false">Regression!$B$14+Regression!$B$12*E209+Regression!$B$13*F209</f>
        <v>547.069893259804</v>
      </c>
      <c r="J209" s="10" t="n">
        <f aca="false">H209-I209</f>
        <v>-336.829893259804</v>
      </c>
    </row>
    <row r="210" customFormat="false" ht="15" hidden="false" customHeight="false" outlineLevel="0" collapsed="false">
      <c r="A210" s="9" t="s">
        <v>1752</v>
      </c>
      <c r="B210" s="9"/>
      <c r="C210" s="9"/>
      <c r="D210" s="11" t="n">
        <v>40514.5930555556</v>
      </c>
      <c r="E210" s="9" t="n">
        <f aca="false">COUNTIFS('Invoice Lines'!$A$5:$A$5059,A210)</f>
        <v>15</v>
      </c>
      <c r="F210" s="9" t="n">
        <f aca="false">SUMIFS('Invoice Lines'!$C$5:$C$5059,'Invoice Lines'!$A$5:$A$5059,A210)</f>
        <v>15</v>
      </c>
      <c r="G210" s="10" t="n">
        <f aca="false">AVERAGEIFS('Invoice Lines'!$D$5:$D$5059,'Invoice Lines'!$A$5:$A$5059,A210)</f>
        <v>3.61666666666667</v>
      </c>
      <c r="H210" s="10" t="n">
        <f aca="false">SUMIFS('Invoice Lines'!$E$5:$E$5059,'Invoice Lines'!$A$5:$A$5059,A210)</f>
        <v>54.25</v>
      </c>
      <c r="I210" s="10" t="n">
        <f aca="false">Regression!$B$14+Regression!$B$12*E210+Regression!$B$13*F210</f>
        <v>174.865975023778</v>
      </c>
      <c r="J210" s="10" t="n">
        <f aca="false">H210-I210</f>
        <v>-120.615975023778</v>
      </c>
    </row>
    <row r="211" customFormat="false" ht="15" hidden="false" customHeight="false" outlineLevel="0" collapsed="false">
      <c r="A211" s="9" t="s">
        <v>1753</v>
      </c>
      <c r="B211" s="9"/>
      <c r="C211" s="9"/>
      <c r="D211" s="11" t="n">
        <v>40514.5993055556</v>
      </c>
      <c r="E211" s="9" t="n">
        <f aca="false">COUNTIFS('Invoice Lines'!$A$5:$A$5059,A211)</f>
        <v>19</v>
      </c>
      <c r="F211" s="9" t="n">
        <f aca="false">SUMIFS('Invoice Lines'!$C$5:$C$5059,'Invoice Lines'!$A$5:$A$5059,A211)</f>
        <v>23</v>
      </c>
      <c r="G211" s="10" t="n">
        <f aca="false">AVERAGEIFS('Invoice Lines'!$D$5:$D$5059,'Invoice Lines'!$A$5:$A$5059,A211)</f>
        <v>3.35</v>
      </c>
      <c r="H211" s="10" t="n">
        <f aca="false">SUMIFS('Invoice Lines'!$E$5:$E$5059,'Invoice Lines'!$A$5:$A$5059,A211)</f>
        <v>66.65</v>
      </c>
      <c r="I211" s="10" t="n">
        <f aca="false">Regression!$B$14+Regression!$B$12*E211+Regression!$B$13*F211</f>
        <v>211.240604341751</v>
      </c>
      <c r="J211" s="10" t="n">
        <f aca="false">H211-I211</f>
        <v>-144.590604341751</v>
      </c>
    </row>
    <row r="212" customFormat="false" ht="15" hidden="false" customHeight="false" outlineLevel="0" collapsed="false">
      <c r="A212" s="9" t="s">
        <v>1755</v>
      </c>
      <c r="B212" s="9" t="n">
        <v>16781</v>
      </c>
      <c r="C212" s="9" t="s">
        <v>1906</v>
      </c>
      <c r="D212" s="11" t="n">
        <v>40514.6013888889</v>
      </c>
      <c r="E212" s="9" t="n">
        <f aca="false">COUNTIFS('Invoice Lines'!$A$5:$A$5059,A212)</f>
        <v>17</v>
      </c>
      <c r="F212" s="9" t="n">
        <f aca="false">SUMIFS('Invoice Lines'!$C$5:$C$5059,'Invoice Lines'!$A$5:$A$5059,A212)</f>
        <v>113</v>
      </c>
      <c r="G212" s="10" t="n">
        <f aca="false">AVERAGEIFS('Invoice Lines'!$D$5:$D$5059,'Invoice Lines'!$A$5:$A$5059,A212)</f>
        <v>5.00882352941177</v>
      </c>
      <c r="H212" s="10" t="n">
        <f aca="false">SUMIFS('Invoice Lines'!$E$5:$E$5059,'Invoice Lines'!$A$5:$A$5059,A212)</f>
        <v>311.25</v>
      </c>
      <c r="I212" s="10" t="n">
        <f aca="false">Regression!$B$14+Regression!$B$12*E212+Regression!$B$13*F212</f>
        <v>281.983740562662</v>
      </c>
      <c r="J212" s="10" t="n">
        <f aca="false">H212-I212</f>
        <v>29.266259437338</v>
      </c>
    </row>
    <row r="213" customFormat="false" ht="15" hidden="false" customHeight="false" outlineLevel="0" collapsed="false">
      <c r="A213" s="9" t="s">
        <v>1759</v>
      </c>
      <c r="B213" s="9" t="n">
        <v>13491</v>
      </c>
      <c r="C213" s="9" t="s">
        <v>1906</v>
      </c>
      <c r="D213" s="11" t="n">
        <v>40514.6041666667</v>
      </c>
      <c r="E213" s="9" t="n">
        <f aca="false">COUNTIFS('Invoice Lines'!$A$5:$A$5059,A213)</f>
        <v>7</v>
      </c>
      <c r="F213" s="9" t="n">
        <f aca="false">SUMIFS('Invoice Lines'!$C$5:$C$5059,'Invoice Lines'!$A$5:$A$5059,A213)</f>
        <v>36</v>
      </c>
      <c r="G213" s="10" t="n">
        <f aca="false">AVERAGEIFS('Invoice Lines'!$D$5:$D$5059,'Invoice Lines'!$A$5:$A$5059,A213)</f>
        <v>4.55714285714286</v>
      </c>
      <c r="H213" s="10" t="n">
        <f aca="false">SUMIFS('Invoice Lines'!$E$5:$E$5059,'Invoice Lines'!$A$5:$A$5059,A213)</f>
        <v>98.9</v>
      </c>
      <c r="I213" s="10" t="n">
        <f aca="false">Regression!$B$14+Regression!$B$12*E213+Regression!$B$13*F213</f>
        <v>137.121255563964</v>
      </c>
      <c r="J213" s="10" t="n">
        <f aca="false">H213-I213</f>
        <v>-38.2212555639636</v>
      </c>
    </row>
    <row r="214" customFormat="false" ht="15" hidden="false" customHeight="false" outlineLevel="0" collapsed="false">
      <c r="A214" s="9" t="s">
        <v>1762</v>
      </c>
      <c r="B214" s="9" t="n">
        <v>16186</v>
      </c>
      <c r="C214" s="9" t="s">
        <v>1906</v>
      </c>
      <c r="D214" s="11" t="n">
        <v>40514.6111111111</v>
      </c>
      <c r="E214" s="9" t="n">
        <f aca="false">COUNTIFS('Invoice Lines'!$A$5:$A$5059,A214)</f>
        <v>20</v>
      </c>
      <c r="F214" s="9" t="n">
        <f aca="false">SUMIFS('Invoice Lines'!$C$5:$C$5059,'Invoice Lines'!$A$5:$A$5059,A214)</f>
        <v>231</v>
      </c>
      <c r="G214" s="10" t="n">
        <f aca="false">AVERAGEIFS('Invoice Lines'!$D$5:$D$5059,'Invoice Lines'!$A$5:$A$5059,A214)</f>
        <v>1.923</v>
      </c>
      <c r="H214" s="10" t="n">
        <f aca="false">SUMIFS('Invoice Lines'!$E$5:$E$5059,'Invoice Lines'!$A$5:$A$5059,A214)</f>
        <v>307.68</v>
      </c>
      <c r="I214" s="10" t="n">
        <f aca="false">Regression!$B$14+Regression!$B$12*E214+Regression!$B$13*F214</f>
        <v>415.224398705913</v>
      </c>
      <c r="J214" s="10" t="n">
        <f aca="false">H214-I214</f>
        <v>-107.544398705913</v>
      </c>
    </row>
    <row r="215" customFormat="false" ht="15" hidden="false" customHeight="false" outlineLevel="0" collapsed="false">
      <c r="A215" s="9" t="s">
        <v>1765</v>
      </c>
      <c r="B215" s="9" t="n">
        <v>17685</v>
      </c>
      <c r="C215" s="9" t="s">
        <v>1906</v>
      </c>
      <c r="D215" s="11" t="n">
        <v>40514.6125</v>
      </c>
      <c r="E215" s="9" t="n">
        <f aca="false">COUNTIFS('Invoice Lines'!$A$5:$A$5059,A215)</f>
        <v>12</v>
      </c>
      <c r="F215" s="9" t="n">
        <f aca="false">SUMIFS('Invoice Lines'!$C$5:$C$5059,'Invoice Lines'!$A$5:$A$5059,A215)</f>
        <v>331</v>
      </c>
      <c r="G215" s="10" t="n">
        <f aca="false">AVERAGEIFS('Invoice Lines'!$D$5:$D$5059,'Invoice Lines'!$A$5:$A$5059,A215)</f>
        <v>1.55333333333333</v>
      </c>
      <c r="H215" s="10" t="n">
        <f aca="false">SUMIFS('Invoice Lines'!$E$5:$E$5059,'Invoice Lines'!$A$5:$A$5059,A215)</f>
        <v>452.52</v>
      </c>
      <c r="I215" s="10" t="n">
        <f aca="false">Regression!$B$14+Regression!$B$12*E215+Regression!$B$13*F215</f>
        <v>452.219100730267</v>
      </c>
      <c r="J215" s="10" t="n">
        <f aca="false">H215-I215</f>
        <v>0.300899269732895</v>
      </c>
    </row>
    <row r="216" customFormat="false" ht="15" hidden="false" customHeight="false" outlineLevel="0" collapsed="false">
      <c r="A216" s="9" t="s">
        <v>1767</v>
      </c>
      <c r="B216" s="9" t="n">
        <v>17581</v>
      </c>
      <c r="C216" s="9" t="s">
        <v>1906</v>
      </c>
      <c r="D216" s="11" t="n">
        <v>40514.6159722222</v>
      </c>
      <c r="E216" s="9" t="n">
        <f aca="false">COUNTIFS('Invoice Lines'!$A$5:$A$5059,A216)</f>
        <v>31</v>
      </c>
      <c r="F216" s="9" t="n">
        <f aca="false">SUMIFS('Invoice Lines'!$C$5:$C$5059,'Invoice Lines'!$A$5:$A$5059,A216)</f>
        <v>375</v>
      </c>
      <c r="G216" s="10" t="n">
        <f aca="false">AVERAGEIFS('Invoice Lines'!$D$5:$D$5059,'Invoice Lines'!$A$5:$A$5059,A216)</f>
        <v>2.55161290322581</v>
      </c>
      <c r="H216" s="10" t="n">
        <f aca="false">SUMIFS('Invoice Lines'!$E$5:$E$5059,'Invoice Lines'!$A$5:$A$5059,A216)</f>
        <v>668.4</v>
      </c>
      <c r="I216" s="10" t="n">
        <f aca="false">Regression!$B$14+Regression!$B$12*E216+Regression!$B$13*F216</f>
        <v>630.675001748927</v>
      </c>
      <c r="J216" s="10" t="n">
        <f aca="false">H216-I216</f>
        <v>37.7249982510731</v>
      </c>
    </row>
    <row r="217" customFormat="false" ht="15" hidden="false" customHeight="false" outlineLevel="0" collapsed="false">
      <c r="A217" s="9" t="s">
        <v>1771</v>
      </c>
      <c r="B217" s="9" t="n">
        <v>17581</v>
      </c>
      <c r="C217" s="9" t="s">
        <v>1906</v>
      </c>
      <c r="D217" s="11" t="n">
        <v>40514.6173611111</v>
      </c>
      <c r="E217" s="9" t="n">
        <f aca="false">COUNTIFS('Invoice Lines'!$A$5:$A$5059,A217)</f>
        <v>7</v>
      </c>
      <c r="F217" s="9" t="n">
        <f aca="false">SUMIFS('Invoice Lines'!$C$5:$C$5059,'Invoice Lines'!$A$5:$A$5059,A217)</f>
        <v>66</v>
      </c>
      <c r="G217" s="10" t="n">
        <f aca="false">AVERAGEIFS('Invoice Lines'!$D$5:$D$5059,'Invoice Lines'!$A$5:$A$5059,A217)</f>
        <v>2.01285714285714</v>
      </c>
      <c r="H217" s="10" t="n">
        <f aca="false">SUMIFS('Invoice Lines'!$E$5:$E$5059,'Invoice Lines'!$A$5:$A$5059,A217)</f>
        <v>118.38</v>
      </c>
      <c r="I217" s="10" t="n">
        <f aca="false">Regression!$B$14+Regression!$B$12*E217+Regression!$B$13*F217</f>
        <v>165.50331435542</v>
      </c>
      <c r="J217" s="10" t="n">
        <f aca="false">H217-I217</f>
        <v>-47.1233143554202</v>
      </c>
    </row>
    <row r="218" customFormat="false" ht="15" hidden="false" customHeight="false" outlineLevel="0" collapsed="false">
      <c r="A218" s="9" t="s">
        <v>1772</v>
      </c>
      <c r="B218" s="9" t="n">
        <v>15732</v>
      </c>
      <c r="C218" s="9" t="s">
        <v>1906</v>
      </c>
      <c r="D218" s="11" t="n">
        <v>40514.625</v>
      </c>
      <c r="E218" s="9" t="n">
        <f aca="false">COUNTIFS('Invoice Lines'!$A$5:$A$5059,A218)</f>
        <v>5</v>
      </c>
      <c r="F218" s="9" t="n">
        <f aca="false">SUMIFS('Invoice Lines'!$C$5:$C$5059,'Invoice Lines'!$A$5:$A$5059,A218)</f>
        <v>97</v>
      </c>
      <c r="G218" s="10" t="n">
        <f aca="false">AVERAGEIFS('Invoice Lines'!$D$5:$D$5059,'Invoice Lines'!$A$5:$A$5059,A218)</f>
        <v>1.844</v>
      </c>
      <c r="H218" s="10" t="n">
        <f aca="false">SUMIFS('Invoice Lines'!$E$5:$E$5059,'Invoice Lines'!$A$5:$A$5059,A218)</f>
        <v>138.1</v>
      </c>
      <c r="I218" s="10" t="n">
        <f aca="false">Regression!$B$14+Regression!$B$12*E218+Regression!$B$13*F218</f>
        <v>180.4284016198</v>
      </c>
      <c r="J218" s="10" t="n">
        <f aca="false">H218-I218</f>
        <v>-42.3284016198002</v>
      </c>
    </row>
    <row r="219" customFormat="false" ht="15" hidden="false" customHeight="false" outlineLevel="0" collapsed="false">
      <c r="A219" s="9" t="s">
        <v>1774</v>
      </c>
      <c r="B219" s="9" t="n">
        <v>13138</v>
      </c>
      <c r="C219" s="9" t="s">
        <v>1906</v>
      </c>
      <c r="D219" s="11" t="n">
        <v>40514.6270833333</v>
      </c>
      <c r="E219" s="9" t="n">
        <f aca="false">COUNTIFS('Invoice Lines'!$A$5:$A$5059,A219)</f>
        <v>14</v>
      </c>
      <c r="F219" s="9" t="n">
        <f aca="false">SUMIFS('Invoice Lines'!$C$5:$C$5059,'Invoice Lines'!$A$5:$A$5059,A219)</f>
        <v>125</v>
      </c>
      <c r="G219" s="10" t="n">
        <f aca="false">AVERAGEIFS('Invoice Lines'!$D$5:$D$5059,'Invoice Lines'!$A$5:$A$5059,A219)</f>
        <v>2.76571428571429</v>
      </c>
      <c r="H219" s="10" t="n">
        <f aca="false">SUMIFS('Invoice Lines'!$E$5:$E$5059,'Invoice Lines'!$A$5:$A$5059,A219)</f>
        <v>193.23</v>
      </c>
      <c r="I219" s="10" t="n">
        <f aca="false">Regression!$B$14+Regression!$B$12*E219+Regression!$B$13*F219</f>
        <v>271.732003849057</v>
      </c>
      <c r="J219" s="10" t="n">
        <f aca="false">H219-I219</f>
        <v>-78.5020038490568</v>
      </c>
    </row>
    <row r="220" customFormat="false" ht="15" hidden="false" customHeight="false" outlineLevel="0" collapsed="false">
      <c r="A220" s="9" t="s">
        <v>1776</v>
      </c>
      <c r="B220" s="9"/>
      <c r="C220" s="9"/>
      <c r="D220" s="11" t="n">
        <v>40514.63125</v>
      </c>
      <c r="E220" s="9" t="n">
        <f aca="false">COUNTIFS('Invoice Lines'!$A$5:$A$5059,A220)</f>
        <v>4</v>
      </c>
      <c r="F220" s="9" t="n">
        <f aca="false">SUMIFS('Invoice Lines'!$C$5:$C$5059,'Invoice Lines'!$A$5:$A$5059,A220)</f>
        <v>4</v>
      </c>
      <c r="G220" s="10" t="n">
        <f aca="false">AVERAGEIFS('Invoice Lines'!$D$5:$D$5059,'Invoice Lines'!$A$5:$A$5059,A220)</f>
        <v>3.2</v>
      </c>
      <c r="H220" s="10" t="n">
        <f aca="false">SUMIFS('Invoice Lines'!$E$5:$E$5059,'Invoice Lines'!$A$5:$A$5059,A220)</f>
        <v>12.8</v>
      </c>
      <c r="I220" s="10" t="n">
        <f aca="false">Regression!$B$14+Regression!$B$12*E220+Regression!$B$13*F220</f>
        <v>85.2424992895553</v>
      </c>
      <c r="J220" s="10" t="n">
        <f aca="false">H220-I220</f>
        <v>-72.4424992895553</v>
      </c>
    </row>
    <row r="221" customFormat="false" ht="15" hidden="false" customHeight="false" outlineLevel="0" collapsed="false">
      <c r="A221" s="9" t="s">
        <v>1777</v>
      </c>
      <c r="B221" s="9" t="n">
        <v>17460</v>
      </c>
      <c r="C221" s="9" t="s">
        <v>1906</v>
      </c>
      <c r="D221" s="11" t="n">
        <v>40514.6347222222</v>
      </c>
      <c r="E221" s="9" t="n">
        <f aca="false">COUNTIFS('Invoice Lines'!$A$5:$A$5059,A221)</f>
        <v>1</v>
      </c>
      <c r="F221" s="9" t="n">
        <f aca="false">SUMIFS('Invoice Lines'!$C$5:$C$5059,'Invoice Lines'!$A$5:$A$5059,A221)</f>
        <v>24</v>
      </c>
      <c r="G221" s="10" t="n">
        <f aca="false">AVERAGEIFS('Invoice Lines'!$D$5:$D$5059,'Invoice Lines'!$A$5:$A$5059,A221)</f>
        <v>2.1</v>
      </c>
      <c r="H221" s="10" t="n">
        <f aca="false">SUMIFS('Invoice Lines'!$E$5:$E$5059,'Invoice Lines'!$A$5:$A$5059,A221)</f>
        <v>50.4</v>
      </c>
      <c r="I221" s="10" t="n">
        <f aca="false">Regression!$B$14+Regression!$B$12*E221+Regression!$B$13*F221</f>
        <v>82.5593115870052</v>
      </c>
      <c r="J221" s="10" t="n">
        <f aca="false">H221-I221</f>
        <v>-32.1593115870052</v>
      </c>
    </row>
    <row r="222" customFormat="false" ht="15" hidden="false" customHeight="false" outlineLevel="0" collapsed="false">
      <c r="A222" s="9" t="s">
        <v>1778</v>
      </c>
      <c r="B222" s="9" t="n">
        <v>17567</v>
      </c>
      <c r="C222" s="9" t="s">
        <v>1906</v>
      </c>
      <c r="D222" s="11" t="n">
        <v>40514.6375</v>
      </c>
      <c r="E222" s="9" t="n">
        <f aca="false">COUNTIFS('Invoice Lines'!$A$5:$A$5059,A222)</f>
        <v>27</v>
      </c>
      <c r="F222" s="9" t="n">
        <f aca="false">SUMIFS('Invoice Lines'!$C$5:$C$5059,'Invoice Lines'!$A$5:$A$5059,A222)</f>
        <v>244</v>
      </c>
      <c r="G222" s="10" t="n">
        <f aca="false">AVERAGEIFS('Invoice Lines'!$D$5:$D$5059,'Invoice Lines'!$A$5:$A$5059,A222)</f>
        <v>3.51111111111111</v>
      </c>
      <c r="H222" s="10" t="n">
        <f aca="false">SUMIFS('Invoice Lines'!$E$5:$E$5059,'Invoice Lines'!$A$5:$A$5059,A222)</f>
        <v>517.95</v>
      </c>
      <c r="I222" s="10" t="n">
        <f aca="false">Regression!$B$14+Regression!$B$12*E222+Regression!$B$13*F222</f>
        <v>477.933931385982</v>
      </c>
      <c r="J222" s="10" t="n">
        <f aca="false">H222-I222</f>
        <v>40.0160686140177</v>
      </c>
    </row>
    <row r="223" customFormat="false" ht="15" hidden="false" customHeight="false" outlineLevel="0" collapsed="false">
      <c r="A223" s="9" t="s">
        <v>1781</v>
      </c>
      <c r="B223" s="9" t="n">
        <v>15061</v>
      </c>
      <c r="C223" s="9" t="s">
        <v>1906</v>
      </c>
      <c r="D223" s="11" t="n">
        <v>40514.6381944444</v>
      </c>
      <c r="E223" s="9" t="n">
        <f aca="false">COUNTIFS('Invoice Lines'!$A$5:$A$5059,A223)</f>
        <v>38</v>
      </c>
      <c r="F223" s="9" t="n">
        <f aca="false">SUMIFS('Invoice Lines'!$C$5:$C$5059,'Invoice Lines'!$A$5:$A$5059,A223)</f>
        <v>2909</v>
      </c>
      <c r="G223" s="10" t="n">
        <f aca="false">AVERAGEIFS('Invoice Lines'!$D$5:$D$5059,'Invoice Lines'!$A$5:$A$5059,A223)</f>
        <v>1.75157894736842</v>
      </c>
      <c r="H223" s="10" t="n">
        <f aca="false">SUMIFS('Invoice Lines'!$E$5:$E$5059,'Invoice Lines'!$A$5:$A$5059,A223)</f>
        <v>4076.48</v>
      </c>
      <c r="I223" s="10" t="n">
        <f aca="false">Regression!$B$14+Regression!$B$12*E223+Regression!$B$13*F223</f>
        <v>3078.42354153774</v>
      </c>
      <c r="J223" s="10" t="n">
        <f aca="false">H223-I223</f>
        <v>998.056458462263</v>
      </c>
    </row>
    <row r="224" customFormat="false" ht="15" hidden="false" customHeight="false" outlineLevel="0" collapsed="false">
      <c r="A224" s="9" t="s">
        <v>1788</v>
      </c>
      <c r="B224" s="9" t="n">
        <v>15061</v>
      </c>
      <c r="C224" s="9" t="s">
        <v>1906</v>
      </c>
      <c r="D224" s="11" t="n">
        <v>40514.6388888889</v>
      </c>
      <c r="E224" s="9" t="n">
        <f aca="false">COUNTIFS('Invoice Lines'!$A$5:$A$5059,A224)</f>
        <v>25</v>
      </c>
      <c r="F224" s="9" t="n">
        <f aca="false">SUMIFS('Invoice Lines'!$C$5:$C$5059,'Invoice Lines'!$A$5:$A$5059,A224)</f>
        <v>1330</v>
      </c>
      <c r="G224" s="10" t="n">
        <f aca="false">AVERAGEIFS('Invoice Lines'!$D$5:$D$5059,'Invoice Lines'!$A$5:$A$5059,A224)</f>
        <v>1.8488</v>
      </c>
      <c r="H224" s="10" t="n">
        <f aca="false">SUMIFS('Invoice Lines'!$E$5:$E$5059,'Invoice Lines'!$A$5:$A$5059,A224)</f>
        <v>2170.9</v>
      </c>
      <c r="I224" s="10" t="n">
        <f aca="false">Regression!$B$14+Regression!$B$12*E224+Regression!$B$13*F224</f>
        <v>1490.96141948325</v>
      </c>
      <c r="J224" s="10" t="n">
        <f aca="false">H224-I224</f>
        <v>679.938580516746</v>
      </c>
    </row>
    <row r="225" customFormat="false" ht="15" hidden="false" customHeight="false" outlineLevel="0" collapsed="false">
      <c r="A225" s="9" t="s">
        <v>1789</v>
      </c>
      <c r="B225" s="9" t="n">
        <v>15061</v>
      </c>
      <c r="C225" s="9" t="s">
        <v>1906</v>
      </c>
      <c r="D225" s="11" t="n">
        <v>40514.6402777778</v>
      </c>
      <c r="E225" s="9" t="n">
        <f aca="false">COUNTIFS('Invoice Lines'!$A$5:$A$5059,A225)</f>
        <v>6</v>
      </c>
      <c r="F225" s="9" t="n">
        <f aca="false">SUMIFS('Invoice Lines'!$C$5:$C$5059,'Invoice Lines'!$A$5:$A$5059,A225)</f>
        <v>1008</v>
      </c>
      <c r="G225" s="10" t="n">
        <f aca="false">AVERAGEIFS('Invoice Lines'!$D$5:$D$5059,'Invoice Lines'!$A$5:$A$5059,A225)</f>
        <v>2.935</v>
      </c>
      <c r="H225" s="10" t="n">
        <f aca="false">SUMIFS('Invoice Lines'!$E$5:$E$5059,'Invoice Lines'!$A$5:$A$5059,A225)</f>
        <v>2730.96</v>
      </c>
      <c r="I225" s="10" t="n">
        <f aca="false">Regression!$B$14+Regression!$B$12*E225+Regression!$B$13*F225</f>
        <v>1049.49844033043</v>
      </c>
      <c r="J225" s="10" t="n">
        <f aca="false">H225-I225</f>
        <v>1681.46155966957</v>
      </c>
    </row>
    <row r="226" customFormat="false" ht="15" hidden="false" customHeight="false" outlineLevel="0" collapsed="false">
      <c r="A226" s="9" t="s">
        <v>1790</v>
      </c>
      <c r="B226" s="9" t="n">
        <v>15061</v>
      </c>
      <c r="C226" s="9" t="s">
        <v>1906</v>
      </c>
      <c r="D226" s="11" t="n">
        <v>40514.6409722222</v>
      </c>
      <c r="E226" s="9" t="n">
        <f aca="false">COUNTIFS('Invoice Lines'!$A$5:$A$5059,A226)</f>
        <v>2</v>
      </c>
      <c r="F226" s="9" t="n">
        <f aca="false">SUMIFS('Invoice Lines'!$C$5:$C$5059,'Invoice Lines'!$A$5:$A$5059,A226)</f>
        <v>144</v>
      </c>
      <c r="G226" s="10" t="n">
        <f aca="false">AVERAGEIFS('Invoice Lines'!$D$5:$D$5059,'Invoice Lines'!$A$5:$A$5059,A226)</f>
        <v>2.75</v>
      </c>
      <c r="H226" s="10" t="n">
        <f aca="false">SUMIFS('Invoice Lines'!$E$5:$E$5059,'Invoice Lines'!$A$5:$A$5059,A226)</f>
        <v>324</v>
      </c>
      <c r="I226" s="10" t="n">
        <f aca="false">Regression!$B$14+Regression!$B$12*E226+Regression!$B$13*F226</f>
        <v>203.289066829561</v>
      </c>
      <c r="J226" s="10" t="n">
        <f aca="false">H226-I226</f>
        <v>120.710933170439</v>
      </c>
    </row>
    <row r="227" customFormat="false" ht="15" hidden="false" customHeight="false" outlineLevel="0" collapsed="false">
      <c r="A227" s="9" t="s">
        <v>1791</v>
      </c>
      <c r="B227" s="9" t="n">
        <v>17850</v>
      </c>
      <c r="C227" s="9" t="s">
        <v>1906</v>
      </c>
      <c r="D227" s="11" t="n">
        <v>40514.6416666667</v>
      </c>
      <c r="E227" s="9" t="n">
        <f aca="false">COUNTIFS('Invoice Lines'!$A$5:$A$5059,A227)</f>
        <v>13</v>
      </c>
      <c r="F227" s="9" t="n">
        <f aca="false">SUMIFS('Invoice Lines'!$C$5:$C$5059,'Invoice Lines'!$A$5:$A$5059,A227)</f>
        <v>76</v>
      </c>
      <c r="G227" s="10" t="n">
        <f aca="false">AVERAGEIFS('Invoice Lines'!$D$5:$D$5059,'Invoice Lines'!$A$5:$A$5059,A227)</f>
        <v>2.78923076923077</v>
      </c>
      <c r="H227" s="10" t="n">
        <f aca="false">SUMIFS('Invoice Lines'!$E$5:$E$5059,'Invoice Lines'!$A$5:$A$5059,A227)</f>
        <v>192.46</v>
      </c>
      <c r="I227" s="10" t="n">
        <f aca="false">Regression!$B$14+Regression!$B$12*E227+Regression!$B$13*F227</f>
        <v>218.173121079615</v>
      </c>
      <c r="J227" s="10" t="n">
        <f aca="false">H227-I227</f>
        <v>-25.7131210796149</v>
      </c>
    </row>
    <row r="228" customFormat="false" ht="15" hidden="false" customHeight="false" outlineLevel="0" collapsed="false">
      <c r="A228" s="9" t="s">
        <v>1792</v>
      </c>
      <c r="B228" s="9" t="n">
        <v>15061</v>
      </c>
      <c r="C228" s="9" t="s">
        <v>1906</v>
      </c>
      <c r="D228" s="11" t="n">
        <v>40514.6423611111</v>
      </c>
      <c r="E228" s="9" t="n">
        <f aca="false">COUNTIFS('Invoice Lines'!$A$5:$A$5059,A228)</f>
        <v>1</v>
      </c>
      <c r="F228" s="9" t="n">
        <f aca="false">SUMIFS('Invoice Lines'!$C$5:$C$5059,'Invoice Lines'!$A$5:$A$5059,A228)</f>
        <v>60</v>
      </c>
      <c r="G228" s="10" t="n">
        <f aca="false">AVERAGEIFS('Invoice Lines'!$D$5:$D$5059,'Invoice Lines'!$A$5:$A$5059,A228)</f>
        <v>1.25</v>
      </c>
      <c r="H228" s="10" t="n">
        <f aca="false">SUMIFS('Invoice Lines'!$E$5:$E$5059,'Invoice Lines'!$A$5:$A$5059,A228)</f>
        <v>75</v>
      </c>
      <c r="I228" s="10" t="n">
        <f aca="false">Regression!$B$14+Regression!$B$12*E228+Regression!$B$13*F228</f>
        <v>116.617782136753</v>
      </c>
      <c r="J228" s="10" t="n">
        <f aca="false">H228-I228</f>
        <v>-41.6177821367531</v>
      </c>
    </row>
    <row r="229" customFormat="false" ht="15" hidden="false" customHeight="false" outlineLevel="0" collapsed="false">
      <c r="A229" s="9" t="s">
        <v>1793</v>
      </c>
      <c r="B229" s="9" t="n">
        <v>17850</v>
      </c>
      <c r="C229" s="9" t="s">
        <v>1906</v>
      </c>
      <c r="D229" s="11" t="n">
        <v>40514.6423611111</v>
      </c>
      <c r="E229" s="9" t="n">
        <f aca="false">COUNTIFS('Invoice Lines'!$A$5:$A$5059,A229)</f>
        <v>2</v>
      </c>
      <c r="F229" s="9" t="n">
        <f aca="false">SUMIFS('Invoice Lines'!$C$5:$C$5059,'Invoice Lines'!$A$5:$A$5059,A229)</f>
        <v>12</v>
      </c>
      <c r="G229" s="10" t="n">
        <f aca="false">AVERAGEIFS('Invoice Lines'!$D$5:$D$5059,'Invoice Lines'!$A$5:$A$5059,A229)</f>
        <v>1.85</v>
      </c>
      <c r="H229" s="10" t="n">
        <f aca="false">SUMIFS('Invoice Lines'!$E$5:$E$5059,'Invoice Lines'!$A$5:$A$5059,A229)</f>
        <v>22.2</v>
      </c>
      <c r="I229" s="10" t="n">
        <f aca="false">Regression!$B$14+Regression!$B$12*E229+Regression!$B$13*F229</f>
        <v>78.4080081471518</v>
      </c>
      <c r="J229" s="10" t="n">
        <f aca="false">H229-I229</f>
        <v>-56.2080081471518</v>
      </c>
    </row>
    <row r="230" customFormat="false" ht="15" hidden="false" customHeight="false" outlineLevel="0" collapsed="false">
      <c r="A230" s="9" t="s">
        <v>1794</v>
      </c>
      <c r="B230" s="9" t="n">
        <v>17850</v>
      </c>
      <c r="C230" s="9" t="s">
        <v>1906</v>
      </c>
      <c r="D230" s="11" t="n">
        <v>40514.6430555556</v>
      </c>
      <c r="E230" s="9" t="n">
        <f aca="false">COUNTIFS('Invoice Lines'!$A$5:$A$5059,A230)</f>
        <v>17</v>
      </c>
      <c r="F230" s="9" t="n">
        <f aca="false">SUMIFS('Invoice Lines'!$C$5:$C$5059,'Invoice Lines'!$A$5:$A$5059,A230)</f>
        <v>141</v>
      </c>
      <c r="G230" s="10" t="n">
        <f aca="false">AVERAGEIFS('Invoice Lines'!$D$5:$D$5059,'Invoice Lines'!$A$5:$A$5059,A230)</f>
        <v>5.47941176470588</v>
      </c>
      <c r="H230" s="10" t="n">
        <f aca="false">SUMIFS('Invoice Lines'!$E$5:$E$5059,'Invoice Lines'!$A$5:$A$5059,A230)</f>
        <v>532.01</v>
      </c>
      <c r="I230" s="10" t="n">
        <f aca="false">Regression!$B$14+Regression!$B$12*E230+Regression!$B$13*F230</f>
        <v>308.473662101355</v>
      </c>
      <c r="J230" s="10" t="n">
        <f aca="false">H230-I230</f>
        <v>223.536337898645</v>
      </c>
    </row>
    <row r="231" customFormat="false" ht="15" hidden="false" customHeight="false" outlineLevel="0" collapsed="false">
      <c r="A231" s="9" t="s">
        <v>1795</v>
      </c>
      <c r="B231" s="9" t="n">
        <v>17850</v>
      </c>
      <c r="C231" s="9" t="s">
        <v>1906</v>
      </c>
      <c r="D231" s="11" t="n">
        <v>40514.64375</v>
      </c>
      <c r="E231" s="9" t="n">
        <f aca="false">COUNTIFS('Invoice Lines'!$A$5:$A$5059,A231)</f>
        <v>2</v>
      </c>
      <c r="F231" s="9" t="n">
        <f aca="false">SUMIFS('Invoice Lines'!$C$5:$C$5059,'Invoice Lines'!$A$5:$A$5059,A231)</f>
        <v>24</v>
      </c>
      <c r="G231" s="10" t="n">
        <f aca="false">AVERAGEIFS('Invoice Lines'!$D$5:$D$5059,'Invoice Lines'!$A$5:$A$5059,A231)</f>
        <v>1.85</v>
      </c>
      <c r="H231" s="10" t="n">
        <f aca="false">SUMIFS('Invoice Lines'!$E$5:$E$5059,'Invoice Lines'!$A$5:$A$5059,A231)</f>
        <v>44.4</v>
      </c>
      <c r="I231" s="10" t="n">
        <f aca="false">Regression!$B$14+Regression!$B$12*E231+Regression!$B$13*F231</f>
        <v>89.7608316637345</v>
      </c>
      <c r="J231" s="10" t="n">
        <f aca="false">H231-I231</f>
        <v>-45.3608316637344</v>
      </c>
    </row>
    <row r="232" customFormat="false" ht="15" hidden="false" customHeight="false" outlineLevel="0" collapsed="false">
      <c r="A232" s="9" t="s">
        <v>1796</v>
      </c>
      <c r="B232" s="9" t="n">
        <v>15061</v>
      </c>
      <c r="C232" s="9" t="s">
        <v>1906</v>
      </c>
      <c r="D232" s="11" t="n">
        <v>40514.6444444444</v>
      </c>
      <c r="E232" s="9" t="n">
        <f aca="false">COUNTIFS('Invoice Lines'!$A$5:$A$5059,A232)</f>
        <v>1</v>
      </c>
      <c r="F232" s="9" t="n">
        <f aca="false">SUMIFS('Invoice Lines'!$C$5:$C$5059,'Invoice Lines'!$A$5:$A$5059,A232)</f>
        <v>24</v>
      </c>
      <c r="G232" s="10" t="n">
        <f aca="false">AVERAGEIFS('Invoice Lines'!$D$5:$D$5059,'Invoice Lines'!$A$5:$A$5059,A232)</f>
        <v>1.25</v>
      </c>
      <c r="H232" s="10" t="n">
        <f aca="false">SUMIFS('Invoice Lines'!$E$5:$E$5059,'Invoice Lines'!$A$5:$A$5059,A232)</f>
        <v>30</v>
      </c>
      <c r="I232" s="10" t="n">
        <f aca="false">Regression!$B$14+Regression!$B$12*E232+Regression!$B$13*F232</f>
        <v>82.5593115870052</v>
      </c>
      <c r="J232" s="10" t="n">
        <f aca="false">H232-I232</f>
        <v>-52.5593115870052</v>
      </c>
    </row>
    <row r="233" customFormat="false" ht="15" hidden="false" customHeight="false" outlineLevel="0" collapsed="false">
      <c r="A233" s="9" t="s">
        <v>1797</v>
      </c>
      <c r="B233" s="9" t="n">
        <v>16203</v>
      </c>
      <c r="C233" s="9" t="s">
        <v>1906</v>
      </c>
      <c r="D233" s="11" t="n">
        <v>40514.6520833333</v>
      </c>
      <c r="E233" s="9" t="n">
        <f aca="false">COUNTIFS('Invoice Lines'!$A$5:$A$5059,A233)</f>
        <v>11</v>
      </c>
      <c r="F233" s="9" t="n">
        <f aca="false">SUMIFS('Invoice Lines'!$C$5:$C$5059,'Invoice Lines'!$A$5:$A$5059,A233)</f>
        <v>70</v>
      </c>
      <c r="G233" s="10" t="n">
        <f aca="false">AVERAGEIFS('Invoice Lines'!$D$5:$D$5059,'Invoice Lines'!$A$5:$A$5059,A233)</f>
        <v>3.07727272727273</v>
      </c>
      <c r="H233" s="10" t="n">
        <f aca="false">SUMIFS('Invoice Lines'!$E$5:$E$5059,'Invoice Lines'!$A$5:$A$5059,A233)</f>
        <v>170.7</v>
      </c>
      <c r="I233" s="10" t="n">
        <f aca="false">Regression!$B$14+Regression!$B$12*E233+Regression!$B$13*F233</f>
        <v>198.093669167865</v>
      </c>
      <c r="J233" s="10" t="n">
        <f aca="false">H233-I233</f>
        <v>-27.393669167865</v>
      </c>
    </row>
    <row r="234" customFormat="false" ht="15" hidden="false" customHeight="false" outlineLevel="0" collapsed="false">
      <c r="A234" s="9" t="s">
        <v>1799</v>
      </c>
      <c r="B234" s="9" t="n">
        <v>13767</v>
      </c>
      <c r="C234" s="9" t="s">
        <v>1906</v>
      </c>
      <c r="D234" s="11" t="n">
        <v>40514.6527777778</v>
      </c>
      <c r="E234" s="9" t="n">
        <f aca="false">COUNTIFS('Invoice Lines'!$A$5:$A$5059,A234)</f>
        <v>4</v>
      </c>
      <c r="F234" s="9" t="n">
        <f aca="false">SUMIFS('Invoice Lines'!$C$5:$C$5059,'Invoice Lines'!$A$5:$A$5059,A234)</f>
        <v>96</v>
      </c>
      <c r="G234" s="10" t="n">
        <f aca="false">AVERAGEIFS('Invoice Lines'!$D$5:$D$5059,'Invoice Lines'!$A$5:$A$5059,A234)</f>
        <v>3.3875</v>
      </c>
      <c r="H234" s="10" t="n">
        <f aca="false">SUMIFS('Invoice Lines'!$E$5:$E$5059,'Invoice Lines'!$A$5:$A$5059,A234)</f>
        <v>322.8</v>
      </c>
      <c r="I234" s="10" t="n">
        <f aca="false">Regression!$B$14+Regression!$B$12*E234+Regression!$B$13*F234</f>
        <v>172.280812916689</v>
      </c>
      <c r="J234" s="10" t="n">
        <f aca="false">H234-I234</f>
        <v>150.519187083311</v>
      </c>
    </row>
    <row r="235" customFormat="false" ht="15" hidden="false" customHeight="false" outlineLevel="0" collapsed="false">
      <c r="A235" s="9" t="s">
        <v>1800</v>
      </c>
      <c r="B235" s="9" t="n">
        <v>15640</v>
      </c>
      <c r="C235" s="9" t="s">
        <v>1906</v>
      </c>
      <c r="D235" s="11" t="n">
        <v>40514.6527777778</v>
      </c>
      <c r="E235" s="9" t="n">
        <f aca="false">COUNTIFS('Invoice Lines'!$A$5:$A$5059,A235)</f>
        <v>7</v>
      </c>
      <c r="F235" s="9" t="n">
        <f aca="false">SUMIFS('Invoice Lines'!$C$5:$C$5059,'Invoice Lines'!$A$5:$A$5059,A235)</f>
        <v>180</v>
      </c>
      <c r="G235" s="10" t="n">
        <f aca="false">AVERAGEIFS('Invoice Lines'!$D$5:$D$5059,'Invoice Lines'!$A$5:$A$5059,A235)</f>
        <v>1.83285714285714</v>
      </c>
      <c r="H235" s="10" t="n">
        <f aca="false">SUMIFS('Invoice Lines'!$E$5:$E$5059,'Invoice Lines'!$A$5:$A$5059,A235)</f>
        <v>333.72</v>
      </c>
      <c r="I235" s="10" t="n">
        <f aca="false">Regression!$B$14+Regression!$B$12*E235+Regression!$B$13*F235</f>
        <v>273.355137762956</v>
      </c>
      <c r="J235" s="10" t="n">
        <f aca="false">H235-I235</f>
        <v>60.3648622370445</v>
      </c>
    </row>
    <row r="236" customFormat="false" ht="15" hidden="false" customHeight="false" outlineLevel="0" collapsed="false">
      <c r="A236" s="9" t="s">
        <v>1801</v>
      </c>
      <c r="B236" s="9" t="n">
        <v>15574</v>
      </c>
      <c r="C236" s="9" t="s">
        <v>1906</v>
      </c>
      <c r="D236" s="11" t="n">
        <v>40514.6569444445</v>
      </c>
      <c r="E236" s="9" t="n">
        <f aca="false">COUNTIFS('Invoice Lines'!$A$5:$A$5059,A236)</f>
        <v>105</v>
      </c>
      <c r="F236" s="9" t="n">
        <f aca="false">SUMIFS('Invoice Lines'!$C$5:$C$5059,'Invoice Lines'!$A$5:$A$5059,A236)</f>
        <v>159</v>
      </c>
      <c r="G236" s="10" t="n">
        <f aca="false">AVERAGEIFS('Invoice Lines'!$D$5:$D$5059,'Invoice Lines'!$A$5:$A$5059,A236)</f>
        <v>2.20304761904762</v>
      </c>
      <c r="H236" s="10" t="n">
        <f aca="false">SUMIFS('Invoice Lines'!$E$5:$E$5059,'Invoice Lines'!$A$5:$A$5059,A236)</f>
        <v>349.04</v>
      </c>
      <c r="I236" s="10" t="n">
        <f aca="false">Regression!$B$14+Regression!$B$12*E236+Regression!$B$13*F236</f>
        <v>959.236664128407</v>
      </c>
      <c r="J236" s="10" t="n">
        <f aca="false">H236-I236</f>
        <v>-610.196664128407</v>
      </c>
    </row>
    <row r="237" customFormat="false" ht="15" hidden="false" customHeight="false" outlineLevel="0" collapsed="false">
      <c r="A237" s="9" t="s">
        <v>1822</v>
      </c>
      <c r="B237" s="9" t="n">
        <v>16770</v>
      </c>
      <c r="C237" s="9" t="s">
        <v>1906</v>
      </c>
      <c r="D237" s="11" t="n">
        <v>40514.6590277778</v>
      </c>
      <c r="E237" s="9" t="n">
        <f aca="false">COUNTIFS('Invoice Lines'!$A$5:$A$5059,A237)</f>
        <v>6</v>
      </c>
      <c r="F237" s="9" t="n">
        <f aca="false">SUMIFS('Invoice Lines'!$C$5:$C$5059,'Invoice Lines'!$A$5:$A$5059,A237)</f>
        <v>56</v>
      </c>
      <c r="G237" s="10" t="n">
        <f aca="false">AVERAGEIFS('Invoice Lines'!$D$5:$D$5059,'Invoice Lines'!$A$5:$A$5059,A237)</f>
        <v>2.65</v>
      </c>
      <c r="H237" s="10" t="n">
        <f aca="false">SUMIFS('Invoice Lines'!$E$5:$E$5059,'Invoice Lines'!$A$5:$A$5059,A237)</f>
        <v>130.8</v>
      </c>
      <c r="I237" s="10" t="n">
        <f aca="false">Regression!$B$14+Regression!$B$12*E237+Regression!$B$13*F237</f>
        <v>148.841108014872</v>
      </c>
      <c r="J237" s="10" t="n">
        <f aca="false">H237-I237</f>
        <v>-18.0411080148721</v>
      </c>
    </row>
    <row r="238" customFormat="false" ht="15" hidden="false" customHeight="false" outlineLevel="0" collapsed="false">
      <c r="A238" s="9" t="s">
        <v>1824</v>
      </c>
      <c r="B238" s="9" t="n">
        <v>17838</v>
      </c>
      <c r="C238" s="9" t="s">
        <v>1906</v>
      </c>
      <c r="D238" s="11" t="n">
        <v>40514.6631944445</v>
      </c>
      <c r="E238" s="9" t="n">
        <f aca="false">COUNTIFS('Invoice Lines'!$A$5:$A$5059,A238)</f>
        <v>29</v>
      </c>
      <c r="F238" s="9" t="n">
        <f aca="false">SUMIFS('Invoice Lines'!$C$5:$C$5059,'Invoice Lines'!$A$5:$A$5059,A238)</f>
        <v>454</v>
      </c>
      <c r="G238" s="10" t="n">
        <f aca="false">AVERAGEIFS('Invoice Lines'!$D$5:$D$5059,'Invoice Lines'!$A$5:$A$5059,A238)</f>
        <v>2.60655172413793</v>
      </c>
      <c r="H238" s="10" t="n">
        <f aca="false">SUMIFS('Invoice Lines'!$E$5:$E$5059,'Invoice Lines'!$A$5:$A$5059,A238)</f>
        <v>684.46</v>
      </c>
      <c r="I238" s="10" t="n">
        <f aca="false">Regression!$B$14+Regression!$B$12*E238+Regression!$B$13*F238</f>
        <v>691.011383079637</v>
      </c>
      <c r="J238" s="10" t="n">
        <f aca="false">H238-I238</f>
        <v>-6.55138307963739</v>
      </c>
    </row>
    <row r="239" customFormat="false" ht="15" hidden="false" customHeight="false" outlineLevel="0" collapsed="false">
      <c r="A239" s="9" t="s">
        <v>1826</v>
      </c>
      <c r="B239" s="9" t="n">
        <v>17228</v>
      </c>
      <c r="C239" s="9" t="s">
        <v>1906</v>
      </c>
      <c r="D239" s="11" t="n">
        <v>40514.6666666667</v>
      </c>
      <c r="E239" s="9" t="n">
        <f aca="false">COUNTIFS('Invoice Lines'!$A$5:$A$5059,A239)</f>
        <v>18</v>
      </c>
      <c r="F239" s="9" t="n">
        <f aca="false">SUMIFS('Invoice Lines'!$C$5:$C$5059,'Invoice Lines'!$A$5:$A$5059,A239)</f>
        <v>122</v>
      </c>
      <c r="G239" s="10" t="n">
        <f aca="false">AVERAGEIFS('Invoice Lines'!$D$5:$D$5059,'Invoice Lines'!$A$5:$A$5059,A239)</f>
        <v>1.72777777777778</v>
      </c>
      <c r="H239" s="10" t="n">
        <f aca="false">SUMIFS('Invoice Lines'!$E$5:$E$5059,'Invoice Lines'!$A$5:$A$5059,A239)</f>
        <v>183.3</v>
      </c>
      <c r="I239" s="10" t="n">
        <f aca="false">Regression!$B$14+Regression!$B$12*E239+Regression!$B$13*F239</f>
        <v>297.699878276828</v>
      </c>
      <c r="J239" s="10" t="n">
        <f aca="false">H239-I239</f>
        <v>-114.399878276828</v>
      </c>
    </row>
    <row r="240" customFormat="false" ht="15" hidden="false" customHeight="false" outlineLevel="0" collapsed="false">
      <c r="A240" s="9" t="s">
        <v>1827</v>
      </c>
      <c r="B240" s="9" t="n">
        <v>14829</v>
      </c>
      <c r="C240" s="9" t="s">
        <v>1906</v>
      </c>
      <c r="D240" s="11" t="n">
        <v>40514.675</v>
      </c>
      <c r="E240" s="9" t="n">
        <f aca="false">COUNTIFS('Invoice Lines'!$A$5:$A$5059,A240)</f>
        <v>19</v>
      </c>
      <c r="F240" s="9" t="n">
        <f aca="false">SUMIFS('Invoice Lines'!$C$5:$C$5059,'Invoice Lines'!$A$5:$A$5059,A240)</f>
        <v>190</v>
      </c>
      <c r="G240" s="10" t="n">
        <f aca="false">AVERAGEIFS('Invoice Lines'!$D$5:$D$5059,'Invoice Lines'!$A$5:$A$5059,A240)</f>
        <v>1.80315789473684</v>
      </c>
      <c r="H240" s="10" t="n">
        <f aca="false">SUMIFS('Invoice Lines'!$E$5:$E$5059,'Invoice Lines'!$A$5:$A$5059,A240)</f>
        <v>236.97</v>
      </c>
      <c r="I240" s="10" t="n">
        <f aca="false">Regression!$B$14+Regression!$B$12*E240+Regression!$B$13*F240</f>
        <v>369.234064947526</v>
      </c>
      <c r="J240" s="10" t="n">
        <f aca="false">H240-I240</f>
        <v>-132.264064947526</v>
      </c>
    </row>
    <row r="241" customFormat="false" ht="15" hidden="false" customHeight="false" outlineLevel="0" collapsed="false">
      <c r="A241" s="9" t="s">
        <v>1829</v>
      </c>
      <c r="B241" s="9"/>
      <c r="C241" s="9"/>
      <c r="D241" s="11" t="n">
        <v>40514.675</v>
      </c>
      <c r="E241" s="9" t="n">
        <f aca="false">COUNTIFS('Invoice Lines'!$A$5:$A$5059,A241)</f>
        <v>14</v>
      </c>
      <c r="F241" s="9" t="n">
        <f aca="false">SUMIFS('Invoice Lines'!$C$5:$C$5059,'Invoice Lines'!$A$5:$A$5059,A241)</f>
        <v>134</v>
      </c>
      <c r="G241" s="10" t="n">
        <f aca="false">AVERAGEIFS('Invoice Lines'!$D$5:$D$5059,'Invoice Lines'!$A$5:$A$5059,A241)</f>
        <v>2.625</v>
      </c>
      <c r="H241" s="10" t="n">
        <f aca="false">SUMIFS('Invoice Lines'!$E$5:$E$5059,'Invoice Lines'!$A$5:$A$5059,A241)</f>
        <v>252.3</v>
      </c>
      <c r="I241" s="10" t="n">
        <f aca="false">Regression!$B$14+Regression!$B$12*E241+Regression!$B$13*F241</f>
        <v>280.246621486494</v>
      </c>
      <c r="J241" s="10" t="n">
        <f aca="false">H241-I241</f>
        <v>-27.9466214864937</v>
      </c>
    </row>
    <row r="242" customFormat="false" ht="15" hidden="false" customHeight="false" outlineLevel="0" collapsed="false">
      <c r="A242" s="9" t="s">
        <v>1830</v>
      </c>
      <c r="B242" s="9" t="n">
        <v>17412</v>
      </c>
      <c r="C242" s="9" t="s">
        <v>1906</v>
      </c>
      <c r="D242" s="11" t="n">
        <v>40514.6868055556</v>
      </c>
      <c r="E242" s="9" t="n">
        <f aca="false">COUNTIFS('Invoice Lines'!$A$5:$A$5059,A242)</f>
        <v>8</v>
      </c>
      <c r="F242" s="9" t="n">
        <f aca="false">SUMIFS('Invoice Lines'!$C$5:$C$5059,'Invoice Lines'!$A$5:$A$5059,A242)</f>
        <v>50</v>
      </c>
      <c r="G242" s="10" t="n">
        <f aca="false">AVERAGEIFS('Invoice Lines'!$D$5:$D$5059,'Invoice Lines'!$A$5:$A$5059,A242)</f>
        <v>4.70625</v>
      </c>
      <c r="H242" s="10" t="n">
        <f aca="false">SUMIFS('Invoice Lines'!$E$5:$E$5059,'Invoice Lines'!$A$5:$A$5059,A242)</f>
        <v>197.3</v>
      </c>
      <c r="I242" s="10" t="n">
        <f aca="false">Regression!$B$14+Regression!$B$12*E242+Regression!$B$13*F242</f>
        <v>157.567736410039</v>
      </c>
      <c r="J242" s="10" t="n">
        <f aca="false">H242-I242</f>
        <v>39.7322635899607</v>
      </c>
    </row>
    <row r="243" customFormat="false" ht="15" hidden="false" customHeight="false" outlineLevel="0" collapsed="false">
      <c r="A243" s="9" t="s">
        <v>1831</v>
      </c>
      <c r="B243" s="9" t="n">
        <v>14911</v>
      </c>
      <c r="C243" s="9" t="s">
        <v>1912</v>
      </c>
      <c r="D243" s="11" t="n">
        <v>40514.6895833333</v>
      </c>
      <c r="E243" s="9" t="n">
        <f aca="false">COUNTIFS('Invoice Lines'!$A$5:$A$5059,A243)</f>
        <v>1</v>
      </c>
      <c r="F243" s="9" t="n">
        <f aca="false">SUMIFS('Invoice Lines'!$C$5:$C$5059,'Invoice Lines'!$A$5:$A$5059,A243)</f>
        <v>6</v>
      </c>
      <c r="G243" s="10" t="n">
        <f aca="false">AVERAGEIFS('Invoice Lines'!$D$5:$D$5059,'Invoice Lines'!$A$5:$A$5059,A243)</f>
        <v>3.75</v>
      </c>
      <c r="H243" s="10" t="n">
        <f aca="false">SUMIFS('Invoice Lines'!$E$5:$E$5059,'Invoice Lines'!$A$5:$A$5059,A243)</f>
        <v>22.5</v>
      </c>
      <c r="I243" s="10" t="n">
        <f aca="false">Regression!$B$14+Regression!$B$12*E243+Regression!$B$13*F243</f>
        <v>65.5300763121312</v>
      </c>
      <c r="J243" s="10" t="n">
        <f aca="false">H243-I243</f>
        <v>-43.0300763121312</v>
      </c>
    </row>
    <row r="244" customFormat="false" ht="15" hidden="false" customHeight="false" outlineLevel="0" collapsed="false">
      <c r="A244" s="9" t="s">
        <v>1832</v>
      </c>
      <c r="B244" s="9" t="n">
        <v>14031</v>
      </c>
      <c r="C244" s="9" t="s">
        <v>1906</v>
      </c>
      <c r="D244" s="11" t="n">
        <v>40514.6902777778</v>
      </c>
      <c r="E244" s="9" t="n">
        <f aca="false">COUNTIFS('Invoice Lines'!$A$5:$A$5059,A244)</f>
        <v>25</v>
      </c>
      <c r="F244" s="9" t="n">
        <f aca="false">SUMIFS('Invoice Lines'!$C$5:$C$5059,'Invoice Lines'!$A$5:$A$5059,A244)</f>
        <v>531</v>
      </c>
      <c r="G244" s="10" t="n">
        <f aca="false">AVERAGEIFS('Invoice Lines'!$D$5:$D$5059,'Invoice Lines'!$A$5:$A$5059,A244)</f>
        <v>4.2264</v>
      </c>
      <c r="H244" s="10" t="n">
        <f aca="false">SUMIFS('Invoice Lines'!$E$5:$E$5059,'Invoice Lines'!$A$5:$A$5059,A244)</f>
        <v>1714.25</v>
      </c>
      <c r="I244" s="10" t="n">
        <f aca="false">Regression!$B$14+Regression!$B$12*E244+Regression!$B$13*F244</f>
        <v>735.052587004126</v>
      </c>
      <c r="J244" s="10" t="n">
        <f aca="false">H244-I244</f>
        <v>979.197412995874</v>
      </c>
    </row>
    <row r="245" customFormat="false" ht="15" hidden="false" customHeight="false" outlineLevel="0" collapsed="false">
      <c r="A245" s="9" t="s">
        <v>1833</v>
      </c>
      <c r="B245" s="9" t="n">
        <v>14775</v>
      </c>
      <c r="C245" s="9" t="s">
        <v>1906</v>
      </c>
      <c r="D245" s="11" t="n">
        <v>40514.6930555556</v>
      </c>
      <c r="E245" s="9" t="n">
        <f aca="false">COUNTIFS('Invoice Lines'!$A$5:$A$5059,A245)</f>
        <v>20</v>
      </c>
      <c r="F245" s="9" t="n">
        <f aca="false">SUMIFS('Invoice Lines'!$C$5:$C$5059,'Invoice Lines'!$A$5:$A$5059,A245)</f>
        <v>384</v>
      </c>
      <c r="G245" s="10" t="n">
        <f aca="false">AVERAGEIFS('Invoice Lines'!$D$5:$D$5059,'Invoice Lines'!$A$5:$A$5059,A245)</f>
        <v>1.1505</v>
      </c>
      <c r="H245" s="10" t="n">
        <f aca="false">SUMIFS('Invoice Lines'!$E$5:$E$5059,'Invoice Lines'!$A$5:$A$5059,A245)</f>
        <v>406.56</v>
      </c>
      <c r="I245" s="10" t="n">
        <f aca="false">Regression!$B$14+Regression!$B$12*E245+Regression!$B$13*F245</f>
        <v>559.972898542342</v>
      </c>
      <c r="J245" s="10" t="n">
        <f aca="false">H245-I245</f>
        <v>-153.412898542342</v>
      </c>
    </row>
    <row r="246" customFormat="false" ht="15" hidden="false" customHeight="false" outlineLevel="0" collapsed="false">
      <c r="A246" s="9" t="s">
        <v>1837</v>
      </c>
      <c r="B246" s="9" t="n">
        <v>12971</v>
      </c>
      <c r="C246" s="9" t="s">
        <v>1906</v>
      </c>
      <c r="D246" s="11" t="n">
        <v>40514.6958333333</v>
      </c>
      <c r="E246" s="9" t="n">
        <f aca="false">COUNTIFS('Invoice Lines'!$A$5:$A$5059,A246)</f>
        <v>5</v>
      </c>
      <c r="F246" s="9" t="n">
        <f aca="false">SUMIFS('Invoice Lines'!$C$5:$C$5059,'Invoice Lines'!$A$5:$A$5059,A246)</f>
        <v>84</v>
      </c>
      <c r="G246" s="10" t="n">
        <f aca="false">AVERAGEIFS('Invoice Lines'!$D$5:$D$5059,'Invoice Lines'!$A$5:$A$5059,A246)</f>
        <v>0.584</v>
      </c>
      <c r="H246" s="10" t="n">
        <f aca="false">SUMIFS('Invoice Lines'!$E$5:$E$5059,'Invoice Lines'!$A$5:$A$5059,A246)</f>
        <v>45.12</v>
      </c>
      <c r="I246" s="10" t="n">
        <f aca="false">Regression!$B$14+Regression!$B$12*E246+Regression!$B$13*F246</f>
        <v>168.129509476836</v>
      </c>
      <c r="J246" s="10" t="n">
        <f aca="false">H246-I246</f>
        <v>-123.009509476836</v>
      </c>
    </row>
    <row r="247" customFormat="false" ht="15" hidden="false" customHeight="false" outlineLevel="0" collapsed="false">
      <c r="A247" s="9" t="s">
        <v>1838</v>
      </c>
      <c r="B247" s="9" t="n">
        <v>17659</v>
      </c>
      <c r="C247" s="9" t="s">
        <v>1906</v>
      </c>
      <c r="D247" s="11" t="n">
        <v>40514.6986111111</v>
      </c>
      <c r="E247" s="9" t="n">
        <f aca="false">COUNTIFS('Invoice Lines'!$A$5:$A$5059,A247)</f>
        <v>12</v>
      </c>
      <c r="F247" s="9" t="n">
        <f aca="false">SUMIFS('Invoice Lines'!$C$5:$C$5059,'Invoice Lines'!$A$5:$A$5059,A247)</f>
        <v>64</v>
      </c>
      <c r="G247" s="10" t="n">
        <f aca="false">AVERAGEIFS('Invoice Lines'!$D$5:$D$5059,'Invoice Lines'!$A$5:$A$5059,A247)</f>
        <v>6.30833333333333</v>
      </c>
      <c r="H247" s="10" t="n">
        <f aca="false">SUMIFS('Invoice Lines'!$E$5:$E$5059,'Invoice Lines'!$A$5:$A$5059,A247)</f>
        <v>247.8</v>
      </c>
      <c r="I247" s="10" t="n">
        <f aca="false">Regression!$B$14+Regression!$B$12*E247+Regression!$B$13*F247</f>
        <v>199.618777486303</v>
      </c>
      <c r="J247" s="10" t="n">
        <f aca="false">H247-I247</f>
        <v>48.181222513697</v>
      </c>
    </row>
    <row r="248" customFormat="false" ht="15" hidden="false" customHeight="false" outlineLevel="0" collapsed="false">
      <c r="A248" s="9" t="s">
        <v>1839</v>
      </c>
      <c r="B248" s="9" t="n">
        <v>15299</v>
      </c>
      <c r="C248" s="9" t="s">
        <v>1906</v>
      </c>
      <c r="D248" s="11" t="n">
        <v>40514.7</v>
      </c>
      <c r="E248" s="9" t="n">
        <f aca="false">COUNTIFS('Invoice Lines'!$A$5:$A$5059,A248)</f>
        <v>1</v>
      </c>
      <c r="F248" s="9" t="n">
        <f aca="false">SUMIFS('Invoice Lines'!$C$5:$C$5059,'Invoice Lines'!$A$5:$A$5059,A248)</f>
        <v>1824</v>
      </c>
      <c r="G248" s="10" t="n">
        <f aca="false">AVERAGEIFS('Invoice Lines'!$D$5:$D$5059,'Invoice Lines'!$A$5:$A$5059,A248)</f>
        <v>0.55</v>
      </c>
      <c r="H248" s="10" t="n">
        <f aca="false">SUMIFS('Invoice Lines'!$E$5:$E$5059,'Invoice Lines'!$A$5:$A$5059,A248)</f>
        <v>1003.2</v>
      </c>
      <c r="I248" s="10" t="n">
        <f aca="false">Regression!$B$14+Regression!$B$12*E248+Regression!$B$13*F248</f>
        <v>1785.4828390744</v>
      </c>
      <c r="J248" s="10" t="n">
        <f aca="false">H248-I248</f>
        <v>-782.282839074404</v>
      </c>
    </row>
    <row r="249" customFormat="false" ht="15" hidden="false" customHeight="false" outlineLevel="0" collapsed="false">
      <c r="A249" s="9" t="s">
        <v>1840</v>
      </c>
      <c r="B249" s="9" t="n">
        <v>15299</v>
      </c>
      <c r="C249" s="9" t="s">
        <v>1906</v>
      </c>
      <c r="D249" s="11" t="n">
        <v>40514.7013888889</v>
      </c>
      <c r="E249" s="9" t="n">
        <f aca="false">COUNTIFS('Invoice Lines'!$A$5:$A$5059,A249)</f>
        <v>1</v>
      </c>
      <c r="F249" s="9" t="n">
        <f aca="false">SUMIFS('Invoice Lines'!$C$5:$C$5059,'Invoice Lines'!$A$5:$A$5059,A249)</f>
        <v>204</v>
      </c>
      <c r="G249" s="10" t="n">
        <f aca="false">AVERAGEIFS('Invoice Lines'!$D$5:$D$5059,'Invoice Lines'!$A$5:$A$5059,A249)</f>
        <v>1.49</v>
      </c>
      <c r="H249" s="10" t="n">
        <f aca="false">SUMIFS('Invoice Lines'!$E$5:$E$5059,'Invoice Lines'!$A$5:$A$5059,A249)</f>
        <v>303.96</v>
      </c>
      <c r="I249" s="10" t="n">
        <f aca="false">Regression!$B$14+Regression!$B$12*E249+Regression!$B$13*F249</f>
        <v>252.851664335745</v>
      </c>
      <c r="J249" s="10" t="n">
        <f aca="false">H249-I249</f>
        <v>51.1083356642549</v>
      </c>
    </row>
    <row r="250" customFormat="false" ht="15" hidden="false" customHeight="false" outlineLevel="0" collapsed="false">
      <c r="A250" s="9" t="s">
        <v>1841</v>
      </c>
      <c r="B250" s="9" t="n">
        <v>15299</v>
      </c>
      <c r="C250" s="9" t="s">
        <v>1906</v>
      </c>
      <c r="D250" s="11" t="n">
        <v>40514.7020833333</v>
      </c>
      <c r="E250" s="9" t="n">
        <f aca="false">COUNTIFS('Invoice Lines'!$A$5:$A$5059,A250)</f>
        <v>1</v>
      </c>
      <c r="F250" s="9" t="n">
        <f aca="false">SUMIFS('Invoice Lines'!$C$5:$C$5059,'Invoice Lines'!$A$5:$A$5059,A250)</f>
        <v>69</v>
      </c>
      <c r="G250" s="10" t="n">
        <f aca="false">AVERAGEIFS('Invoice Lines'!$D$5:$D$5059,'Invoice Lines'!$A$5:$A$5059,A250)</f>
        <v>7.65</v>
      </c>
      <c r="H250" s="10" t="n">
        <f aca="false">SUMIFS('Invoice Lines'!$E$5:$E$5059,'Invoice Lines'!$A$5:$A$5059,A250)</f>
        <v>527.85</v>
      </c>
      <c r="I250" s="10" t="n">
        <f aca="false">Regression!$B$14+Regression!$B$12*E250+Regression!$B$13*F250</f>
        <v>125.13239977419</v>
      </c>
      <c r="J250" s="10" t="n">
        <f aca="false">H250-I250</f>
        <v>402.71760022581</v>
      </c>
    </row>
    <row r="251" customFormat="false" ht="15" hidden="false" customHeight="false" outlineLevel="0" collapsed="false">
      <c r="A251" s="9" t="s">
        <v>1843</v>
      </c>
      <c r="B251" s="9" t="n">
        <v>15646</v>
      </c>
      <c r="C251" s="9" t="s">
        <v>1906</v>
      </c>
      <c r="D251" s="11" t="n">
        <v>40514.7076388889</v>
      </c>
      <c r="E251" s="9" t="n">
        <f aca="false">COUNTIFS('Invoice Lines'!$A$5:$A$5059,A251)</f>
        <v>17</v>
      </c>
      <c r="F251" s="9" t="n">
        <f aca="false">SUMIFS('Invoice Lines'!$C$5:$C$5059,'Invoice Lines'!$A$5:$A$5059,A251)</f>
        <v>230</v>
      </c>
      <c r="G251" s="10" t="n">
        <f aca="false">AVERAGEIFS('Invoice Lines'!$D$5:$D$5059,'Invoice Lines'!$A$5:$A$5059,A251)</f>
        <v>1.39117647058824</v>
      </c>
      <c r="H251" s="10" t="n">
        <f aca="false">SUMIFS('Invoice Lines'!$E$5:$E$5059,'Invoice Lines'!$A$5:$A$5059,A251)</f>
        <v>189.8</v>
      </c>
      <c r="I251" s="10" t="n">
        <f aca="false">Regression!$B$14+Regression!$B$12*E251+Regression!$B$13*F251</f>
        <v>392.673769849343</v>
      </c>
      <c r="J251" s="10" t="n">
        <f aca="false">H251-I251</f>
        <v>-202.873769849343</v>
      </c>
    </row>
    <row r="252" customFormat="false" ht="15" hidden="false" customHeight="false" outlineLevel="0" collapsed="false">
      <c r="A252" s="9" t="s">
        <v>1846</v>
      </c>
      <c r="B252" s="9" t="n">
        <v>13402</v>
      </c>
      <c r="C252" s="9" t="s">
        <v>1906</v>
      </c>
      <c r="D252" s="11" t="n">
        <v>40514.7166666667</v>
      </c>
      <c r="E252" s="9" t="n">
        <f aca="false">COUNTIFS('Invoice Lines'!$A$5:$A$5059,A252)</f>
        <v>17</v>
      </c>
      <c r="F252" s="9" t="n">
        <f aca="false">SUMIFS('Invoice Lines'!$C$5:$C$5059,'Invoice Lines'!$A$5:$A$5059,A252)</f>
        <v>190</v>
      </c>
      <c r="G252" s="10" t="n">
        <f aca="false">AVERAGEIFS('Invoice Lines'!$D$5:$D$5059,'Invoice Lines'!$A$5:$A$5059,A252)</f>
        <v>2.73176470588235</v>
      </c>
      <c r="H252" s="10" t="n">
        <f aca="false">SUMIFS('Invoice Lines'!$E$5:$E$5059,'Invoice Lines'!$A$5:$A$5059,A252)</f>
        <v>308.28</v>
      </c>
      <c r="I252" s="10" t="n">
        <f aca="false">Regression!$B$14+Regression!$B$12*E252+Regression!$B$13*F252</f>
        <v>354.831024794067</v>
      </c>
      <c r="J252" s="10" t="n">
        <f aca="false">H252-I252</f>
        <v>-46.5510247940673</v>
      </c>
    </row>
    <row r="253" customFormat="false" ht="15" hidden="false" customHeight="false" outlineLevel="0" collapsed="false">
      <c r="A253" s="9" t="s">
        <v>1848</v>
      </c>
      <c r="B253" s="9" t="n">
        <v>17757</v>
      </c>
      <c r="C253" s="9" t="s">
        <v>1906</v>
      </c>
      <c r="D253" s="11" t="n">
        <v>40514.7201388889</v>
      </c>
      <c r="E253" s="9" t="n">
        <f aca="false">COUNTIFS('Invoice Lines'!$A$5:$A$5059,A253)</f>
        <v>23</v>
      </c>
      <c r="F253" s="9" t="n">
        <f aca="false">SUMIFS('Invoice Lines'!$C$5:$C$5059,'Invoice Lines'!$A$5:$A$5059,A253)</f>
        <v>80</v>
      </c>
      <c r="G253" s="10" t="n">
        <f aca="false">AVERAGEIFS('Invoice Lines'!$D$5:$D$5059,'Invoice Lines'!$A$5:$A$5059,A253)</f>
        <v>2.50869565217391</v>
      </c>
      <c r="H253" s="10" t="n">
        <f aca="false">SUMIFS('Invoice Lines'!$E$5:$E$5059,'Invoice Lines'!$A$5:$A$5059,A253)</f>
        <v>143.45</v>
      </c>
      <c r="I253" s="10" t="n">
        <f aca="false">Regression!$B$14+Regression!$B$12*E253+Regression!$B$13*F253</f>
        <v>293.972596352435</v>
      </c>
      <c r="J253" s="10" t="n">
        <f aca="false">H253-I253</f>
        <v>-150.522596352435</v>
      </c>
    </row>
    <row r="254" customFormat="false" ht="15" hidden="false" customHeight="false" outlineLevel="0" collapsed="false">
      <c r="A254" s="9" t="s">
        <v>1850</v>
      </c>
      <c r="B254" s="9" t="n">
        <v>13011</v>
      </c>
      <c r="C254" s="9" t="s">
        <v>1906</v>
      </c>
      <c r="D254" s="11" t="n">
        <v>40514.7236111111</v>
      </c>
      <c r="E254" s="9" t="n">
        <f aca="false">COUNTIFS('Invoice Lines'!$A$5:$A$5059,A254)</f>
        <v>3</v>
      </c>
      <c r="F254" s="9" t="n">
        <f aca="false">SUMIFS('Invoice Lines'!$C$5:$C$5059,'Invoice Lines'!$A$5:$A$5059,A254)</f>
        <v>13</v>
      </c>
      <c r="G254" s="10" t="n">
        <f aca="false">AVERAGEIFS('Invoice Lines'!$D$5:$D$5059,'Invoice Lines'!$A$5:$A$5059,A254)</f>
        <v>4.21666666666667</v>
      </c>
      <c r="H254" s="10" t="n">
        <f aca="false">SUMIFS('Invoice Lines'!$E$5:$E$5059,'Invoice Lines'!$A$5:$A$5059,A254)</f>
        <v>50.55</v>
      </c>
      <c r="I254" s="10" t="n">
        <f aca="false">Regression!$B$14+Regression!$B$12*E254+Regression!$B$13*F254</f>
        <v>86.555596850263</v>
      </c>
      <c r="J254" s="10" t="n">
        <f aca="false">H254-I254</f>
        <v>-36.005596850263</v>
      </c>
    </row>
    <row r="255" customFormat="false" ht="15" hidden="false" customHeight="false" outlineLevel="0" collapsed="false">
      <c r="A255" s="9" t="s">
        <v>1851</v>
      </c>
      <c r="B255" s="9" t="n">
        <v>13798</v>
      </c>
      <c r="C255" s="9" t="s">
        <v>1906</v>
      </c>
      <c r="D255" s="11" t="n">
        <v>40514.725</v>
      </c>
      <c r="E255" s="9" t="n">
        <f aca="false">COUNTIFS('Invoice Lines'!$A$5:$A$5059,A255)</f>
        <v>1</v>
      </c>
      <c r="F255" s="9" t="n">
        <f aca="false">SUMIFS('Invoice Lines'!$C$5:$C$5059,'Invoice Lines'!$A$5:$A$5059,A255)</f>
        <v>160</v>
      </c>
      <c r="G255" s="10" t="n">
        <f aca="false">AVERAGEIFS('Invoice Lines'!$D$5:$D$5059,'Invoice Lines'!$A$5:$A$5059,A255)</f>
        <v>2.55</v>
      </c>
      <c r="H255" s="10" t="n">
        <f aca="false">SUMIFS('Invoice Lines'!$E$5:$E$5059,'Invoice Lines'!$A$5:$A$5059,A255)</f>
        <v>408</v>
      </c>
      <c r="I255" s="10" t="n">
        <f aca="false">Regression!$B$14+Regression!$B$12*E255+Regression!$B$13*F255</f>
        <v>211.224644774942</v>
      </c>
      <c r="J255" s="10" t="n">
        <f aca="false">H255-I255</f>
        <v>196.775355225058</v>
      </c>
    </row>
    <row r="256" customFormat="false" ht="15" hidden="false" customHeight="false" outlineLevel="0" collapsed="false">
      <c r="A256" s="9" t="s">
        <v>1852</v>
      </c>
      <c r="B256" s="9" t="n">
        <v>16754</v>
      </c>
      <c r="C256" s="9" t="s">
        <v>1906</v>
      </c>
      <c r="D256" s="11" t="n">
        <v>40514.7347222222</v>
      </c>
      <c r="E256" s="9" t="n">
        <f aca="false">COUNTIFS('Invoice Lines'!$A$5:$A$5059,A256)</f>
        <v>2</v>
      </c>
      <c r="F256" s="9" t="n">
        <f aca="false">SUMIFS('Invoice Lines'!$C$5:$C$5059,'Invoice Lines'!$A$5:$A$5059,A256)</f>
        <v>4280</v>
      </c>
      <c r="G256" s="10" t="n">
        <f aca="false">AVERAGEIFS('Invoice Lines'!$D$5:$D$5059,'Invoice Lines'!$A$5:$A$5059,A256)</f>
        <v>0.62</v>
      </c>
      <c r="H256" s="10" t="n">
        <f aca="false">SUMIFS('Invoice Lines'!$E$5:$E$5059,'Invoice Lines'!$A$5:$A$5059,A256)</f>
        <v>2002.4</v>
      </c>
      <c r="I256" s="10" t="n">
        <f aca="false">Regression!$B$14+Regression!$B$12*E256+Regression!$B$13*F256</f>
        <v>4116.22890554505</v>
      </c>
      <c r="J256" s="10" t="n">
        <f aca="false">H256-I256</f>
        <v>-2113.82890554505</v>
      </c>
    </row>
    <row r="257" customFormat="false" ht="15" hidden="false" customHeight="false" outlineLevel="0" collapsed="false">
      <c r="A257" s="9" t="s">
        <v>1853</v>
      </c>
      <c r="B257" s="9" t="n">
        <v>16029</v>
      </c>
      <c r="C257" s="9" t="s">
        <v>1906</v>
      </c>
      <c r="D257" s="11" t="n">
        <v>40514.7361111111</v>
      </c>
      <c r="E257" s="9" t="n">
        <f aca="false">COUNTIFS('Invoice Lines'!$A$5:$A$5059,A257)</f>
        <v>4</v>
      </c>
      <c r="F257" s="9" t="n">
        <f aca="false">SUMIFS('Invoice Lines'!$C$5:$C$5059,'Invoice Lines'!$A$5:$A$5059,A257)</f>
        <v>260</v>
      </c>
      <c r="G257" s="10" t="n">
        <f aca="false">AVERAGEIFS('Invoice Lines'!$D$5:$D$5059,'Invoice Lines'!$A$5:$A$5059,A257)</f>
        <v>3</v>
      </c>
      <c r="H257" s="10" t="n">
        <f aca="false">SUMIFS('Invoice Lines'!$E$5:$E$5059,'Invoice Lines'!$A$5:$A$5059,A257)</f>
        <v>569.4</v>
      </c>
      <c r="I257" s="10" t="n">
        <f aca="false">Regression!$B$14+Regression!$B$12*E257+Regression!$B$13*F257</f>
        <v>327.436067643319</v>
      </c>
      <c r="J257" s="10" t="n">
        <f aca="false">H257-I257</f>
        <v>241.963932356681</v>
      </c>
    </row>
    <row r="258" customFormat="false" ht="15" hidden="false" customHeight="false" outlineLevel="0" collapsed="false">
      <c r="A258" s="9" t="s">
        <v>1854</v>
      </c>
      <c r="B258" s="9" t="n">
        <v>16634</v>
      </c>
      <c r="C258" s="9" t="s">
        <v>1906</v>
      </c>
      <c r="D258" s="11" t="n">
        <v>40514.7368055556</v>
      </c>
      <c r="E258" s="9" t="n">
        <f aca="false">COUNTIFS('Invoice Lines'!$A$5:$A$5059,A258)</f>
        <v>8</v>
      </c>
      <c r="F258" s="9" t="n">
        <f aca="false">SUMIFS('Invoice Lines'!$C$5:$C$5059,'Invoice Lines'!$A$5:$A$5059,A258)</f>
        <v>64</v>
      </c>
      <c r="G258" s="10" t="n">
        <f aca="false">AVERAGEIFS('Invoice Lines'!$D$5:$D$5059,'Invoice Lines'!$A$5:$A$5059,A258)</f>
        <v>4.7</v>
      </c>
      <c r="H258" s="10" t="n">
        <f aca="false">SUMIFS('Invoice Lines'!$E$5:$E$5059,'Invoice Lines'!$A$5:$A$5059,A258)</f>
        <v>164.8</v>
      </c>
      <c r="I258" s="10" t="n">
        <f aca="false">Regression!$B$14+Regression!$B$12*E258+Regression!$B$13*F258</f>
        <v>170.812697179386</v>
      </c>
      <c r="J258" s="10" t="n">
        <f aca="false">H258-I258</f>
        <v>-6.01269717938575</v>
      </c>
    </row>
    <row r="259" customFormat="false" ht="15" hidden="false" customHeight="false" outlineLevel="0" collapsed="false">
      <c r="A259" s="9" t="s">
        <v>1859</v>
      </c>
      <c r="B259" s="9" t="n">
        <v>18239</v>
      </c>
      <c r="C259" s="9" t="s">
        <v>1906</v>
      </c>
      <c r="D259" s="11" t="n">
        <v>40514.7416666667</v>
      </c>
      <c r="E259" s="9" t="n">
        <f aca="false">COUNTIFS('Invoice Lines'!$A$5:$A$5059,A259)</f>
        <v>29</v>
      </c>
      <c r="F259" s="9" t="n">
        <f aca="false">SUMIFS('Invoice Lines'!$C$5:$C$5059,'Invoice Lines'!$A$5:$A$5059,A259)</f>
        <v>208</v>
      </c>
      <c r="G259" s="10" t="n">
        <f aca="false">AVERAGEIFS('Invoice Lines'!$D$5:$D$5059,'Invoice Lines'!$A$5:$A$5059,A259)</f>
        <v>3.34137931034483</v>
      </c>
      <c r="H259" s="10" t="n">
        <f aca="false">SUMIFS('Invoice Lines'!$E$5:$E$5059,'Invoice Lines'!$A$5:$A$5059,A259)</f>
        <v>438.1</v>
      </c>
      <c r="I259" s="10" t="n">
        <f aca="false">Regression!$B$14+Regression!$B$12*E259+Regression!$B$13*F259</f>
        <v>458.278500989693</v>
      </c>
      <c r="J259" s="10" t="n">
        <f aca="false">H259-I259</f>
        <v>-20.1785009896929</v>
      </c>
    </row>
    <row r="260" customFormat="false" ht="15" hidden="false" customHeight="false" outlineLevel="0" collapsed="false">
      <c r="A260" s="9" t="s">
        <v>1861</v>
      </c>
      <c r="B260" s="9" t="n">
        <v>14576</v>
      </c>
      <c r="C260" s="9" t="s">
        <v>1906</v>
      </c>
      <c r="D260" s="11" t="n">
        <v>40514.74375</v>
      </c>
      <c r="E260" s="9" t="n">
        <f aca="false">COUNTIFS('Invoice Lines'!$A$5:$A$5059,A260)</f>
        <v>1</v>
      </c>
      <c r="F260" s="9" t="n">
        <f aca="false">SUMIFS('Invoice Lines'!$C$5:$C$5059,'Invoice Lines'!$A$5:$A$5059,A260)</f>
        <v>12</v>
      </c>
      <c r="G260" s="10" t="n">
        <f aca="false">AVERAGEIFS('Invoice Lines'!$D$5:$D$5059,'Invoice Lines'!$A$5:$A$5059,A260)</f>
        <v>2.95</v>
      </c>
      <c r="H260" s="10" t="n">
        <f aca="false">SUMIFS('Invoice Lines'!$E$5:$E$5059,'Invoice Lines'!$A$5:$A$5059,A260)</f>
        <v>35.4</v>
      </c>
      <c r="I260" s="10" t="n">
        <f aca="false">Regression!$B$14+Regression!$B$12*E260+Regression!$B$13*F260</f>
        <v>71.2064880704225</v>
      </c>
      <c r="J260" s="10" t="n">
        <f aca="false">H260-I260</f>
        <v>-35.8064880704225</v>
      </c>
    </row>
    <row r="261" customFormat="false" ht="15" hidden="false" customHeight="false" outlineLevel="0" collapsed="false">
      <c r="A261" s="9" t="s">
        <v>1862</v>
      </c>
      <c r="B261" s="9" t="n">
        <v>13145</v>
      </c>
      <c r="C261" s="9" t="s">
        <v>1906</v>
      </c>
      <c r="D261" s="11" t="n">
        <v>40514.7541666667</v>
      </c>
      <c r="E261" s="9" t="n">
        <f aca="false">COUNTIFS('Invoice Lines'!$A$5:$A$5059,A261)</f>
        <v>1</v>
      </c>
      <c r="F261" s="9" t="n">
        <f aca="false">SUMIFS('Invoice Lines'!$C$5:$C$5059,'Invoice Lines'!$A$5:$A$5059,A261)</f>
        <v>1</v>
      </c>
      <c r="G261" s="10" t="n">
        <f aca="false">AVERAGEIFS('Invoice Lines'!$D$5:$D$5059,'Invoice Lines'!$A$5:$A$5059,A261)</f>
        <v>295</v>
      </c>
      <c r="H261" s="10" t="n">
        <f aca="false">SUMIFS('Invoice Lines'!$E$5:$E$5059,'Invoice Lines'!$A$5:$A$5059,A261)</f>
        <v>295</v>
      </c>
      <c r="I261" s="10" t="n">
        <f aca="false">Regression!$B$14+Regression!$B$12*E261+Regression!$B$13*F261</f>
        <v>60.7997331802217</v>
      </c>
      <c r="J261" s="10" t="n">
        <f aca="false">H261-I261</f>
        <v>234.200266819778</v>
      </c>
    </row>
    <row r="262" customFormat="false" ht="15" hidden="false" customHeight="false" outlineLevel="0" collapsed="false">
      <c r="A262" s="9" t="s">
        <v>1864</v>
      </c>
      <c r="B262" s="9" t="n">
        <v>18168</v>
      </c>
      <c r="C262" s="9" t="s">
        <v>1906</v>
      </c>
      <c r="D262" s="11" t="n">
        <v>40514.7555555556</v>
      </c>
      <c r="E262" s="9" t="n">
        <f aca="false">COUNTIFS('Invoice Lines'!$A$5:$A$5059,A262)</f>
        <v>27</v>
      </c>
      <c r="F262" s="9" t="n">
        <f aca="false">SUMIFS('Invoice Lines'!$C$5:$C$5059,'Invoice Lines'!$A$5:$A$5059,A262)</f>
        <v>133</v>
      </c>
      <c r="G262" s="10" t="n">
        <f aca="false">AVERAGEIFS('Invoice Lines'!$D$5:$D$5059,'Invoice Lines'!$A$5:$A$5059,A262)</f>
        <v>4.31074074074074</v>
      </c>
      <c r="H262" s="10" t="n">
        <f aca="false">SUMIFS('Invoice Lines'!$E$5:$E$5059,'Invoice Lines'!$A$5:$A$5059,A262)</f>
        <v>263.3</v>
      </c>
      <c r="I262" s="10" t="n">
        <f aca="false">Regression!$B$14+Regression!$B$12*E262+Regression!$B$13*F262</f>
        <v>372.920313857593</v>
      </c>
      <c r="J262" s="10" t="n">
        <f aca="false">H262-I262</f>
        <v>-109.620313857593</v>
      </c>
    </row>
    <row r="263" customFormat="false" ht="15" hidden="false" customHeight="false" outlineLevel="0" collapsed="false">
      <c r="A263" s="9" t="s">
        <v>1871</v>
      </c>
      <c r="B263" s="9" t="n">
        <v>14395</v>
      </c>
      <c r="C263" s="9" t="s">
        <v>1906</v>
      </c>
      <c r="D263" s="11" t="n">
        <v>40514.7604166667</v>
      </c>
      <c r="E263" s="9" t="n">
        <f aca="false">COUNTIFS('Invoice Lines'!$A$5:$A$5059,A263)</f>
        <v>27</v>
      </c>
      <c r="F263" s="9" t="n">
        <f aca="false">SUMIFS('Invoice Lines'!$C$5:$C$5059,'Invoice Lines'!$A$5:$A$5059,A263)</f>
        <v>174</v>
      </c>
      <c r="G263" s="10" t="n">
        <f aca="false">AVERAGEIFS('Invoice Lines'!$D$5:$D$5059,'Invoice Lines'!$A$5:$A$5059,A263)</f>
        <v>2.96481481481482</v>
      </c>
      <c r="H263" s="10" t="n">
        <f aca="false">SUMIFS('Invoice Lines'!$E$5:$E$5059,'Invoice Lines'!$A$5:$A$5059,A263)</f>
        <v>308.68</v>
      </c>
      <c r="I263" s="10" t="n">
        <f aca="false">Regression!$B$14+Regression!$B$12*E263+Regression!$B$13*F263</f>
        <v>411.70912753925</v>
      </c>
      <c r="J263" s="10" t="n">
        <f aca="false">H263-I263</f>
        <v>-103.02912753925</v>
      </c>
    </row>
    <row r="264" customFormat="false" ht="15" hidden="false" customHeight="false" outlineLevel="0" collapsed="false">
      <c r="A264" s="9" t="s">
        <v>1874</v>
      </c>
      <c r="B264" s="9" t="n">
        <v>14865</v>
      </c>
      <c r="C264" s="9" t="s">
        <v>1906</v>
      </c>
      <c r="D264" s="11" t="n">
        <v>40514.7659722222</v>
      </c>
      <c r="E264" s="9" t="n">
        <f aca="false">COUNTIFS('Invoice Lines'!$A$5:$A$5059,A264)</f>
        <v>3</v>
      </c>
      <c r="F264" s="9" t="n">
        <f aca="false">SUMIFS('Invoice Lines'!$C$5:$C$5059,'Invoice Lines'!$A$5:$A$5059,A264)</f>
        <v>96</v>
      </c>
      <c r="G264" s="10" t="n">
        <f aca="false">AVERAGEIFS('Invoice Lines'!$D$5:$D$5059,'Invoice Lines'!$A$5:$A$5059,A264)</f>
        <v>0.453333333333333</v>
      </c>
      <c r="H264" s="10" t="n">
        <f aca="false">SUMIFS('Invoice Lines'!$E$5:$E$5059,'Invoice Lines'!$A$5:$A$5059,A264)</f>
        <v>37.2</v>
      </c>
      <c r="I264" s="10" t="n">
        <f aca="false">Regression!$B$14+Regression!$B$12*E264+Regression!$B$13*F264</f>
        <v>165.07929283996</v>
      </c>
      <c r="J264" s="10" t="n">
        <f aca="false">H264-I264</f>
        <v>-127.87929283996</v>
      </c>
    </row>
    <row r="265" customFormat="false" ht="15" hidden="false" customHeight="false" outlineLevel="0" collapsed="false">
      <c r="A265" s="9" t="s">
        <v>1876</v>
      </c>
      <c r="B265" s="9" t="n">
        <v>15093</v>
      </c>
      <c r="C265" s="9" t="s">
        <v>1906</v>
      </c>
      <c r="D265" s="11" t="n">
        <v>40514.7673611111</v>
      </c>
      <c r="E265" s="9" t="n">
        <f aca="false">COUNTIFS('Invoice Lines'!$A$5:$A$5059,A265)</f>
        <v>16</v>
      </c>
      <c r="F265" s="9" t="n">
        <f aca="false">SUMIFS('Invoice Lines'!$C$5:$C$5059,'Invoice Lines'!$A$5:$A$5059,A265)</f>
        <v>879</v>
      </c>
      <c r="G265" s="10" t="n">
        <f aca="false">AVERAGEIFS('Invoice Lines'!$D$5:$D$5059,'Invoice Lines'!$A$5:$A$5059,A265)</f>
        <v>1.3925</v>
      </c>
      <c r="H265" s="10" t="n">
        <f aca="false">SUMIFS('Invoice Lines'!$E$5:$E$5059,'Invoice Lines'!$A$5:$A$5059,A265)</f>
        <v>623.73</v>
      </c>
      <c r="I265" s="10" t="n">
        <f aca="false">Regression!$B$14+Regression!$B$12*E265+Regression!$B$13*F265</f>
        <v>999.470788294459</v>
      </c>
      <c r="J265" s="10" t="n">
        <f aca="false">H265-I265</f>
        <v>-375.740788294459</v>
      </c>
    </row>
    <row r="266" customFormat="false" ht="15" hidden="false" customHeight="false" outlineLevel="0" collapsed="false">
      <c r="A266" s="9" t="s">
        <v>1878</v>
      </c>
      <c r="B266" s="9" t="n">
        <v>12738</v>
      </c>
      <c r="C266" s="9" t="s">
        <v>1910</v>
      </c>
      <c r="D266" s="11" t="n">
        <v>40514.76875</v>
      </c>
      <c r="E266" s="9" t="n">
        <f aca="false">COUNTIFS('Invoice Lines'!$A$5:$A$5059,A266)</f>
        <v>10</v>
      </c>
      <c r="F266" s="9" t="n">
        <f aca="false">SUMIFS('Invoice Lines'!$C$5:$C$5059,'Invoice Lines'!$A$5:$A$5059,A266)</f>
        <v>147</v>
      </c>
      <c r="G266" s="10" t="n">
        <f aca="false">AVERAGEIFS('Invoice Lines'!$D$5:$D$5059,'Invoice Lines'!$A$5:$A$5059,A266)</f>
        <v>2.545</v>
      </c>
      <c r="H266" s="10" t="n">
        <f aca="false">SUMIFS('Invoice Lines'!$E$5:$E$5059,'Invoice Lines'!$A$5:$A$5059,A266)</f>
        <v>137.35</v>
      </c>
      <c r="I266" s="10" t="n">
        <f aca="false">Regression!$B$14+Regression!$B$12*E266+Regression!$B$13*F266</f>
        <v>263.739433322541</v>
      </c>
      <c r="J266" s="10" t="n">
        <f aca="false">H266-I266</f>
        <v>-126.389433322541</v>
      </c>
    </row>
    <row r="267" customFormat="false" ht="15" hidden="false" customHeight="false" outlineLevel="0" collapsed="false">
      <c r="A267" s="9" t="s">
        <v>1879</v>
      </c>
      <c r="B267" s="9" t="n">
        <v>16150</v>
      </c>
      <c r="C267" s="9" t="s">
        <v>1906</v>
      </c>
      <c r="D267" s="11" t="n">
        <v>40514.76875</v>
      </c>
      <c r="E267" s="9" t="n">
        <f aca="false">COUNTIFS('Invoice Lines'!$A$5:$A$5059,A267)</f>
        <v>22</v>
      </c>
      <c r="F267" s="9" t="n">
        <f aca="false">SUMIFS('Invoice Lines'!$C$5:$C$5059,'Invoice Lines'!$A$5:$A$5059,A267)</f>
        <v>174</v>
      </c>
      <c r="G267" s="10" t="n">
        <f aca="false">AVERAGEIFS('Invoice Lines'!$D$5:$D$5059,'Invoice Lines'!$A$5:$A$5059,A267)</f>
        <v>3.33818181818182</v>
      </c>
      <c r="H267" s="10" t="n">
        <f aca="false">SUMIFS('Invoice Lines'!$E$5:$E$5059,'Invoice Lines'!$A$5:$A$5059,A267)</f>
        <v>393.42</v>
      </c>
      <c r="I267" s="10" t="n">
        <f aca="false">Regression!$B$14+Regression!$B$12*E267+Regression!$B$13*F267</f>
        <v>375.701527155604</v>
      </c>
      <c r="J267" s="10" t="n">
        <f aca="false">H267-I267</f>
        <v>17.7184728443964</v>
      </c>
    </row>
    <row r="268" customFormat="false" ht="15" hidden="false" customHeight="false" outlineLevel="0" collapsed="false">
      <c r="A268" s="9" t="s">
        <v>1880</v>
      </c>
      <c r="B268" s="9" t="n">
        <v>17552</v>
      </c>
      <c r="C268" s="9" t="s">
        <v>1906</v>
      </c>
      <c r="D268" s="11" t="n">
        <v>40514.78125</v>
      </c>
      <c r="E268" s="9" t="n">
        <f aca="false">COUNTIFS('Invoice Lines'!$A$5:$A$5059,A268)</f>
        <v>11</v>
      </c>
      <c r="F268" s="9" t="n">
        <f aca="false">SUMIFS('Invoice Lines'!$C$5:$C$5059,'Invoice Lines'!$A$5:$A$5059,A268)</f>
        <v>130</v>
      </c>
      <c r="G268" s="10" t="n">
        <f aca="false">AVERAGEIFS('Invoice Lines'!$D$5:$D$5059,'Invoice Lines'!$A$5:$A$5059,A268)</f>
        <v>3.37181818181818</v>
      </c>
      <c r="H268" s="10" t="n">
        <f aca="false">SUMIFS('Invoice Lines'!$E$5:$E$5059,'Invoice Lines'!$A$5:$A$5059,A268)</f>
        <v>263.62</v>
      </c>
      <c r="I268" s="10" t="n">
        <f aca="false">Regression!$B$14+Regression!$B$12*E268+Regression!$B$13*F268</f>
        <v>254.857786750778</v>
      </c>
      <c r="J268" s="10" t="n">
        <f aca="false">H268-I268</f>
        <v>8.76221324922173</v>
      </c>
    </row>
    <row r="269" customFormat="false" ht="15" hidden="false" customHeight="false" outlineLevel="0" collapsed="false">
      <c r="A269" s="9" t="s">
        <v>1881</v>
      </c>
      <c r="B269" s="9" t="n">
        <v>17552</v>
      </c>
      <c r="C269" s="9" t="s">
        <v>1906</v>
      </c>
      <c r="D269" s="11" t="n">
        <v>40514.7819444445</v>
      </c>
      <c r="E269" s="9" t="n">
        <f aca="false">COUNTIFS('Invoice Lines'!$A$5:$A$5059,A269)</f>
        <v>2</v>
      </c>
      <c r="F269" s="9" t="n">
        <f aca="false">SUMIFS('Invoice Lines'!$C$5:$C$5059,'Invoice Lines'!$A$5:$A$5059,A269)</f>
        <v>14</v>
      </c>
      <c r="G269" s="10" t="n">
        <f aca="false">AVERAGEIFS('Invoice Lines'!$D$5:$D$5059,'Invoice Lines'!$A$5:$A$5059,A269)</f>
        <v>5.6</v>
      </c>
      <c r="H269" s="10" t="n">
        <f aca="false">SUMIFS('Invoice Lines'!$E$5:$E$5059,'Invoice Lines'!$A$5:$A$5059,A269)</f>
        <v>34.9</v>
      </c>
      <c r="I269" s="10" t="n">
        <f aca="false">Regression!$B$14+Regression!$B$12*E269+Regression!$B$13*F269</f>
        <v>80.3001453999156</v>
      </c>
      <c r="J269" s="10" t="n">
        <f aca="false">H269-I269</f>
        <v>-45.4001453999156</v>
      </c>
    </row>
    <row r="270" customFormat="false" ht="15" hidden="false" customHeight="false" outlineLevel="0" collapsed="false">
      <c r="A270" s="9" t="s">
        <v>1882</v>
      </c>
      <c r="B270" s="9" t="n">
        <v>14236</v>
      </c>
      <c r="C270" s="9" t="s">
        <v>1906</v>
      </c>
      <c r="D270" s="11" t="n">
        <v>40514.7840277778</v>
      </c>
      <c r="E270" s="9" t="n">
        <f aca="false">COUNTIFS('Invoice Lines'!$A$5:$A$5059,A270)</f>
        <v>3</v>
      </c>
      <c r="F270" s="9" t="n">
        <f aca="false">SUMIFS('Invoice Lines'!$C$5:$C$5059,'Invoice Lines'!$A$5:$A$5059,A270)</f>
        <v>38</v>
      </c>
      <c r="G270" s="10" t="n">
        <f aca="false">AVERAGEIFS('Invoice Lines'!$D$5:$D$5059,'Invoice Lines'!$A$5:$A$5059,A270)</f>
        <v>5.55</v>
      </c>
      <c r="H270" s="10" t="n">
        <f aca="false">SUMIFS('Invoice Lines'!$E$5:$E$5059,'Invoice Lines'!$A$5:$A$5059,A270)</f>
        <v>189.3</v>
      </c>
      <c r="I270" s="10" t="n">
        <f aca="false">Regression!$B$14+Regression!$B$12*E270+Regression!$B$13*F270</f>
        <v>110.20731250981</v>
      </c>
      <c r="J270" s="10" t="n">
        <f aca="false">H270-I270</f>
        <v>79.0926874901898</v>
      </c>
    </row>
    <row r="271" customFormat="false" ht="15" hidden="false" customHeight="false" outlineLevel="0" collapsed="false">
      <c r="A271" s="9" t="s">
        <v>1883</v>
      </c>
      <c r="B271" s="9" t="n">
        <v>17961</v>
      </c>
      <c r="C271" s="9" t="s">
        <v>1906</v>
      </c>
      <c r="D271" s="11" t="n">
        <v>40514.8041666667</v>
      </c>
      <c r="E271" s="9" t="n">
        <f aca="false">COUNTIFS('Invoice Lines'!$A$5:$A$5059,A271)</f>
        <v>29</v>
      </c>
      <c r="F271" s="9" t="n">
        <f aca="false">SUMIFS('Invoice Lines'!$C$5:$C$5059,'Invoice Lines'!$A$5:$A$5059,A271)</f>
        <v>45</v>
      </c>
      <c r="G271" s="10" t="n">
        <f aca="false">AVERAGEIFS('Invoice Lines'!$D$5:$D$5059,'Invoice Lines'!$A$5:$A$5059,A271)</f>
        <v>3.62241379310345</v>
      </c>
      <c r="H271" s="10" t="n">
        <f aca="false">SUMIFS('Invoice Lines'!$E$5:$E$5059,'Invoice Lines'!$A$5:$A$5059,A271)</f>
        <v>127.55</v>
      </c>
      <c r="I271" s="10" t="n">
        <f aca="false">Regression!$B$14+Regression!$B$12*E271+Regression!$B$13*F271</f>
        <v>304.069314889445</v>
      </c>
      <c r="J271" s="10" t="n">
        <f aca="false">H271-I271</f>
        <v>-176.519314889445</v>
      </c>
    </row>
    <row r="272" customFormat="false" ht="15" hidden="false" customHeight="false" outlineLevel="0" collapsed="false">
      <c r="A272" s="9" t="s">
        <v>1888</v>
      </c>
      <c r="B272" s="9" t="n">
        <v>14573</v>
      </c>
      <c r="C272" s="9" t="s">
        <v>1906</v>
      </c>
      <c r="D272" s="11" t="n">
        <v>40514.8326388889</v>
      </c>
      <c r="E272" s="9" t="n">
        <f aca="false">COUNTIFS('Invoice Lines'!$A$5:$A$5059,A272)</f>
        <v>70</v>
      </c>
      <c r="F272" s="9" t="n">
        <f aca="false">SUMIFS('Invoice Lines'!$C$5:$C$5059,'Invoice Lines'!$A$5:$A$5059,A272)</f>
        <v>126</v>
      </c>
      <c r="G272" s="10" t="n">
        <f aca="false">AVERAGEIFS('Invoice Lines'!$D$5:$D$5059,'Invoice Lines'!$A$5:$A$5059,A272)</f>
        <v>4.23</v>
      </c>
      <c r="H272" s="10" t="n">
        <f aca="false">SUMIFS('Invoice Lines'!$E$5:$E$5059,'Invoice Lines'!$A$5:$A$5059,A272)</f>
        <v>402</v>
      </c>
      <c r="I272" s="10" t="n">
        <f aca="false">Regression!$B$14+Regression!$B$12*E272+Regression!$B$13*F272</f>
        <v>675.963196772279</v>
      </c>
      <c r="J272" s="10" t="n">
        <f aca="false">H272-I272</f>
        <v>-273.963196772279</v>
      </c>
    </row>
    <row r="273" customFormat="false" ht="15" hidden="false" customHeight="false" outlineLevel="0" collapsed="false">
      <c r="A273" s="9" t="s">
        <v>1891</v>
      </c>
      <c r="B273" s="9" t="n">
        <v>17135</v>
      </c>
      <c r="C273" s="9" t="s">
        <v>1906</v>
      </c>
      <c r="D273" s="11" t="n">
        <v>40515.3965277778</v>
      </c>
      <c r="E273" s="9" t="n">
        <f aca="false">COUNTIFS('Invoice Lines'!$A$5:$A$5059,A273)</f>
        <v>9</v>
      </c>
      <c r="F273" s="9" t="n">
        <f aca="false">SUMIFS('Invoice Lines'!$C$5:$C$5059,'Invoice Lines'!$A$5:$A$5059,A273)</f>
        <v>222</v>
      </c>
      <c r="G273" s="10" t="n">
        <f aca="false">AVERAGEIFS('Invoice Lines'!$D$5:$D$5059,'Invoice Lines'!$A$5:$A$5059,A273)</f>
        <v>1.21</v>
      </c>
      <c r="H273" s="10" t="n">
        <f aca="false">SUMIFS('Invoice Lines'!$E$5:$E$5059,'Invoice Lines'!$A$5:$A$5059,A273)</f>
        <v>215.58</v>
      </c>
      <c r="I273" s="10" t="n">
        <f aca="false">Regression!$B$14+Regression!$B$12*E273+Regression!$B$13*F273</f>
        <v>327.493060224453</v>
      </c>
      <c r="J273" s="10" t="n">
        <f aca="false">H273-I273</f>
        <v>-111.913060224453</v>
      </c>
    </row>
    <row r="274" customFormat="false" ht="15" hidden="false" customHeight="false" outlineLevel="0" collapsed="false">
      <c r="A274" s="9" t="s">
        <v>1893</v>
      </c>
      <c r="B274" s="9" t="n">
        <v>13408</v>
      </c>
      <c r="C274" s="9" t="s">
        <v>1906</v>
      </c>
      <c r="D274" s="11" t="n">
        <v>40515.4020833333</v>
      </c>
      <c r="E274" s="9" t="n">
        <f aca="false">COUNTIFS('Invoice Lines'!$A$5:$A$5059,A274)</f>
        <v>3</v>
      </c>
      <c r="F274" s="9" t="n">
        <f aca="false">SUMIFS('Invoice Lines'!$C$5:$C$5059,'Invoice Lines'!$A$5:$A$5059,A274)</f>
        <v>280</v>
      </c>
      <c r="G274" s="10" t="n">
        <f aca="false">AVERAGEIFS('Invoice Lines'!$D$5:$D$5059,'Invoice Lines'!$A$5:$A$5059,A274)</f>
        <v>1.95</v>
      </c>
      <c r="H274" s="10" t="n">
        <f aca="false">SUMIFS('Invoice Lines'!$E$5:$E$5059,'Invoice Lines'!$A$5:$A$5059,A274)</f>
        <v>534</v>
      </c>
      <c r="I274" s="10" t="n">
        <f aca="false">Regression!$B$14+Regression!$B$12*E274+Regression!$B$13*F274</f>
        <v>339.155920094227</v>
      </c>
      <c r="J274" s="10" t="n">
        <f aca="false">H274-I274</f>
        <v>194.844079905773</v>
      </c>
    </row>
    <row r="275" customFormat="false" ht="15" hidden="false" customHeight="false" outlineLevel="0" collapsed="false">
      <c r="A275" s="9" t="s">
        <v>1894</v>
      </c>
      <c r="B275" s="9" t="n">
        <v>17396</v>
      </c>
      <c r="C275" s="9" t="s">
        <v>1906</v>
      </c>
      <c r="D275" s="11" t="n">
        <v>40515.40625</v>
      </c>
      <c r="E275" s="9" t="n">
        <f aca="false">COUNTIFS('Invoice Lines'!$A$5:$A$5059,A275)</f>
        <v>3</v>
      </c>
      <c r="F275" s="9" t="n">
        <f aca="false">SUMIFS('Invoice Lines'!$C$5:$C$5059,'Invoice Lines'!$A$5:$A$5059,A275)</f>
        <v>106</v>
      </c>
      <c r="G275" s="10" t="n">
        <f aca="false">AVERAGEIFS('Invoice Lines'!$D$5:$D$5059,'Invoice Lines'!$A$5:$A$5059,A275)</f>
        <v>3.75</v>
      </c>
      <c r="H275" s="10" t="n">
        <f aca="false">SUMIFS('Invoice Lines'!$E$5:$E$5059,'Invoice Lines'!$A$5:$A$5059,A275)</f>
        <v>397.5</v>
      </c>
      <c r="I275" s="10" t="n">
        <f aca="false">Regression!$B$14+Regression!$B$12*E275+Regression!$B$13*F275</f>
        <v>174.539979103779</v>
      </c>
      <c r="J275" s="10" t="n">
        <f aca="false">H275-I275</f>
        <v>222.960020896221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1913</v>
      </c>
    </row>
    <row r="2" customFormat="false" ht="15" hidden="false" customHeight="false" outlineLevel="0" collapsed="false">
      <c r="A2" s="2" t="s">
        <v>1914</v>
      </c>
    </row>
    <row r="4" customFormat="false" ht="15" hidden="false" customHeight="false" outlineLevel="0" collapsed="false">
      <c r="A4" s="3" t="s">
        <v>1915</v>
      </c>
      <c r="B4" s="3" t="s">
        <v>3</v>
      </c>
    </row>
    <row r="5" customFormat="false" ht="15" hidden="false" customHeight="false" outlineLevel="0" collapsed="false">
      <c r="A5" s="9" t="s">
        <v>1916</v>
      </c>
      <c r="B5" s="12" t="n">
        <f aca="false">SQRT(B6)</f>
        <v>0.895458051509401</v>
      </c>
    </row>
    <row r="6" customFormat="false" ht="15" hidden="false" customHeight="false" outlineLevel="0" collapsed="false">
      <c r="A6" s="9" t="s">
        <v>15</v>
      </c>
      <c r="B6" s="12" t="n">
        <f aca="false">INDEX(LINEST('Model Data'!$H$5:$H$275,'Model Data'!$E$5:$F$275,TRUE(),TRUE()),3,1)</f>
        <v>0.801845122013013</v>
      </c>
    </row>
    <row r="7" customFormat="false" ht="15" hidden="false" customHeight="false" outlineLevel="0" collapsed="false">
      <c r="A7" s="9" t="s">
        <v>16</v>
      </c>
      <c r="B7" s="12" t="n">
        <f aca="false">1-(1-B6)*(B9-1)/B10</f>
        <v>0.800366354266841</v>
      </c>
    </row>
    <row r="8" customFormat="false" ht="15" hidden="false" customHeight="false" outlineLevel="0" collapsed="false">
      <c r="A8" s="9" t="s">
        <v>1917</v>
      </c>
      <c r="B8" s="13" t="n">
        <f aca="false">INDEX(LINEST('Model Data'!$H$5:$H$275,'Model Data'!$E$5:$F$275,TRUE(),TRUE()),3,2)</f>
        <v>299.027654653405</v>
      </c>
    </row>
    <row r="9" customFormat="false" ht="15" hidden="false" customHeight="false" outlineLevel="0" collapsed="false">
      <c r="A9" s="9" t="s">
        <v>1918</v>
      </c>
      <c r="B9" s="14" t="n">
        <f aca="false">COUNT('Model Data'!$H$5:$H$275)</f>
        <v>271</v>
      </c>
    </row>
    <row r="10" customFormat="false" ht="15" hidden="false" customHeight="false" outlineLevel="0" collapsed="false">
      <c r="A10" s="9" t="s">
        <v>1919</v>
      </c>
      <c r="B10" s="14" t="n">
        <f aca="false">INDEX(LINEST('Model Data'!$H$5:$H$275,'Model Data'!$E$5:$F$275,TRUE(),TRUE()),4,2)</f>
        <v>268</v>
      </c>
    </row>
    <row r="11" customFormat="false" ht="15" hidden="false" customHeight="false" outlineLevel="0" collapsed="false">
      <c r="A11" s="3" t="s">
        <v>1920</v>
      </c>
      <c r="B11" s="3" t="s">
        <v>1921</v>
      </c>
      <c r="C11" s="3" t="s">
        <v>1922</v>
      </c>
      <c r="D11" s="3" t="s">
        <v>1923</v>
      </c>
      <c r="E11" s="3" t="s">
        <v>1924</v>
      </c>
      <c r="F11" s="3" t="s">
        <v>1925</v>
      </c>
      <c r="G11" s="3" t="s">
        <v>1926</v>
      </c>
    </row>
    <row r="12" customFormat="false" ht="15" hidden="false" customHeight="false" outlineLevel="0" collapsed="false">
      <c r="A12" s="15" t="s">
        <v>1927</v>
      </c>
      <c r="B12" s="16" t="n">
        <f aca="false">INDEX(LINEST('Model Data'!$H$5:$H$275,'Model Data'!$E$5:$F$275,TRUE(),TRUE()),1,2)</f>
        <v>7.2015200767293</v>
      </c>
      <c r="C12" s="16" t="n">
        <f aca="false">INDEX(LINEST('Model Data'!$H$5:$H$275,'Model Data'!$E$5:$F$275,TRUE(),TRUE()),2,2)</f>
        <v>0.381696337899795</v>
      </c>
      <c r="D12" s="16" t="n">
        <f aca="false">B12/C12</f>
        <v>18.8671447998537</v>
      </c>
      <c r="E12" s="17" t="n">
        <f aca="false">TDIST(ABS(D12),$B$10,2)</f>
        <v>4.23004016955886E-051</v>
      </c>
      <c r="F12" s="16" t="n">
        <f aca="false">B12-TINV(0.05,$B$10)*C12</f>
        <v>6.45001526719499</v>
      </c>
      <c r="G12" s="16" t="n">
        <f aca="false">B12+TINV(0.05,$B$10)*C12</f>
        <v>7.9530248862636</v>
      </c>
    </row>
    <row r="13" customFormat="false" ht="15" hidden="false" customHeight="false" outlineLevel="0" collapsed="false">
      <c r="A13" s="15" t="s">
        <v>1928</v>
      </c>
      <c r="B13" s="16" t="n">
        <f aca="false">INDEX(LINEST('Model Data'!$H$5:$H$275,'Model Data'!$E$5:$F$275,TRUE(),TRUE()),1,1)</f>
        <v>0.946068626381888</v>
      </c>
      <c r="C13" s="16" t="n">
        <f aca="false">INDEX(LINEST('Model Data'!$H$5:$H$275,'Model Data'!$E$5:$F$275,TRUE(),TRUE()),2,1)</f>
        <v>0.0451859434528372</v>
      </c>
      <c r="D13" s="16" t="n">
        <f aca="false">B13/C13</f>
        <v>20.9372329996683</v>
      </c>
      <c r="E13" s="17" t="n">
        <f aca="false">TDIST(ABS(D13),$B$10,2)</f>
        <v>2.45479115832042E-058</v>
      </c>
      <c r="F13" s="16" t="n">
        <f aca="false">B13-TINV(0.05,$B$10)*C13</f>
        <v>0.857104047850702</v>
      </c>
      <c r="G13" s="16" t="n">
        <f aca="false">B13+TINV(0.05,$B$10)*C13</f>
        <v>1.03503320491307</v>
      </c>
    </row>
    <row r="14" customFormat="false" ht="15" hidden="false" customHeight="false" outlineLevel="0" collapsed="false">
      <c r="A14" s="9" t="s">
        <v>1929</v>
      </c>
      <c r="B14" s="18" t="n">
        <f aca="false">INDEX(LINEST('Model Data'!$H$5:$H$275,'Model Data'!$E$5:$F$275,TRUE(),TRUE()),1,3)</f>
        <v>52.6521444771105</v>
      </c>
      <c r="C14" s="18" t="n">
        <f aca="false">INDEX(LINEST('Model Data'!$H$5:$H$275,'Model Data'!$E$5:$F$275,TRUE(),TRUE()),2,3)</f>
        <v>20.9518463247955</v>
      </c>
      <c r="D14" s="18" t="n">
        <f aca="false">B14/C14</f>
        <v>2.51300738182674</v>
      </c>
      <c r="E14" s="12" t="n">
        <f aca="false">TDIST(ABS(D14),$B$10,2)</f>
        <v>0.0125579879260792</v>
      </c>
      <c r="F14" s="18" t="n">
        <f aca="false">B14-TINV(0.05,$B$10)*C14</f>
        <v>11.4009934486689</v>
      </c>
      <c r="G14" s="18" t="n">
        <f aca="false">B14+TINV(0.05,$B$10)*C14</f>
        <v>93.9032955055522</v>
      </c>
    </row>
    <row r="16" customFormat="false" ht="15" hidden="false" customHeight="false" outlineLevel="0" collapsed="false">
      <c r="A16" s="3" t="s">
        <v>1930</v>
      </c>
      <c r="B16" s="3" t="s">
        <v>1931</v>
      </c>
      <c r="C16" s="3" t="s">
        <v>1932</v>
      </c>
      <c r="D16" s="3" t="s">
        <v>1933</v>
      </c>
      <c r="E16" s="3" t="s">
        <v>1934</v>
      </c>
      <c r="F16" s="3" t="s">
        <v>18</v>
      </c>
    </row>
    <row r="17" customFormat="false" ht="15" hidden="false" customHeight="false" outlineLevel="0" collapsed="false">
      <c r="A17" s="9" t="s">
        <v>1935</v>
      </c>
      <c r="B17" s="9" t="n">
        <v>2</v>
      </c>
      <c r="C17" s="13" t="n">
        <f aca="false">INDEX(LINEST('Model Data'!$H$5:$H$275,'Model Data'!$E$5:$F$275,TRUE(),TRUE()),5,1)</f>
        <v>96971302.0206288</v>
      </c>
      <c r="D17" s="13" t="n">
        <f aca="false">C17/B17</f>
        <v>48485651.0103144</v>
      </c>
      <c r="E17" s="13" t="n">
        <f aca="false">INDEX(LINEST('Model Data'!$H$5:$H$275,'Model Data'!$E$5:$F$275,TRUE(),TRUE()),4,1)</f>
        <v>542.238714692654</v>
      </c>
      <c r="F17" s="19" t="n">
        <f aca="false">FDIST(E17,B17,B18)</f>
        <v>6.28982976755724E-095</v>
      </c>
    </row>
    <row r="18" customFormat="false" ht="15" hidden="false" customHeight="false" outlineLevel="0" collapsed="false">
      <c r="A18" s="9" t="s">
        <v>1936</v>
      </c>
      <c r="B18" s="14" t="n">
        <f aca="false">B10</f>
        <v>268</v>
      </c>
      <c r="C18" s="13" t="n">
        <f aca="false">INDEX(LINEST('Model Data'!$H$5:$H$275,'Model Data'!$E$5:$F$275,TRUE(),TRUE()),5,2)</f>
        <v>23963900.2503343</v>
      </c>
      <c r="D18" s="13" t="n">
        <f aca="false">C18/B18</f>
        <v>89417.5382475162</v>
      </c>
      <c r="E18" s="13"/>
      <c r="F18" s="9"/>
    </row>
    <row r="19" customFormat="false" ht="15" hidden="false" customHeight="false" outlineLevel="0" collapsed="false">
      <c r="A19" s="9" t="s">
        <v>1937</v>
      </c>
      <c r="B19" s="9" t="n">
        <f aca="false">B17+B18</f>
        <v>270</v>
      </c>
      <c r="C19" s="13" t="n">
        <f aca="false">C17+C18</f>
        <v>120935202.270963</v>
      </c>
      <c r="D19" s="13"/>
      <c r="E19" s="13"/>
      <c r="F19" s="9"/>
    </row>
    <row r="21" customFormat="false" ht="15" hidden="false" customHeight="false" outlineLevel="0" collapsed="false">
      <c r="A21" s="4" t="s">
        <v>14</v>
      </c>
    </row>
    <row r="22" customFormat="false" ht="15" hidden="false" customHeight="false" outlineLevel="0" collapsed="false">
      <c r="A22" s="20" t="str">
        <f aca="false">"Invoice Value = "&amp;TEXT(B14,"0.00")&amp;" + "&amp;TEXT(B12,"0.00")&amp;" × Lines + "&amp;TEXT(B13,"0.000")&amp;" × Quantity"</f>
        <v>Invoice Value = 52.65 + 7.20 × Lines + 0.946 × Quantity</v>
      </c>
    </row>
    <row r="24" customFormat="false" ht="39.55" hidden="false" customHeight="false" outlineLevel="0" collapsed="false">
      <c r="A24" s="3" t="s">
        <v>1938</v>
      </c>
      <c r="B24" s="3" t="s">
        <v>15</v>
      </c>
      <c r="C24" s="3" t="s">
        <v>1939</v>
      </c>
      <c r="D24" s="3" t="s">
        <v>1940</v>
      </c>
    </row>
    <row r="25" customFormat="false" ht="15" hidden="false" customHeight="false" outlineLevel="0" collapsed="false">
      <c r="A25" s="9" t="s">
        <v>1941</v>
      </c>
      <c r="B25" s="12" t="n">
        <f aca="false">RSQ('Model Data'!$H$5:$H$275,'Model Data'!$E$5:$E$275)</f>
        <v>0.477723095162158</v>
      </c>
      <c r="C25" s="12" t="n">
        <f aca="false">1-(1-B25)*(B$8-1)/(B$8-2)</f>
        <v>0.475964750790328</v>
      </c>
      <c r="D25" s="12" t="s">
        <v>1942</v>
      </c>
    </row>
    <row r="26" customFormat="false" ht="15" hidden="false" customHeight="false" outlineLevel="0" collapsed="false">
      <c r="A26" s="9" t="s">
        <v>1943</v>
      </c>
      <c r="B26" s="12" t="n">
        <f aca="false">B6</f>
        <v>0.801845122013013</v>
      </c>
      <c r="C26" s="12" t="n">
        <f aca="false">B7</f>
        <v>0.800366354266841</v>
      </c>
      <c r="D26" s="12" t="n">
        <f aca="false">B26-B25</f>
        <v>0.324122026850855</v>
      </c>
    </row>
    <row r="27" customFormat="false" ht="15" hidden="false" customHeight="false" outlineLevel="0" collapsed="false">
      <c r="A27" s="9" t="s">
        <v>1944</v>
      </c>
      <c r="B27" s="12" t="n">
        <f aca="false">INDEX(LINEST('Model Data'!$H$5:$H$275,'Model Data'!$E$5:$G$275,TRUE(),TRUE()),3,1)</f>
        <v>0.802768230961249</v>
      </c>
      <c r="C27" s="12" t="n">
        <f aca="false">1-(1-B27)*(B$8-1)/(B$8-4)</f>
        <v>0.800762672167747</v>
      </c>
      <c r="D27" s="12" t="n">
        <f aca="false">B27-B26</f>
        <v>0.000923108948236107</v>
      </c>
    </row>
    <row r="29" customFormat="false" ht="15" hidden="false" customHeight="false" outlineLevel="0" collapsed="false">
      <c r="A29" s="2" t="s">
        <v>1945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1946</v>
      </c>
    </row>
    <row r="2" customFormat="false" ht="15" hidden="false" customHeight="false" outlineLevel="0" collapsed="false">
      <c r="A2" s="2" t="s">
        <v>1947</v>
      </c>
    </row>
    <row r="4" customFormat="false" ht="15" hidden="false" customHeight="false" outlineLevel="0" collapsed="false">
      <c r="A4" s="3" t="s">
        <v>1948</v>
      </c>
      <c r="B4" s="3" t="s">
        <v>3</v>
      </c>
      <c r="C4" s="3" t="s">
        <v>1949</v>
      </c>
    </row>
    <row r="5" customFormat="false" ht="15" hidden="false" customHeight="false" outlineLevel="0" collapsed="false">
      <c r="A5" s="9" t="s">
        <v>1950</v>
      </c>
      <c r="B5" s="21" t="n">
        <f aca="false">AVERAGE('Model Data'!$J$5:$J$275)</f>
        <v>3.62350575948509E-014</v>
      </c>
      <c r="C5" s="2" t="s">
        <v>1951</v>
      </c>
    </row>
    <row r="6" customFormat="false" ht="15" hidden="false" customHeight="false" outlineLevel="0" collapsed="false">
      <c r="A6" s="9" t="s">
        <v>1952</v>
      </c>
      <c r="B6" s="13" t="n">
        <f aca="false">STDEV('Model Data'!$J$5:$J$275)</f>
        <v>297.918086245782</v>
      </c>
      <c r="C6" s="2" t="s">
        <v>1953</v>
      </c>
    </row>
    <row r="7" customFormat="false" ht="15" hidden="false" customHeight="false" outlineLevel="0" collapsed="false">
      <c r="A7" s="9" t="s">
        <v>1954</v>
      </c>
      <c r="B7" s="13" t="n">
        <f aca="false">MAX('Model Data'!$J$5:$J$275)</f>
        <v>1742.92143314932</v>
      </c>
      <c r="C7" s="2" t="s">
        <v>1955</v>
      </c>
    </row>
    <row r="8" customFormat="false" ht="15" hidden="false" customHeight="false" outlineLevel="0" collapsed="false">
      <c r="A8" s="9" t="s">
        <v>1956</v>
      </c>
      <c r="B8" s="13" t="n">
        <f aca="false">MIN('Model Data'!$J$5:$J$275)</f>
        <v>-2113.82890554505</v>
      </c>
      <c r="C8" s="2" t="s">
        <v>1957</v>
      </c>
    </row>
    <row r="9" customFormat="false" ht="15" hidden="false" customHeight="false" outlineLevel="0" collapsed="false">
      <c r="A9" s="9" t="s">
        <v>1958</v>
      </c>
      <c r="B9" s="9" t="n">
        <f aca="false">SUMPRODUCT(--(ABS('Model Data'!$J$5:$J$275)&gt;2*Regression!B8))</f>
        <v>13</v>
      </c>
      <c r="C9" s="2" t="s">
        <v>1959</v>
      </c>
    </row>
    <row r="10" customFormat="false" ht="15" hidden="false" customHeight="false" outlineLevel="0" collapsed="false">
      <c r="A10" s="9" t="s">
        <v>1960</v>
      </c>
      <c r="B10" s="22" t="n">
        <f aca="false">B9/Regression!B9</f>
        <v>0.0479704797047971</v>
      </c>
      <c r="C10" s="2" t="s">
        <v>1961</v>
      </c>
    </row>
    <row r="11" customFormat="false" ht="15" hidden="false" customHeight="false" outlineLevel="0" collapsed="false">
      <c r="A11" s="9" t="s">
        <v>1962</v>
      </c>
      <c r="B11" s="23" t="n">
        <f aca="false">CORREL('Model Data'!$E$5:$E$275,'Model Data'!$F$5:$F$275)</f>
        <v>0.268375590094074</v>
      </c>
      <c r="C11" s="2" t="s">
        <v>1963</v>
      </c>
    </row>
    <row r="12" customFormat="false" ht="15" hidden="false" customHeight="false" outlineLevel="0" collapsed="false">
      <c r="A12" s="9" t="s">
        <v>1964</v>
      </c>
      <c r="B12" s="21" t="n">
        <f aca="false">1/(1-B11^2)</f>
        <v>1.0776157685892</v>
      </c>
      <c r="C12" s="2" t="s">
        <v>1965</v>
      </c>
    </row>
    <row r="13" customFormat="false" ht="15" hidden="false" customHeight="false" outlineLevel="0" collapsed="false">
      <c r="A13" s="9" t="s">
        <v>1966</v>
      </c>
      <c r="B13" s="13" t="n">
        <f aca="false">MAX('Model Data'!$H$5:$H$275)</f>
        <v>6308.16</v>
      </c>
      <c r="C13" s="2" t="s">
        <v>1967</v>
      </c>
    </row>
    <row r="14" customFormat="false" ht="15" hidden="false" customHeight="false" outlineLevel="0" collapsed="false">
      <c r="A14" s="9" t="s">
        <v>1968</v>
      </c>
      <c r="B14" s="13" t="n">
        <f aca="false">AVERAGE('Model Data'!$H$5:$H$275)</f>
        <v>391.82963099631</v>
      </c>
      <c r="C14" s="2" t="s">
        <v>1969</v>
      </c>
    </row>
    <row r="15" customFormat="false" ht="15" hidden="false" customHeight="false" outlineLevel="0" collapsed="false">
      <c r="A15" s="9" t="s">
        <v>1970</v>
      </c>
      <c r="B15" s="13" t="n">
        <f aca="false">MEDIAN('Model Data'!$H$5:$H$275)</f>
        <v>248.1</v>
      </c>
      <c r="C15" s="2" t="s">
        <v>1971</v>
      </c>
    </row>
    <row r="16" customFormat="false" ht="15" hidden="false" customHeight="false" outlineLevel="0" collapsed="false">
      <c r="A16" s="9" t="s">
        <v>21</v>
      </c>
      <c r="B16" s="13" t="n">
        <f aca="false">SUMPRODUCT(ABS('Model Data'!$J$5:$J$275))/Regression!B9</f>
        <v>151.8457090548</v>
      </c>
      <c r="C16" s="2" t="s">
        <v>1972</v>
      </c>
    </row>
    <row r="17" customFormat="false" ht="15" hidden="false" customHeight="false" outlineLevel="0" collapsed="false">
      <c r="A17" s="9" t="s">
        <v>1973</v>
      </c>
      <c r="B17" s="22" t="n">
        <f aca="false">B16/B14</f>
        <v>0.387529928935441</v>
      </c>
      <c r="C17" s="2" t="s">
        <v>1974</v>
      </c>
    </row>
    <row r="18" customFormat="false" ht="15" hidden="false" customHeight="false" outlineLevel="0" collapsed="false">
      <c r="A18" s="9" t="s">
        <v>1975</v>
      </c>
      <c r="B18" s="9" t="str">
        <f aca="false">TEXT(MIN('Model Data'!$D$5:$D$275),"yyyy-mm-dd")&amp;" to "&amp;TEXT(MAX('Model Data'!$D$5:$D$275),"yyyy-mm-dd")</f>
        <v>2010-12-01 to 2010-12-03</v>
      </c>
      <c r="C18" s="2" t="s">
        <v>1976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1977</v>
      </c>
    </row>
    <row r="2" customFormat="false" ht="15" hidden="false" customHeight="false" outlineLevel="0" collapsed="false">
      <c r="A2" s="2" t="s">
        <v>1978</v>
      </c>
    </row>
    <row r="4" customFormat="false" ht="15" hidden="false" customHeight="false" outlineLevel="0" collapsed="false">
      <c r="A4" s="3" t="s">
        <v>1979</v>
      </c>
      <c r="B4" s="3" t="s">
        <v>1980</v>
      </c>
      <c r="C4" s="3" t="s">
        <v>1981</v>
      </c>
      <c r="D4" s="3" t="s">
        <v>1982</v>
      </c>
      <c r="E4" s="3" t="s">
        <v>1983</v>
      </c>
      <c r="F4" s="3" t="s">
        <v>1984</v>
      </c>
    </row>
    <row r="5" customFormat="false" ht="15" hidden="false" customHeight="false" outlineLevel="0" collapsed="false">
      <c r="A5" s="9" t="s">
        <v>1985</v>
      </c>
      <c r="B5" s="24" t="n">
        <v>3</v>
      </c>
      <c r="C5" s="24" t="n">
        <v>30</v>
      </c>
      <c r="D5" s="25" t="n">
        <f aca="false">Regression!$B$14+Regression!$B$12*B5+Regression!$B$13*C5</f>
        <v>102.638763498755</v>
      </c>
      <c r="E5" s="10" t="n">
        <f aca="false">MAX(0,D5-1.96*Regression!$B$8)</f>
        <v>0</v>
      </c>
      <c r="F5" s="10" t="n">
        <f aca="false">D5+1.96*Regression!$B$8</f>
        <v>688.732966619429</v>
      </c>
    </row>
    <row r="6" customFormat="false" ht="15" hidden="false" customHeight="false" outlineLevel="0" collapsed="false">
      <c r="A6" s="9" t="s">
        <v>1986</v>
      </c>
      <c r="B6" s="24" t="n">
        <v>11</v>
      </c>
      <c r="C6" s="24" t="n">
        <v>106</v>
      </c>
      <c r="D6" s="25" t="n">
        <f aca="false">Regression!$B$14+Regression!$B$12*B6+Regression!$B$13*C6</f>
        <v>232.152139717613</v>
      </c>
      <c r="E6" s="10" t="n">
        <f aca="false">MAX(0,D6-1.96*Regression!$B$8)</f>
        <v>0</v>
      </c>
      <c r="F6" s="10" t="n">
        <f aca="false">D6+1.96*Regression!$B$8</f>
        <v>818.246342838287</v>
      </c>
    </row>
    <row r="7" customFormat="false" ht="15" hidden="false" customHeight="false" outlineLevel="0" collapsed="false">
      <c r="A7" s="9" t="s">
        <v>1987</v>
      </c>
      <c r="B7" s="9" t="n">
        <f aca="false">ROUND(AVERAGE('Model Data'!$E$5:$E$275),0)</f>
        <v>19</v>
      </c>
      <c r="C7" s="9" t="n">
        <f aca="false">ROUND(AVERAGE('Model Data'!$F$5:$F$275),0)</f>
        <v>217</v>
      </c>
      <c r="D7" s="25" t="n">
        <f aca="false">Regression!$B$14+Regression!$B$12*B7+Regression!$B$13*C7</f>
        <v>394.777917859837</v>
      </c>
      <c r="E7" s="10" t="n">
        <f aca="false">MAX(0,D7-1.96*Regression!$B$8)</f>
        <v>0</v>
      </c>
      <c r="F7" s="10" t="n">
        <f aca="false">D7+1.96*Regression!$B$8</f>
        <v>980.872120980511</v>
      </c>
    </row>
    <row r="8" customFormat="false" ht="15" hidden="false" customHeight="false" outlineLevel="0" collapsed="false">
      <c r="A8" s="9" t="s">
        <v>1988</v>
      </c>
      <c r="B8" s="24" t="n">
        <v>30</v>
      </c>
      <c r="C8" s="24" t="n">
        <v>400</v>
      </c>
      <c r="D8" s="25" t="n">
        <f aca="false">Regression!$B$14+Regression!$B$12*B8+Regression!$B$13*C8</f>
        <v>647.125197331745</v>
      </c>
      <c r="E8" s="10" t="n">
        <f aca="false">MAX(0,D8-1.96*Regression!$B$8)</f>
        <v>61.0309942110705</v>
      </c>
      <c r="F8" s="10" t="n">
        <f aca="false">D8+1.96*Regression!$B$8</f>
        <v>1233.21940045242</v>
      </c>
    </row>
    <row r="9" customFormat="false" ht="15" hidden="false" customHeight="false" outlineLevel="0" collapsed="false">
      <c r="A9" s="9" t="s">
        <v>1989</v>
      </c>
      <c r="B9" s="24" t="n">
        <v>16</v>
      </c>
      <c r="C9" s="24" t="n">
        <v>106</v>
      </c>
      <c r="D9" s="25" t="n">
        <f aca="false">Regression!$B$14+Regression!$B$12*B9+Regression!$B$13*C9</f>
        <v>268.159740101259</v>
      </c>
      <c r="E9" s="10" t="n">
        <f aca="false">MAX(0,D9-1.96*Regression!$B$8)</f>
        <v>0</v>
      </c>
      <c r="F9" s="10" t="n">
        <f aca="false">D9+1.96*Regression!$B$8</f>
        <v>854.253943221934</v>
      </c>
    </row>
    <row r="10" customFormat="false" ht="15" hidden="false" customHeight="false" outlineLevel="0" collapsed="false">
      <c r="A10" s="9" t="s">
        <v>1990</v>
      </c>
      <c r="B10" s="24" t="n">
        <v>11</v>
      </c>
      <c r="C10" s="24" t="n">
        <v>206</v>
      </c>
      <c r="D10" s="25" t="n">
        <f aca="false">Regression!$B$14+Regression!$B$12*B10+Regression!$B$13*C10</f>
        <v>326.759002355802</v>
      </c>
      <c r="E10" s="10" t="n">
        <f aca="false">MAX(0,D10-1.96*Regression!$B$8)</f>
        <v>0</v>
      </c>
      <c r="F10" s="10" t="n">
        <f aca="false">D10+1.96*Regression!$B$8</f>
        <v>912.853205476476</v>
      </c>
    </row>
    <row r="12" customFormat="false" ht="15" hidden="false" customHeight="false" outlineLevel="0" collapsed="false">
      <c r="A12" s="2" t="s">
        <v>1991</v>
      </c>
    </row>
    <row r="14" customFormat="false" ht="15" hidden="false" customHeight="false" outlineLevel="0" collapsed="false">
      <c r="A14" s="4" t="s">
        <v>1992</v>
      </c>
      <c r="B14" s="24" t="n">
        <v>8</v>
      </c>
      <c r="C14" s="24" t="n">
        <v>75</v>
      </c>
      <c r="D14" s="25" t="n">
        <f aca="false">Regression!$B$14+Regression!$B$12*B14+Regression!$B$13*C14</f>
        <v>181.219452069587</v>
      </c>
      <c r="E14" s="10" t="n">
        <f aca="false">MAX(0,D14-1.96*Regression!$B$8)</f>
        <v>0</v>
      </c>
      <c r="F14" s="10" t="n">
        <f aca="false">D14+1.96*Regression!$B$8</f>
        <v>767.313655190261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1993</v>
      </c>
    </row>
    <row r="2" customFormat="false" ht="15" hidden="false" customHeight="false" outlineLevel="0" collapsed="false">
      <c r="A2" s="2" t="s">
        <v>1994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2026-10-22T03:20:18Z</dcterms:created>
  <dc:creator>openpyxl</dc:creator>
  <dc:description/>
  <dc:language>en-US</dc:language>
  <cp:lastModifiedBy/>
  <dcterms:modified xsi:type="dcterms:W3CDTF">2026-10-22T03:20:22Z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